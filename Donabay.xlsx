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ily Log" sheetId="2" state="visible" r:id="rId4"/>
    <sheet name="Cash Ledger" sheetId="3" state="visible" r:id="rId5"/>
    <sheet name="Weekly Pay" sheetId="4" state="visible" r:id="rId6"/>
    <sheet name="Payslip" sheetId="5" state="visible" r:id="rId7"/>
    <sheet name="Worker History" sheetId="6" state="visible" r:id="rId8"/>
    <sheet name="Workers" sheetId="7" state="visible" r:id="rId9"/>
    <sheet name="Settings" sheetId="8" state="visible" r:id="rId10"/>
    <sheet name="Checks" sheetId="9" state="visible" r:id="rId11"/>
    <sheet name="Weeks" sheetId="10" state="visible" r:id="rId12"/>
  </sheets>
  <definedNames>
    <definedName function="false" hidden="true" localSheetId="2" name="_xlnm._FilterDatabase" vbProcedure="false">'Cash Ledger'!$A$5:$M$1005</definedName>
    <definedName function="false" hidden="false" localSheetId="4" name="_xlnm.Print_Area" vbProcedure="false">Payslip!$B$7:$E$45</definedName>
    <definedName function="false" hidden="false" name="BreakAllow" vbProcedure="false">Settings!$C$5</definedName>
    <definedName function="false" hidden="false" name="CementNorm" vbProcedure="false">Settings!$C$8</definedName>
    <definedName function="false" hidden="false" name="DebtCap" vbProcedure="false">Settings!$C$6</definedName>
    <definedName function="false" hidden="false" name="EntryTypes" vbProcedure="false">Settings!$F$5:$F$7</definedName>
    <definedName function="false" hidden="false" name="RateDates" vbProcedure="false">Settings!$B$13:$B$32</definedName>
    <definedName function="false" hidden="false" name="RateValues" vbProcedure="false">Settings!$C$13:$C$32</definedName>
    <definedName function="false" hidden="false" name="RejectAlarm" vbProcedure="false">Settings!$C$7</definedName>
    <definedName function="false" hidden="false" name="StatusList" vbProcedure="false">Settings!$G$5:$G$6</definedName>
    <definedName function="false" hidden="false" name="WeekStarts" vbProcedure="false">Weeks!$A$6:$A$58</definedName>
    <definedName function="false" hidden="false" name="WorkerIDs" vbProcedure="false">Workers!$A$5:$A$16</definedName>
    <definedName function="false" hidden="false" name="WorkerNames" vbProcedure="false">Workers!$B$5:$B$16</definedName>
    <definedName function="false" hidden="false" name="YesNo" vbProcedure="false">Settings!$H$5:$H$6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Placeholder names - type the real ones over them. Everything else in the workbook follows the ID, so renaming here updates every sheet.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Type YOUR rate next to this date. To change the rate later, add a new row below with the date the new rate starts - never overwrite an old row, or past weeks get recalculated at the new rate. Keep the dates in order, oldest first.</t>
        </r>
      </text>
    </comment>
  </commentList>
</comments>
</file>

<file path=xl/sharedStrings.xml><?xml version="1.0" encoding="utf-8"?>
<sst xmlns="http://schemas.openxmlformats.org/spreadsheetml/2006/main" count="272" uniqueCount="199">
  <si>
    <t xml:space="preserve">Donabay</t>
  </si>
  <si>
    <t xml:space="preserve">Filler-block production and weekly crew pay. No macros, no add-ins - just type.</t>
  </si>
  <si>
    <t xml:space="preserve">Workbook status</t>
  </si>
  <si>
    <t xml:space="preserve">FIRST TIME</t>
  </si>
  <si>
    <t xml:space="preserve">1. Settings</t>
  </si>
  <si>
    <t xml:space="preserve">Type your pay rate per block next to the start date.</t>
  </si>
  <si>
    <t xml:space="preserve">2. Workers</t>
  </si>
  <si>
    <t xml:space="preserve">Replace 'Worker 1..4' with real names. Leave them Active.</t>
  </si>
  <si>
    <t xml:space="preserve">EVERY DAY  (1 minute)</t>
  </si>
  <si>
    <t xml:space="preserve">Daily Log</t>
  </si>
  <si>
    <t xml:space="preserve">On today's row: blocks moulded, blocks broken, and 1 under each worker who came (0.5 for half a day, leave empty if absent). Broken blocks can be filled in later, once you know them.</t>
  </si>
  <si>
    <t xml:space="preserve">WHEN SOMEONE ASKS FOR MONEY</t>
  </si>
  <si>
    <t xml:space="preserve">Cash Ledger</t>
  </si>
  <si>
    <t xml:space="preserve">New row: date, worker, type 'Advance', amount, reason. That's it - it is subtracted on payday automatically.</t>
  </si>
  <si>
    <t xml:space="preserve">PAYDAY</t>
  </si>
  <si>
    <t xml:space="preserve">1. Weekly Pay</t>
  </si>
  <si>
    <t xml:space="preserve">Pick the week. Check 'Before you pay' says OK. Pay each worker the green TO PAY amount.</t>
  </si>
  <si>
    <t xml:space="preserve">2. Cash Ledger</t>
  </si>
  <si>
    <t xml:space="preserve">Record each payment as type 'Weekly pay', dated inside that week.</t>
  </si>
  <si>
    <t xml:space="preserve">3. Payslip</t>
  </si>
  <si>
    <t xml:space="preserve">Print one per worker and have them sign. It lists every advance they took that week.</t>
  </si>
  <si>
    <t xml:space="preserve">PEOPLE CHANGE</t>
  </si>
  <si>
    <t xml:space="preserve">Someone joins</t>
  </si>
  <si>
    <t xml:space="preserve">Workers: type the name in the next empty slot, status Active, joined date.</t>
  </si>
  <si>
    <t xml:space="preserve">Someone leaves</t>
  </si>
  <si>
    <t xml:space="preserve">Workers: set status Left. Do not delete the row - their history stays.</t>
  </si>
  <si>
    <t xml:space="preserve">Rate changes</t>
  </si>
  <si>
    <t xml:space="preserve">Settings: add a NEW row with the date the new rate starts. Old weeks keep the old rate.</t>
  </si>
  <si>
    <t xml:space="preserve">MISTAKES</t>
  </si>
  <si>
    <t xml:space="preserve">Wrong ledger entry</t>
  </si>
  <si>
    <t xml:space="preserve">Do not delete it. Add a 'Correction' row with the opposite amount (e.g. -100000) and say why.</t>
  </si>
  <si>
    <t xml:space="preserve">RULES THIS FILE FOLLOWS</t>
  </si>
  <si>
    <t xml:space="preserve">Pay base</t>
  </si>
  <si>
    <t xml:space="preserve">Only good blocks are paid (moulded minus broken). Settings can add a breakage allowance.</t>
  </si>
  <si>
    <t xml:space="preserve">Split</t>
  </si>
  <si>
    <t xml:space="preserve">The week's pot is shared by days worked: pot x your days / everyone's days.</t>
  </si>
  <si>
    <t xml:space="preserve">Debts</t>
  </si>
  <si>
    <t xml:space="preserve">Advances bigger than earnings never make pay negative - pay is 0 and the rest carries forward, visible on every payslip until it is paid back.</t>
  </si>
  <si>
    <t xml:space="preserve">Colours</t>
  </si>
  <si>
    <t xml:space="preserve">Yellow = you type here.  Grey = calculated, leave alone.  Pink = needs a look.</t>
  </si>
  <si>
    <t xml:space="preserve">One row per day. Fill: blocks moulded, blocks broken, and who worked (1 = full day, 0.5 = half day, empty = absent).</t>
  </si>
  <si>
    <t xml:space="preserve">All time</t>
  </si>
  <si>
    <t xml:space="preserve">Attendance: 1 full day, 0.5 half day, empty = absent</t>
  </si>
  <si>
    <t xml:space="preserve">Date</t>
  </si>
  <si>
    <t xml:space="preserve">Day</t>
  </si>
  <si>
    <t xml:space="preserve">Moulded</t>
  </si>
  <si>
    <t xml:space="preserve">Broken</t>
  </si>
  <si>
    <t xml:space="preserve">Good</t>
  </si>
  <si>
    <t xml:space="preserve">Paid blocks</t>
  </si>
  <si>
    <t xml:space="preserve">Cement bags</t>
  </si>
  <si>
    <t xml:space="preserve">Crew-days</t>
  </si>
  <si>
    <t xml:space="preserve">Rate</t>
  </si>
  <si>
    <t xml:space="preserve">Pay value</t>
  </si>
  <si>
    <t xml:space="preserve">Week of</t>
  </si>
  <si>
    <t xml:space="preserve">Check</t>
  </si>
  <si>
    <t xml:space="preserve">Notes</t>
  </si>
  <si>
    <t xml:space="preserve">Every som you hand a worker goes here - one row each time. Never delete a row: fix a mistake with a Correction.</t>
  </si>
  <si>
    <t xml:space="preserve">Totals:</t>
  </si>
  <si>
    <t xml:space="preserve">Advances</t>
  </si>
  <si>
    <t xml:space="preserve">Weekly pay</t>
  </si>
  <si>
    <t xml:space="preserve">Corrections</t>
  </si>
  <si>
    <t xml:space="preserve">#</t>
  </si>
  <si>
    <t xml:space="preserve">Worker</t>
  </si>
  <si>
    <t xml:space="preserve">Type</t>
  </si>
  <si>
    <t xml:space="preserve">Amount (so'm)</t>
  </si>
  <si>
    <t xml:space="preserve">Reason</t>
  </si>
  <si>
    <t xml:space="preserve">Given by</t>
  </si>
  <si>
    <t xml:space="preserve">Signed?</t>
  </si>
  <si>
    <t xml:space="preserve">ID</t>
  </si>
  <si>
    <t xml:space="preserve">key</t>
  </si>
  <si>
    <t xml:space="preserve">Worker balance after</t>
  </si>
  <si>
    <t xml:space="preserve">Weekly Pay</t>
  </si>
  <si>
    <t xml:space="preserve">Payday. Pick the week, pay each worker the green column, then record each payment in the Cash Ledger as 'Weekly pay'.</t>
  </si>
  <si>
    <t xml:space="preserve">Week starting (Monday):</t>
  </si>
  <si>
    <t xml:space="preserve">Good blocks</t>
  </si>
  <si>
    <t xml:space="preserve">Pot (so'm)</t>
  </si>
  <si>
    <t xml:space="preserve">Reject rate</t>
  </si>
  <si>
    <t xml:space="preserve">Workbook checks</t>
  </si>
  <si>
    <t xml:space="preserve">Status</t>
  </si>
  <si>
    <t xml:space="preserve">Days</t>
  </si>
  <si>
    <t xml:space="preserve">Share</t>
  </si>
  <si>
    <t xml:space="preserve">Earned this week</t>
  </si>
  <si>
    <t xml:space="preserve">Brought forward</t>
  </si>
  <si>
    <t xml:space="preserve">Due</t>
  </si>
  <si>
    <t xml:space="preserve">TO PAY</t>
  </si>
  <si>
    <t xml:space="preserve">Paid (in ledger)</t>
  </si>
  <si>
    <t xml:space="preserve">Still to pay</t>
  </si>
  <si>
    <t xml:space="preserve">Carried forward</t>
  </si>
  <si>
    <t xml:space="preserve">Note</t>
  </si>
  <si>
    <t xml:space="preserve">Crew total</t>
  </si>
  <si>
    <t xml:space="preserve">Before you pay</t>
  </si>
  <si>
    <t xml:space="preserve">Shares add up to the pot</t>
  </si>
  <si>
    <t xml:space="preserve">Everyone's days match the crew total</t>
  </si>
  <si>
    <t xml:space="preserve">Pot is shared out</t>
  </si>
  <si>
    <t xml:space="preserve">Cash needed for payday</t>
  </si>
  <si>
    <t xml:space="preserve">Brought forward: positive = you still owe the worker from earlier weeks; negative = the worker owes you.</t>
  </si>
  <si>
    <t xml:space="preserve">TO PAY is never below zero. If advances were bigger than earnings, pay is 0 and the rest carries to next week.</t>
  </si>
  <si>
    <t xml:space="preserve">After paying, record each payment in the Cash Ledger as 'Weekly pay' with a date inside this week - 'Still to pay' then drops to 0.</t>
  </si>
  <si>
    <t xml:space="preserve">Payslip</t>
  </si>
  <si>
    <t xml:space="preserve">Pick a week and a worker, print, and have the worker sign when paid.</t>
  </si>
  <si>
    <t xml:space="preserve">Week starting (Monday)</t>
  </si>
  <si>
    <t xml:space="preserve">DONABAY - PAYSLIP</t>
  </si>
  <si>
    <t xml:space="preserve">Crew paid blocks this week</t>
  </si>
  <si>
    <t xml:space="preserve">Crew pot</t>
  </si>
  <si>
    <t xml:space="preserve">Crew-days worked</t>
  </si>
  <si>
    <t xml:space="preserve">Your days</t>
  </si>
  <si>
    <t xml:space="preserve">Your share</t>
  </si>
  <si>
    <t xml:space="preserve">Brought forward from earlier weeks</t>
  </si>
  <si>
    <t xml:space="preserve">Advances this week (listed below)</t>
  </si>
  <si>
    <t xml:space="preserve">Corrections this week</t>
  </si>
  <si>
    <t xml:space="preserve">TO PAY NOW</t>
  </si>
  <si>
    <t xml:space="preserve">Already paid this week (ledger)</t>
  </si>
  <si>
    <t xml:space="preserve">Carried to next week</t>
  </si>
  <si>
    <t xml:space="preserve">Advances taken this week</t>
  </si>
  <si>
    <t xml:space="preserve">Worker's signature</t>
  </si>
  <si>
    <t xml:space="preserve">Paid by</t>
  </si>
  <si>
    <t xml:space="preserve">Date paid</t>
  </si>
  <si>
    <t xml:space="preserve">Worker History</t>
  </si>
  <si>
    <t xml:space="preserve">One worker's whole account, week by week: earned, taken, paid, and where the balance stands.</t>
  </si>
  <si>
    <t xml:space="preserve">+ you owe them / - they owe you</t>
  </si>
  <si>
    <t xml:space="preserve">Earned</t>
  </si>
  <si>
    <t xml:space="preserve">Balance after the week</t>
  </si>
  <si>
    <t xml:space="preserve">Meaning</t>
  </si>
  <si>
    <t xml:space="preserve">Workers</t>
  </si>
  <si>
    <t xml:space="preserve">Add a worker: fill the next empty slot and set Active. Remove one: set Left. Never delete or reuse a slot - that keeps each person's history intact.</t>
  </si>
  <si>
    <t xml:space="preserve">Name</t>
  </si>
  <si>
    <t xml:space="preserve">Joined</t>
  </si>
  <si>
    <t xml:space="preserve">Left on</t>
  </si>
  <si>
    <t xml:space="preserve">Phone</t>
  </si>
  <si>
    <t xml:space="preserve">W01</t>
  </si>
  <si>
    <t xml:space="preserve">Worker 1</t>
  </si>
  <si>
    <t xml:space="preserve">Active</t>
  </si>
  <si>
    <t xml:space="preserve">W02</t>
  </si>
  <si>
    <t xml:space="preserve">Worker 2</t>
  </si>
  <si>
    <t xml:space="preserve">W03</t>
  </si>
  <si>
    <t xml:space="preserve">Worker 3</t>
  </si>
  <si>
    <t xml:space="preserve">W04</t>
  </si>
  <si>
    <t xml:space="preserve">Worker 4</t>
  </si>
  <si>
    <t xml:space="preserve">W05</t>
  </si>
  <si>
    <t xml:space="preserve">W06</t>
  </si>
  <si>
    <t xml:space="preserve">W07</t>
  </si>
  <si>
    <t xml:space="preserve">W08</t>
  </si>
  <si>
    <t xml:space="preserve">W09</t>
  </si>
  <si>
    <t xml:space="preserve">W10</t>
  </si>
  <si>
    <t xml:space="preserve">W11</t>
  </si>
  <si>
    <t xml:space="preserve">W12</t>
  </si>
  <si>
    <t xml:space="preserve">Settings</t>
  </si>
  <si>
    <t xml:space="preserve">Change these rarely. Yellow cells are yours to edit.</t>
  </si>
  <si>
    <t xml:space="preserve">Rules</t>
  </si>
  <si>
    <t xml:space="preserve">Lists (used by dropdowns)</t>
  </si>
  <si>
    <t xml:space="preserve">Breakage allowance</t>
  </si>
  <si>
    <t xml:space="preserve">Broken blocks up to this share of what was moulded are still paid. 0% = pay only good blocks (your rule). Block plants commonly break 2-5%; set e.g. 3% if you want to absorb normal breakage yourself.</t>
  </si>
  <si>
    <t xml:space="preserve">Advance</t>
  </si>
  <si>
    <t xml:space="preserve">Yes</t>
  </si>
  <si>
    <t xml:space="preserve">Old debt taken back per week, max</t>
  </si>
  <si>
    <t xml:space="preserve">When a worker owes you from earlier weeks, at most this share of a week's earnings goes to paying it back. 100% = take back everything you can (your rule). For formally employed workers Uzbek labour law caps wage deductions at 50% - check the Labour Code on lex.uz before relying on this.</t>
  </si>
  <si>
    <t xml:space="preserve">Left</t>
  </si>
  <si>
    <t xml:space="preserve">No</t>
  </si>
  <si>
    <t xml:space="preserve">Reject rate that raises a warning</t>
  </si>
  <si>
    <t xml:space="preserve">Normal breakage in block plants is 2-5%; above about 8% usually means a curing or handling problem worth looking at.</t>
  </si>
  <si>
    <t xml:space="preserve">Correction</t>
  </si>
  <si>
    <t xml:space="preserve">Expected cement bags per 1000 blocks (optional)</t>
  </si>
  <si>
    <t xml:space="preserve">If you log cement use, the week summary compares it with this. A big gap either way is the classic sign that block counts are off. Leave blank to skip.</t>
  </si>
  <si>
    <t xml:space="preserve">Pay rate per paid block</t>
  </si>
  <si>
    <t xml:space="preserve">Starts from (date)</t>
  </si>
  <si>
    <t xml:space="preserve">Rate (so'm per block)</t>
  </si>
  <si>
    <t xml:space="preserve">&lt;- type your rate here. Add a row below when it changes; old weeks keep the old rate.</t>
  </si>
  <si>
    <t xml:space="preserve">Checks</t>
  </si>
  <si>
    <t xml:space="preserve">The workbook checking itself. Everything should say OK before payday.</t>
  </si>
  <si>
    <t xml:space="preserve">Overall</t>
  </si>
  <si>
    <t xml:space="preserve">Result</t>
  </si>
  <si>
    <t xml:space="preserve">Where to look</t>
  </si>
  <si>
    <t xml:space="preserve">Worker list is clean (names unique, status set)</t>
  </si>
  <si>
    <t xml:space="preserve">Daily Log rows without problems</t>
  </si>
  <si>
    <t xml:space="preserve">Daily Log - Check column</t>
  </si>
  <si>
    <t xml:space="preserve">Cash Ledger entries are complete and valid</t>
  </si>
  <si>
    <t xml:space="preserve">Cash Ledger - Check column</t>
  </si>
  <si>
    <t xml:space="preserve">Every week's pot is shared out</t>
  </si>
  <si>
    <t xml:space="preserve">Weeks</t>
  </si>
  <si>
    <t xml:space="preserve">Worker shares add up to each week's pot</t>
  </si>
  <si>
    <t xml:space="preserve">A pay rate is set</t>
  </si>
  <si>
    <t xml:space="preserve">Rate dates are in order, oldest first</t>
  </si>
  <si>
    <t xml:space="preserve">Cash Ledger has room left</t>
  </si>
  <si>
    <t xml:space="preserve">Cash Ledger - nearly full, ask for a rebuild</t>
  </si>
  <si>
    <t xml:space="preserve">Worker slots left</t>
  </si>
  <si>
    <t xml:space="preserve">Workers - all slots used, ask for a rebuild</t>
  </si>
  <si>
    <t xml:space="preserve">Warnings (not errors)</t>
  </si>
  <si>
    <t xml:space="preserve">Advances bigger than what the worker had earned so far</t>
  </si>
  <si>
    <t xml:space="preserve">Allowed - just so you know. Shows as debt carried forward.</t>
  </si>
  <si>
    <t xml:space="preserve">Weeks with a high reject rate or odd cement use</t>
  </si>
  <si>
    <t xml:space="preserve">Calculation engine - nothing to type here. Every other sheet reads from it.</t>
  </si>
  <si>
    <t xml:space="preserve">Days worked</t>
  </si>
  <si>
    <t xml:space="preserve">Earned (so'm)</t>
  </si>
  <si>
    <t xml:space="preserve">to</t>
  </si>
  <si>
    <t xml:space="preserve">Reject %</t>
  </si>
  <si>
    <t xml:space="preserve">Good per crew-day</t>
  </si>
  <si>
    <t xml:space="preserve">Bags per 1000</t>
  </si>
  <si>
    <t xml:space="preserve">Shares total</t>
  </si>
  <si>
    <t xml:space="preserve">Shares - pot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</si>
</sst>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\ ##0;\-#\ ##0;\-"/>
    <numFmt numFmtId="166" formatCode="yyyy\-mm\-dd"/>
    <numFmt numFmtId="167" formatCode="#\ ##0"/>
    <numFmt numFmtId="168" formatCode="0.#"/>
    <numFmt numFmtId="169" formatCode="#\ ##0;[RED]\-#\ ##0;\-"/>
    <numFmt numFmtId="170" formatCode="&quot;to &quot;yyyy\-mm\-dd"/>
    <numFmt numFmtId="171" formatCode="0.0%"/>
    <numFmt numFmtId="172" formatCode="@"/>
    <numFmt numFmtId="173" formatCode="0.0"/>
    <numFmt numFmtId="174" formatCode="General"/>
    <numFmt numFmtId="175" formatCode="#\ ##0.#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2"/>
      <color rgb="FF375623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CE4E4"/>
      </patternFill>
    </fill>
    <fill>
      <patternFill patternType="solid">
        <fgColor rgb="FFF2F2F2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DDEBF7"/>
        <bgColor rgb="FFEDEDED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E2EFDA"/>
        </patternFill>
      </fill>
    </dxf>
    <dxf>
      <fill>
        <patternFill>
          <bgColor rgb="FFFCE4E4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2"/>
  </cols>
  <sheetData>
    <row r="1" customFormat="false" ht="24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4" t="str">
        <f aca="false">Checks!$C$4</f>
        <v>1 check(s) need attention</v>
      </c>
    </row>
    <row r="7" customFormat="false" ht="15" hidden="false" customHeight="false" outlineLevel="0" collapsed="false">
      <c r="B7" s="5" t="s">
        <v>3</v>
      </c>
    </row>
    <row r="8" customFormat="false" ht="15" hidden="false" customHeight="true" outlineLevel="0" collapsed="false">
      <c r="B8" s="6" t="s">
        <v>4</v>
      </c>
      <c r="C8" s="7" t="s">
        <v>5</v>
      </c>
    </row>
    <row r="9" customFormat="false" ht="15" hidden="false" customHeight="true" outlineLevel="0" collapsed="false">
      <c r="B9" s="6" t="s">
        <v>6</v>
      </c>
      <c r="C9" s="7" t="s">
        <v>7</v>
      </c>
    </row>
    <row r="11" customFormat="false" ht="15" hidden="false" customHeight="false" outlineLevel="0" collapsed="false">
      <c r="B11" s="5" t="s">
        <v>8</v>
      </c>
    </row>
    <row r="12" customFormat="false" ht="27.75" hidden="false" customHeight="true" outlineLevel="0" collapsed="false">
      <c r="B12" s="6" t="s">
        <v>9</v>
      </c>
      <c r="C12" s="7" t="s">
        <v>10</v>
      </c>
    </row>
    <row r="14" customFormat="false" ht="15" hidden="false" customHeight="false" outlineLevel="0" collapsed="false">
      <c r="B14" s="5" t="s">
        <v>11</v>
      </c>
    </row>
    <row r="15" customFormat="false" ht="27.75" hidden="false" customHeight="true" outlineLevel="0" collapsed="false">
      <c r="B15" s="6" t="s">
        <v>12</v>
      </c>
      <c r="C15" s="7" t="s">
        <v>13</v>
      </c>
    </row>
    <row r="17" customFormat="false" ht="15" hidden="false" customHeight="false" outlineLevel="0" collapsed="false">
      <c r="B17" s="5" t="s">
        <v>14</v>
      </c>
    </row>
    <row r="18" customFormat="false" ht="15" hidden="false" customHeight="true" outlineLevel="0" collapsed="false">
      <c r="B18" s="6" t="s">
        <v>15</v>
      </c>
      <c r="C18" s="7" t="s">
        <v>16</v>
      </c>
    </row>
    <row r="19" customFormat="false" ht="15" hidden="false" customHeight="true" outlineLevel="0" collapsed="false">
      <c r="B19" s="6" t="s">
        <v>17</v>
      </c>
      <c r="C19" s="7" t="s">
        <v>18</v>
      </c>
    </row>
    <row r="20" customFormat="false" ht="15" hidden="false" customHeight="true" outlineLevel="0" collapsed="false">
      <c r="B20" s="6" t="s">
        <v>19</v>
      </c>
      <c r="C20" s="7" t="s">
        <v>20</v>
      </c>
    </row>
    <row r="22" customFormat="false" ht="15" hidden="false" customHeight="false" outlineLevel="0" collapsed="false">
      <c r="B22" s="5" t="s">
        <v>21</v>
      </c>
    </row>
    <row r="23" customFormat="false" ht="15" hidden="false" customHeight="true" outlineLevel="0" collapsed="false">
      <c r="B23" s="6" t="s">
        <v>22</v>
      </c>
      <c r="C23" s="7" t="s">
        <v>23</v>
      </c>
    </row>
    <row r="24" customFormat="false" ht="15" hidden="false" customHeight="true" outlineLevel="0" collapsed="false">
      <c r="B24" s="6" t="s">
        <v>24</v>
      </c>
      <c r="C24" s="7" t="s">
        <v>25</v>
      </c>
    </row>
    <row r="25" customFormat="false" ht="15" hidden="false" customHeight="true" outlineLevel="0" collapsed="false">
      <c r="B25" s="6" t="s">
        <v>26</v>
      </c>
      <c r="C25" s="7" t="s">
        <v>27</v>
      </c>
    </row>
    <row r="27" customFormat="false" ht="15" hidden="false" customHeight="false" outlineLevel="0" collapsed="false">
      <c r="B27" s="5" t="s">
        <v>28</v>
      </c>
    </row>
    <row r="28" customFormat="false" ht="15" hidden="false" customHeight="true" outlineLevel="0" collapsed="false">
      <c r="B28" s="6" t="s">
        <v>29</v>
      </c>
      <c r="C28" s="7" t="s">
        <v>30</v>
      </c>
    </row>
    <row r="30" customFormat="false" ht="15" hidden="false" customHeight="false" outlineLevel="0" collapsed="false">
      <c r="B30" s="5" t="s">
        <v>31</v>
      </c>
    </row>
    <row r="31" customFormat="false" ht="15" hidden="false" customHeight="true" outlineLevel="0" collapsed="false">
      <c r="B31" s="6" t="s">
        <v>32</v>
      </c>
      <c r="C31" s="7" t="s">
        <v>33</v>
      </c>
    </row>
    <row r="32" customFormat="false" ht="15" hidden="false" customHeight="true" outlineLevel="0" collapsed="false">
      <c r="B32" s="6" t="s">
        <v>34</v>
      </c>
      <c r="C32" s="7" t="s">
        <v>35</v>
      </c>
    </row>
    <row r="33" customFormat="false" ht="27.75" hidden="false" customHeight="true" outlineLevel="0" collapsed="false">
      <c r="B33" s="6" t="s">
        <v>36</v>
      </c>
      <c r="C33" s="7" t="s">
        <v>37</v>
      </c>
    </row>
    <row r="34" customFormat="false" ht="15" hidden="false" customHeight="true" outlineLevel="0" collapsed="false">
      <c r="B34" s="6" t="s">
        <v>38</v>
      </c>
      <c r="C34" s="7" t="s">
        <v>39</v>
      </c>
    </row>
  </sheetData>
  <conditionalFormatting sqref="C4">
    <cfRule type="expression" priority="2" aboveAverage="0" equalAverage="0" bottom="0" percent="0" rank="0" text="" dxfId="0">
      <formula>C4="ALL CHECKS OK"</formula>
    </cfRule>
    <cfRule type="expression" priority="3" aboveAverage="0" equalAverage="0" bottom="0" percent="0" rank="0" text="" dxfId="1">
      <formula>C4&lt;&gt;"ALL CHECKS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20" min="7" style="0" width="9"/>
    <col collapsed="false" customWidth="true" hidden="false" outlineLevel="0" max="21" min="21" style="0" width="8"/>
    <col collapsed="false" customWidth="true" hidden="false" outlineLevel="0" max="22" min="22" style="0" width="12"/>
    <col collapsed="false" customWidth="true" hidden="false" outlineLevel="0" max="23" min="23" style="0" width="11"/>
    <col collapsed="false" customWidth="true" hidden="false" outlineLevel="0" max="24" min="24" style="0" width="30"/>
    <col collapsed="false" customWidth="true" hidden="false" outlineLevel="0" max="25" min="25" style="0" width="26"/>
  </cols>
  <sheetData>
    <row r="1" customFormat="false" ht="24" hidden="false" customHeight="true" outlineLevel="0" collapsed="false">
      <c r="A1" s="1" t="s">
        <v>9</v>
      </c>
    </row>
    <row r="2" customFormat="false" ht="15" hidden="false" customHeight="false" outlineLevel="0" collapsed="false">
      <c r="A2" s="2" t="s">
        <v>40</v>
      </c>
    </row>
    <row r="3" customFormat="false" ht="15" hidden="false" customHeight="false" outlineLevel="0" collapsed="false">
      <c r="A3" s="3" t="s">
        <v>41</v>
      </c>
      <c r="C3" s="8" t="n">
        <f aca="false">SUM(C6:C376)</f>
        <v>0</v>
      </c>
      <c r="D3" s="8" t="n">
        <f aca="false">SUM(D6:D376)</f>
        <v>0</v>
      </c>
      <c r="E3" s="8" t="n">
        <f aca="false">SUM(E6:E376)</f>
        <v>0</v>
      </c>
      <c r="F3" s="8" t="n">
        <f aca="false">SUM(F6:F376)</f>
        <v>0</v>
      </c>
      <c r="H3" s="2" t="s">
        <v>42</v>
      </c>
      <c r="V3" s="8" t="n">
        <f aca="false">SUM(V6:V376)</f>
        <v>0</v>
      </c>
    </row>
    <row r="4" customFormat="false" ht="15" hidden="false" customHeight="false" outlineLevel="0" collapsed="false">
      <c r="H4" s="2" t="str">
        <f aca="false">IF(Workers!$B$5="","",Workers!$B$5)</f>
        <v>Worker 1</v>
      </c>
      <c r="I4" s="2" t="str">
        <f aca="false">IF(Workers!$B$6="","",Workers!$B$6)</f>
        <v>Worker 2</v>
      </c>
      <c r="J4" s="2" t="str">
        <f aca="false">IF(Workers!$B$7="","",Workers!$B$7)</f>
        <v>Worker 3</v>
      </c>
      <c r="K4" s="2" t="str">
        <f aca="false">IF(Workers!$B$8="","",Workers!$B$8)</f>
        <v>Worker 4</v>
      </c>
      <c r="L4" s="2" t="str">
        <f aca="false">IF(Workers!$B$9="","",Workers!$B$9)</f>
        <v/>
      </c>
      <c r="M4" s="2" t="str">
        <f aca="false">IF(Workers!$B$10="","",Workers!$B$10)</f>
        <v/>
      </c>
      <c r="N4" s="2" t="str">
        <f aca="false">IF(Workers!$B$11="","",Workers!$B$11)</f>
        <v/>
      </c>
      <c r="O4" s="2" t="str">
        <f aca="false">IF(Workers!$B$12="","",Workers!$B$12)</f>
        <v/>
      </c>
      <c r="P4" s="2" t="str">
        <f aca="false">IF(Workers!$B$13="","",Workers!$B$13)</f>
        <v/>
      </c>
      <c r="Q4" s="2" t="str">
        <f aca="false">IF(Workers!$B$14="","",Workers!$B$14)</f>
        <v/>
      </c>
      <c r="R4" s="2" t="str">
        <f aca="false">IF(Workers!$B$15="","",Workers!$B$15)</f>
        <v/>
      </c>
      <c r="S4" s="2" t="str">
        <f aca="false">IF(Workers!$B$16="","",Workers!$B$16)</f>
        <v/>
      </c>
    </row>
    <row r="5" customFormat="false" ht="42" hidden="false" customHeight="true" outlineLevel="0" collapsed="false">
      <c r="A5" s="9" t="s">
        <v>43</v>
      </c>
      <c r="B5" s="9" t="s">
        <v>44</v>
      </c>
      <c r="C5" s="9" t="s">
        <v>45</v>
      </c>
      <c r="D5" s="9" t="s">
        <v>46</v>
      </c>
      <c r="E5" s="9" t="s">
        <v>47</v>
      </c>
      <c r="F5" s="9" t="s">
        <v>48</v>
      </c>
      <c r="G5" s="9" t="s">
        <v>49</v>
      </c>
      <c r="H5" s="9" t="str">
        <f aca="false">IF(Workers!$B$5="",Workers!$A$5,Workers!$B$5)</f>
        <v>Worker 1</v>
      </c>
      <c r="I5" s="9" t="str">
        <f aca="false">IF(Workers!$B$6="",Workers!$A$6,Workers!$B$6)</f>
        <v>Worker 2</v>
      </c>
      <c r="J5" s="9" t="str">
        <f aca="false">IF(Workers!$B$7="",Workers!$A$7,Workers!$B$7)</f>
        <v>Worker 3</v>
      </c>
      <c r="K5" s="9" t="str">
        <f aca="false">IF(Workers!$B$8="",Workers!$A$8,Workers!$B$8)</f>
        <v>Worker 4</v>
      </c>
      <c r="L5" s="9" t="str">
        <f aca="false">IF(Workers!$B$9="",Workers!$A$9,Workers!$B$9)</f>
        <v>W05</v>
      </c>
      <c r="M5" s="9" t="str">
        <f aca="false">IF(Workers!$B$10="",Workers!$A$10,Workers!$B$10)</f>
        <v>W06</v>
      </c>
      <c r="N5" s="9" t="str">
        <f aca="false">IF(Workers!$B$11="",Workers!$A$11,Workers!$B$11)</f>
        <v>W07</v>
      </c>
      <c r="O5" s="9" t="str">
        <f aca="false">IF(Workers!$B$12="",Workers!$A$12,Workers!$B$12)</f>
        <v>W08</v>
      </c>
      <c r="P5" s="9" t="str">
        <f aca="false">IF(Workers!$B$13="",Workers!$A$13,Workers!$B$13)</f>
        <v>W09</v>
      </c>
      <c r="Q5" s="9" t="str">
        <f aca="false">IF(Workers!$B$14="",Workers!$A$14,Workers!$B$14)</f>
        <v>W10</v>
      </c>
      <c r="R5" s="9" t="str">
        <f aca="false">IF(Workers!$B$15="",Workers!$A$15,Workers!$B$15)</f>
        <v>W11</v>
      </c>
      <c r="S5" s="9" t="str">
        <f aca="false">IF(Workers!$B$16="",Workers!$A$16,Workers!$B$16)</f>
        <v>W12</v>
      </c>
      <c r="T5" s="9" t="s">
        <v>50</v>
      </c>
      <c r="U5" s="9" t="s">
        <v>51</v>
      </c>
      <c r="V5" s="9" t="s">
        <v>52</v>
      </c>
      <c r="W5" s="9" t="s">
        <v>53</v>
      </c>
      <c r="X5" s="9" t="s">
        <v>54</v>
      </c>
      <c r="Y5" s="9" t="s">
        <v>55</v>
      </c>
    </row>
    <row r="6" customFormat="false" ht="15" hidden="false" customHeight="false" outlineLevel="0" collapsed="false">
      <c r="A6" s="10" t="n">
        <v>46286</v>
      </c>
      <c r="B6" s="11" t="str">
        <f aca="false">CHOOSE(WEEKDAY($A6,2),"Mon","Tue","Wed","Thu","Fri","Sat","Sun")</f>
        <v>Mon</v>
      </c>
      <c r="C6" s="12"/>
      <c r="D6" s="12"/>
      <c r="E6" s="13" t="str">
        <f aca="false">IF($C6="","",$C6-N($D6))</f>
        <v/>
      </c>
      <c r="F6" s="13" t="str">
        <f aca="false">IF($C6="","",$C6-MAX(0,N($D6)-BreakAllow*$C6))</f>
        <v/>
      </c>
      <c r="G6" s="12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5" t="str">
        <f aca="false">IF(COUNT(H6:S6)=0,"",SUM(H6:S6))</f>
        <v/>
      </c>
      <c r="U6" s="16" t="str">
        <f aca="false">IF($C6="","",IFERROR(INDEX(RateValues,MATCH(SUMPRODUCT(MAX((RateDates&lt;=$A6)*RateDates)),RateDates,0)),0))</f>
        <v/>
      </c>
      <c r="V6" s="17" t="str">
        <f aca="false">IF($C6="","",$F6*$U6)</f>
        <v/>
      </c>
      <c r="W6" s="18" t="n">
        <f aca="false">$A6-WEEKDAY($A6,2)+1</f>
        <v>46286</v>
      </c>
      <c r="X6" s="19" t="str">
        <f aca="false">IF(AND($C6="",T6=""),"",IF(AND(N($C6)&gt;0,N(T6)=0),"nobody marked present",IF(N($D6)&gt;N($C6),"more broken than moulded",IF(AND($C6="",N(T6)&gt;0),"attendance marked but no blocks entered",IF(AND(N($C6)&gt;0,N(U6)=0),"no pay rate for this date - see Settings",IF(SUMPRODUCT((H6:S6&lt;&gt;"")*(H$4:S$4=""))&gt;0,"attendance in an empty worker slot",""))))))</f>
        <v/>
      </c>
      <c r="Y6" s="20"/>
    </row>
    <row r="7" customFormat="false" ht="15" hidden="false" customHeight="false" outlineLevel="0" collapsed="false">
      <c r="A7" s="10" t="n">
        <v>46287</v>
      </c>
      <c r="B7" s="11" t="str">
        <f aca="false">CHOOSE(WEEKDAY($A7,2),"Mon","Tue","Wed","Thu","Fri","Sat","Sun")</f>
        <v>Tue</v>
      </c>
      <c r="C7" s="12"/>
      <c r="D7" s="12"/>
      <c r="E7" s="13" t="str">
        <f aca="false">IF($C7="","",$C7-N($D7))</f>
        <v/>
      </c>
      <c r="F7" s="13" t="str">
        <f aca="false">IF($C7="","",$C7-MAX(0,N($D7)-BreakAllow*$C7))</f>
        <v/>
      </c>
      <c r="G7" s="12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5" t="str">
        <f aca="false">IF(COUNT(H7:S7)=0,"",SUM(H7:S7))</f>
        <v/>
      </c>
      <c r="U7" s="16" t="str">
        <f aca="false">IF($C7="","",IFERROR(INDEX(RateValues,MATCH(SUMPRODUCT(MAX((RateDates&lt;=$A7)*RateDates)),RateDates,0)),0))</f>
        <v/>
      </c>
      <c r="V7" s="17" t="str">
        <f aca="false">IF($C7="","",$F7*$U7)</f>
        <v/>
      </c>
      <c r="W7" s="18" t="n">
        <f aca="false">$A7-WEEKDAY($A7,2)+1</f>
        <v>46286</v>
      </c>
      <c r="X7" s="19" t="str">
        <f aca="false">IF(AND($C7="",T7=""),"",IF(AND(N($C7)&gt;0,N(T7)=0),"nobody marked present",IF(N($D7)&gt;N($C7),"more broken than moulded",IF(AND($C7="",N(T7)&gt;0),"attendance marked but no blocks entered",IF(AND(N($C7)&gt;0,N(U7)=0),"no pay rate for this date - see Settings",IF(SUMPRODUCT((H7:S7&lt;&gt;"")*(H$4:S$4=""))&gt;0,"attendance in an empty worker slot",""))))))</f>
        <v/>
      </c>
      <c r="Y7" s="20"/>
    </row>
    <row r="8" customFormat="false" ht="15" hidden="false" customHeight="false" outlineLevel="0" collapsed="false">
      <c r="A8" s="10" t="n">
        <v>46288</v>
      </c>
      <c r="B8" s="11" t="str">
        <f aca="false">CHOOSE(WEEKDAY($A8,2),"Mon","Tue","Wed","Thu","Fri","Sat","Sun")</f>
        <v>Wed</v>
      </c>
      <c r="C8" s="12"/>
      <c r="D8" s="12"/>
      <c r="E8" s="13" t="str">
        <f aca="false">IF($C8="","",$C8-N($D8))</f>
        <v/>
      </c>
      <c r="F8" s="13" t="str">
        <f aca="false">IF($C8="","",$C8-MAX(0,N($D8)-BreakAllow*$C8))</f>
        <v/>
      </c>
      <c r="G8" s="12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5" t="str">
        <f aca="false">IF(COUNT(H8:S8)=0,"",SUM(H8:S8))</f>
        <v/>
      </c>
      <c r="U8" s="16" t="str">
        <f aca="false">IF($C8="","",IFERROR(INDEX(RateValues,MATCH(SUMPRODUCT(MAX((RateDates&lt;=$A8)*RateDates)),RateDates,0)),0))</f>
        <v/>
      </c>
      <c r="V8" s="17" t="str">
        <f aca="false">IF($C8="","",$F8*$U8)</f>
        <v/>
      </c>
      <c r="W8" s="18" t="n">
        <f aca="false">$A8-WEEKDAY($A8,2)+1</f>
        <v>46286</v>
      </c>
      <c r="X8" s="19" t="str">
        <f aca="false">IF(AND($C8="",T8=""),"",IF(AND(N($C8)&gt;0,N(T8)=0),"nobody marked present",IF(N($D8)&gt;N($C8),"more broken than moulded",IF(AND($C8="",N(T8)&gt;0),"attendance marked but no blocks entered",IF(AND(N($C8)&gt;0,N(U8)=0),"no pay rate for this date - see Settings",IF(SUMPRODUCT((H8:S8&lt;&gt;"")*(H$4:S$4=""))&gt;0,"attendance in an empty worker slot",""))))))</f>
        <v/>
      </c>
      <c r="Y8" s="20"/>
    </row>
    <row r="9" customFormat="false" ht="15" hidden="false" customHeight="false" outlineLevel="0" collapsed="false">
      <c r="A9" s="10" t="n">
        <v>46289</v>
      </c>
      <c r="B9" s="11" t="str">
        <f aca="false">CHOOSE(WEEKDAY($A9,2),"Mon","Tue","Wed","Thu","Fri","Sat","Sun")</f>
        <v>Thu</v>
      </c>
      <c r="C9" s="12"/>
      <c r="D9" s="12"/>
      <c r="E9" s="13" t="str">
        <f aca="false">IF($C9="","",$C9-N($D9))</f>
        <v/>
      </c>
      <c r="F9" s="13" t="str">
        <f aca="false">IF($C9="","",$C9-MAX(0,N($D9)-BreakAllow*$C9))</f>
        <v/>
      </c>
      <c r="G9" s="12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5" t="str">
        <f aca="false">IF(COUNT(H9:S9)=0,"",SUM(H9:S9))</f>
        <v/>
      </c>
      <c r="U9" s="16" t="str">
        <f aca="false">IF($C9="","",IFERROR(INDEX(RateValues,MATCH(SUMPRODUCT(MAX((RateDates&lt;=$A9)*RateDates)),RateDates,0)),0))</f>
        <v/>
      </c>
      <c r="V9" s="17" t="str">
        <f aca="false">IF($C9="","",$F9*$U9)</f>
        <v/>
      </c>
      <c r="W9" s="18" t="n">
        <f aca="false">$A9-WEEKDAY($A9,2)+1</f>
        <v>46286</v>
      </c>
      <c r="X9" s="19" t="str">
        <f aca="false">IF(AND($C9="",T9=""),"",IF(AND(N($C9)&gt;0,N(T9)=0),"nobody marked present",IF(N($D9)&gt;N($C9),"more broken than moulded",IF(AND($C9="",N(T9)&gt;0),"attendance marked but no blocks entered",IF(AND(N($C9)&gt;0,N(U9)=0),"no pay rate for this date - see Settings",IF(SUMPRODUCT((H9:S9&lt;&gt;"")*(H$4:S$4=""))&gt;0,"attendance in an empty worker slot",""))))))</f>
        <v/>
      </c>
      <c r="Y9" s="20"/>
    </row>
    <row r="10" customFormat="false" ht="15" hidden="false" customHeight="false" outlineLevel="0" collapsed="false">
      <c r="A10" s="10" t="n">
        <v>46290</v>
      </c>
      <c r="B10" s="11" t="str">
        <f aca="false">CHOOSE(WEEKDAY($A10,2),"Mon","Tue","Wed","Thu","Fri","Sat","Sun")</f>
        <v>Fri</v>
      </c>
      <c r="C10" s="12"/>
      <c r="D10" s="12"/>
      <c r="E10" s="13" t="str">
        <f aca="false">IF($C10="","",$C10-N($D10))</f>
        <v/>
      </c>
      <c r="F10" s="13" t="str">
        <f aca="false">IF($C10="","",$C10-MAX(0,N($D10)-BreakAllow*$C10))</f>
        <v/>
      </c>
      <c r="G10" s="12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5" t="str">
        <f aca="false">IF(COUNT(H10:S10)=0,"",SUM(H10:S10))</f>
        <v/>
      </c>
      <c r="U10" s="16" t="str">
        <f aca="false">IF($C10="","",IFERROR(INDEX(RateValues,MATCH(SUMPRODUCT(MAX((RateDates&lt;=$A10)*RateDates)),RateDates,0)),0))</f>
        <v/>
      </c>
      <c r="V10" s="17" t="str">
        <f aca="false">IF($C10="","",$F10*$U10)</f>
        <v/>
      </c>
      <c r="W10" s="18" t="n">
        <f aca="false">$A10-WEEKDAY($A10,2)+1</f>
        <v>46286</v>
      </c>
      <c r="X10" s="19" t="str">
        <f aca="false">IF(AND($C10="",T10=""),"",IF(AND(N($C10)&gt;0,N(T10)=0),"nobody marked present",IF(N($D10)&gt;N($C10),"more broken than moulded",IF(AND($C10="",N(T10)&gt;0),"attendance marked but no blocks entered",IF(AND(N($C10)&gt;0,N(U10)=0),"no pay rate for this date - see Settings",IF(SUMPRODUCT((H10:S10&lt;&gt;"")*(H$4:S$4=""))&gt;0,"attendance in an empty worker slot",""))))))</f>
        <v/>
      </c>
      <c r="Y10" s="20"/>
    </row>
    <row r="11" customFormat="false" ht="15" hidden="false" customHeight="false" outlineLevel="0" collapsed="false">
      <c r="A11" s="10" t="n">
        <v>46291</v>
      </c>
      <c r="B11" s="11" t="str">
        <f aca="false">CHOOSE(WEEKDAY($A11,2),"Mon","Tue","Wed","Thu","Fri","Sat","Sun")</f>
        <v>Sat</v>
      </c>
      <c r="C11" s="12"/>
      <c r="D11" s="12"/>
      <c r="E11" s="13" t="str">
        <f aca="false">IF($C11="","",$C11-N($D11))</f>
        <v/>
      </c>
      <c r="F11" s="13" t="str">
        <f aca="false">IF($C11="","",$C11-MAX(0,N($D11)-BreakAllow*$C11))</f>
        <v/>
      </c>
      <c r="G11" s="12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5" t="str">
        <f aca="false">IF(COUNT(H11:S11)=0,"",SUM(H11:S11))</f>
        <v/>
      </c>
      <c r="U11" s="16" t="str">
        <f aca="false">IF($C11="","",IFERROR(INDEX(RateValues,MATCH(SUMPRODUCT(MAX((RateDates&lt;=$A11)*RateDates)),RateDates,0)),0))</f>
        <v/>
      </c>
      <c r="V11" s="17" t="str">
        <f aca="false">IF($C11="","",$F11*$U11)</f>
        <v/>
      </c>
      <c r="W11" s="18" t="n">
        <f aca="false">$A11-WEEKDAY($A11,2)+1</f>
        <v>46286</v>
      </c>
      <c r="X11" s="19" t="str">
        <f aca="false">IF(AND($C11="",T11=""),"",IF(AND(N($C11)&gt;0,N(T11)=0),"nobody marked present",IF(N($D11)&gt;N($C11),"more broken than moulded",IF(AND($C11="",N(T11)&gt;0),"attendance marked but no blocks entered",IF(AND(N($C11)&gt;0,N(U11)=0),"no pay rate for this date - see Settings",IF(SUMPRODUCT((H11:S11&lt;&gt;"")*(H$4:S$4=""))&gt;0,"attendance in an empty worker slot",""))))))</f>
        <v/>
      </c>
      <c r="Y11" s="20"/>
    </row>
    <row r="12" customFormat="false" ht="15" hidden="false" customHeight="false" outlineLevel="0" collapsed="false">
      <c r="A12" s="21" t="n">
        <v>46292</v>
      </c>
      <c r="B12" s="22" t="str">
        <f aca="false">CHOOSE(WEEKDAY($A12,2),"Mon","Tue","Wed","Thu","Fri","Sat","Sun")</f>
        <v>Sun</v>
      </c>
      <c r="C12" s="12"/>
      <c r="D12" s="12"/>
      <c r="E12" s="13" t="str">
        <f aca="false">IF($C12="","",$C12-N($D12))</f>
        <v/>
      </c>
      <c r="F12" s="13" t="str">
        <f aca="false">IF($C12="","",$C12-MAX(0,N($D12)-BreakAllow*$C12))</f>
        <v/>
      </c>
      <c r="G12" s="12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5" t="str">
        <f aca="false">IF(COUNT(H12:S12)=0,"",SUM(H12:S12))</f>
        <v/>
      </c>
      <c r="U12" s="16" t="str">
        <f aca="false">IF($C12="","",IFERROR(INDEX(RateValues,MATCH(SUMPRODUCT(MAX((RateDates&lt;=$A12)*RateDates)),RateDates,0)),0))</f>
        <v/>
      </c>
      <c r="V12" s="17" t="str">
        <f aca="false">IF($C12="","",$F12*$U12)</f>
        <v/>
      </c>
      <c r="W12" s="18" t="n">
        <f aca="false">$A12-WEEKDAY($A12,2)+1</f>
        <v>46286</v>
      </c>
      <c r="X12" s="19" t="str">
        <f aca="false">IF(AND($C12="",T12=""),"",IF(AND(N($C12)&gt;0,N(T12)=0),"nobody marked present",IF(N($D12)&gt;N($C12),"more broken than moulded",IF(AND($C12="",N(T12)&gt;0),"attendance marked but no blocks entered",IF(AND(N($C12)&gt;0,N(U12)=0),"no pay rate for this date - see Settings",IF(SUMPRODUCT((H12:S12&lt;&gt;"")*(H$4:S$4=""))&gt;0,"attendance in an empty worker slot",""))))))</f>
        <v/>
      </c>
      <c r="Y12" s="20"/>
    </row>
    <row r="13" customFormat="false" ht="15" hidden="false" customHeight="false" outlineLevel="0" collapsed="false">
      <c r="A13" s="10" t="n">
        <v>46293</v>
      </c>
      <c r="B13" s="11" t="str">
        <f aca="false">CHOOSE(WEEKDAY($A13,2),"Mon","Tue","Wed","Thu","Fri","Sat","Sun")</f>
        <v>Mon</v>
      </c>
      <c r="C13" s="12"/>
      <c r="D13" s="12"/>
      <c r="E13" s="13" t="str">
        <f aca="false">IF($C13="","",$C13-N($D13))</f>
        <v/>
      </c>
      <c r="F13" s="13" t="str">
        <f aca="false">IF($C13="","",$C13-MAX(0,N($D13)-BreakAllow*$C13))</f>
        <v/>
      </c>
      <c r="G13" s="12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5" t="str">
        <f aca="false">IF(COUNT(H13:S13)=0,"",SUM(H13:S13))</f>
        <v/>
      </c>
      <c r="U13" s="16" t="str">
        <f aca="false">IF($C13="","",IFERROR(INDEX(RateValues,MATCH(SUMPRODUCT(MAX((RateDates&lt;=$A13)*RateDates)),RateDates,0)),0))</f>
        <v/>
      </c>
      <c r="V13" s="17" t="str">
        <f aca="false">IF($C13="","",$F13*$U13)</f>
        <v/>
      </c>
      <c r="W13" s="18" t="n">
        <f aca="false">$A13-WEEKDAY($A13,2)+1</f>
        <v>46293</v>
      </c>
      <c r="X13" s="19" t="str">
        <f aca="false">IF(AND($C13="",T13=""),"",IF(AND(N($C13)&gt;0,N(T13)=0),"nobody marked present",IF(N($D13)&gt;N($C13),"more broken than moulded",IF(AND($C13="",N(T13)&gt;0),"attendance marked but no blocks entered",IF(AND(N($C13)&gt;0,N(U13)=0),"no pay rate for this date - see Settings",IF(SUMPRODUCT((H13:S13&lt;&gt;"")*(H$4:S$4=""))&gt;0,"attendance in an empty worker slot",""))))))</f>
        <v/>
      </c>
      <c r="Y13" s="20"/>
    </row>
    <row r="14" customFormat="false" ht="15" hidden="false" customHeight="false" outlineLevel="0" collapsed="false">
      <c r="A14" s="10" t="n">
        <v>46294</v>
      </c>
      <c r="B14" s="11" t="str">
        <f aca="false">CHOOSE(WEEKDAY($A14,2),"Mon","Tue","Wed","Thu","Fri","Sat","Sun")</f>
        <v>Tue</v>
      </c>
      <c r="C14" s="12"/>
      <c r="D14" s="12"/>
      <c r="E14" s="13" t="str">
        <f aca="false">IF($C14="","",$C14-N($D14))</f>
        <v/>
      </c>
      <c r="F14" s="13" t="str">
        <f aca="false">IF($C14="","",$C14-MAX(0,N($D14)-BreakAllow*$C14))</f>
        <v/>
      </c>
      <c r="G14" s="12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5" t="str">
        <f aca="false">IF(COUNT(H14:S14)=0,"",SUM(H14:S14))</f>
        <v/>
      </c>
      <c r="U14" s="16" t="str">
        <f aca="false">IF($C14="","",IFERROR(INDEX(RateValues,MATCH(SUMPRODUCT(MAX((RateDates&lt;=$A14)*RateDates)),RateDates,0)),0))</f>
        <v/>
      </c>
      <c r="V14" s="17" t="str">
        <f aca="false">IF($C14="","",$F14*$U14)</f>
        <v/>
      </c>
      <c r="W14" s="18" t="n">
        <f aca="false">$A14-WEEKDAY($A14,2)+1</f>
        <v>46293</v>
      </c>
      <c r="X14" s="19" t="str">
        <f aca="false">IF(AND($C14="",T14=""),"",IF(AND(N($C14)&gt;0,N(T14)=0),"nobody marked present",IF(N($D14)&gt;N($C14),"more broken than moulded",IF(AND($C14="",N(T14)&gt;0),"attendance marked but no blocks entered",IF(AND(N($C14)&gt;0,N(U14)=0),"no pay rate for this date - see Settings",IF(SUMPRODUCT((H14:S14&lt;&gt;"")*(H$4:S$4=""))&gt;0,"attendance in an empty worker slot",""))))))</f>
        <v/>
      </c>
      <c r="Y14" s="20"/>
    </row>
    <row r="15" customFormat="false" ht="15" hidden="false" customHeight="false" outlineLevel="0" collapsed="false">
      <c r="A15" s="10" t="n">
        <v>46295</v>
      </c>
      <c r="B15" s="11" t="str">
        <f aca="false">CHOOSE(WEEKDAY($A15,2),"Mon","Tue","Wed","Thu","Fri","Sat","Sun")</f>
        <v>Wed</v>
      </c>
      <c r="C15" s="12"/>
      <c r="D15" s="12"/>
      <c r="E15" s="13" t="str">
        <f aca="false">IF($C15="","",$C15-N($D15))</f>
        <v/>
      </c>
      <c r="F15" s="13" t="str">
        <f aca="false">IF($C15="","",$C15-MAX(0,N($D15)-BreakAllow*$C15))</f>
        <v/>
      </c>
      <c r="G15" s="12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5" t="str">
        <f aca="false">IF(COUNT(H15:S15)=0,"",SUM(H15:S15))</f>
        <v/>
      </c>
      <c r="U15" s="16" t="str">
        <f aca="false">IF($C15="","",IFERROR(INDEX(RateValues,MATCH(SUMPRODUCT(MAX((RateDates&lt;=$A15)*RateDates)),RateDates,0)),0))</f>
        <v/>
      </c>
      <c r="V15" s="17" t="str">
        <f aca="false">IF($C15="","",$F15*$U15)</f>
        <v/>
      </c>
      <c r="W15" s="18" t="n">
        <f aca="false">$A15-WEEKDAY($A15,2)+1</f>
        <v>46293</v>
      </c>
      <c r="X15" s="19" t="str">
        <f aca="false">IF(AND($C15="",T15=""),"",IF(AND(N($C15)&gt;0,N(T15)=0),"nobody marked present",IF(N($D15)&gt;N($C15),"more broken than moulded",IF(AND($C15="",N(T15)&gt;0),"attendance marked but no blocks entered",IF(AND(N($C15)&gt;0,N(U15)=0),"no pay rate for this date - see Settings",IF(SUMPRODUCT((H15:S15&lt;&gt;"")*(H$4:S$4=""))&gt;0,"attendance in an empty worker slot",""))))))</f>
        <v/>
      </c>
      <c r="Y15" s="20"/>
    </row>
    <row r="16" customFormat="false" ht="15" hidden="false" customHeight="false" outlineLevel="0" collapsed="false">
      <c r="A16" s="10" t="n">
        <v>46296</v>
      </c>
      <c r="B16" s="11" t="str">
        <f aca="false">CHOOSE(WEEKDAY($A16,2),"Mon","Tue","Wed","Thu","Fri","Sat","Sun")</f>
        <v>Thu</v>
      </c>
      <c r="C16" s="12"/>
      <c r="D16" s="12"/>
      <c r="E16" s="13" t="str">
        <f aca="false">IF($C16="","",$C16-N($D16))</f>
        <v/>
      </c>
      <c r="F16" s="13" t="str">
        <f aca="false">IF($C16="","",$C16-MAX(0,N($D16)-BreakAllow*$C16))</f>
        <v/>
      </c>
      <c r="G16" s="12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5" t="str">
        <f aca="false">IF(COUNT(H16:S16)=0,"",SUM(H16:S16))</f>
        <v/>
      </c>
      <c r="U16" s="16" t="str">
        <f aca="false">IF($C16="","",IFERROR(INDEX(RateValues,MATCH(SUMPRODUCT(MAX((RateDates&lt;=$A16)*RateDates)),RateDates,0)),0))</f>
        <v/>
      </c>
      <c r="V16" s="17" t="str">
        <f aca="false">IF($C16="","",$F16*$U16)</f>
        <v/>
      </c>
      <c r="W16" s="18" t="n">
        <f aca="false">$A16-WEEKDAY($A16,2)+1</f>
        <v>46293</v>
      </c>
      <c r="X16" s="19" t="str">
        <f aca="false">IF(AND($C16="",T16=""),"",IF(AND(N($C16)&gt;0,N(T16)=0),"nobody marked present",IF(N($D16)&gt;N($C16),"more broken than moulded",IF(AND($C16="",N(T16)&gt;0),"attendance marked but no blocks entered",IF(AND(N($C16)&gt;0,N(U16)=0),"no pay rate for this date - see Settings",IF(SUMPRODUCT((H16:S16&lt;&gt;"")*(H$4:S$4=""))&gt;0,"attendance in an empty worker slot",""))))))</f>
        <v/>
      </c>
      <c r="Y16" s="20"/>
    </row>
    <row r="17" customFormat="false" ht="15" hidden="false" customHeight="false" outlineLevel="0" collapsed="false">
      <c r="A17" s="10" t="n">
        <v>46297</v>
      </c>
      <c r="B17" s="11" t="str">
        <f aca="false">CHOOSE(WEEKDAY($A17,2),"Mon","Tue","Wed","Thu","Fri","Sat","Sun")</f>
        <v>Fri</v>
      </c>
      <c r="C17" s="12"/>
      <c r="D17" s="12"/>
      <c r="E17" s="13" t="str">
        <f aca="false">IF($C17="","",$C17-N($D17))</f>
        <v/>
      </c>
      <c r="F17" s="13" t="str">
        <f aca="false">IF($C17="","",$C17-MAX(0,N($D17)-BreakAllow*$C17))</f>
        <v/>
      </c>
      <c r="G17" s="12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5" t="str">
        <f aca="false">IF(COUNT(H17:S17)=0,"",SUM(H17:S17))</f>
        <v/>
      </c>
      <c r="U17" s="16" t="str">
        <f aca="false">IF($C17="","",IFERROR(INDEX(RateValues,MATCH(SUMPRODUCT(MAX((RateDates&lt;=$A17)*RateDates)),RateDates,0)),0))</f>
        <v/>
      </c>
      <c r="V17" s="17" t="str">
        <f aca="false">IF($C17="","",$F17*$U17)</f>
        <v/>
      </c>
      <c r="W17" s="18" t="n">
        <f aca="false">$A17-WEEKDAY($A17,2)+1</f>
        <v>46293</v>
      </c>
      <c r="X17" s="19" t="str">
        <f aca="false">IF(AND($C17="",T17=""),"",IF(AND(N($C17)&gt;0,N(T17)=0),"nobody marked present",IF(N($D17)&gt;N($C17),"more broken than moulded",IF(AND($C17="",N(T17)&gt;0),"attendance marked but no blocks entered",IF(AND(N($C17)&gt;0,N(U17)=0),"no pay rate for this date - see Settings",IF(SUMPRODUCT((H17:S17&lt;&gt;"")*(H$4:S$4=""))&gt;0,"attendance in an empty worker slot",""))))))</f>
        <v/>
      </c>
      <c r="Y17" s="20"/>
    </row>
    <row r="18" customFormat="false" ht="15" hidden="false" customHeight="false" outlineLevel="0" collapsed="false">
      <c r="A18" s="10" t="n">
        <v>46298</v>
      </c>
      <c r="B18" s="11" t="str">
        <f aca="false">CHOOSE(WEEKDAY($A18,2),"Mon","Tue","Wed","Thu","Fri","Sat","Sun")</f>
        <v>Sat</v>
      </c>
      <c r="C18" s="12"/>
      <c r="D18" s="12"/>
      <c r="E18" s="13" t="str">
        <f aca="false">IF($C18="","",$C18-N($D18))</f>
        <v/>
      </c>
      <c r="F18" s="13" t="str">
        <f aca="false">IF($C18="","",$C18-MAX(0,N($D18)-BreakAllow*$C18))</f>
        <v/>
      </c>
      <c r="G18" s="12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5" t="str">
        <f aca="false">IF(COUNT(H18:S18)=0,"",SUM(H18:S18))</f>
        <v/>
      </c>
      <c r="U18" s="16" t="str">
        <f aca="false">IF($C18="","",IFERROR(INDEX(RateValues,MATCH(SUMPRODUCT(MAX((RateDates&lt;=$A18)*RateDates)),RateDates,0)),0))</f>
        <v/>
      </c>
      <c r="V18" s="17" t="str">
        <f aca="false">IF($C18="","",$F18*$U18)</f>
        <v/>
      </c>
      <c r="W18" s="18" t="n">
        <f aca="false">$A18-WEEKDAY($A18,2)+1</f>
        <v>46293</v>
      </c>
      <c r="X18" s="19" t="str">
        <f aca="false">IF(AND($C18="",T18=""),"",IF(AND(N($C18)&gt;0,N(T18)=0),"nobody marked present",IF(N($D18)&gt;N($C18),"more broken than moulded",IF(AND($C18="",N(T18)&gt;0),"attendance marked but no blocks entered",IF(AND(N($C18)&gt;0,N(U18)=0),"no pay rate for this date - see Settings",IF(SUMPRODUCT((H18:S18&lt;&gt;"")*(H$4:S$4=""))&gt;0,"attendance in an empty worker slot",""))))))</f>
        <v/>
      </c>
      <c r="Y18" s="20"/>
    </row>
    <row r="19" customFormat="false" ht="15" hidden="false" customHeight="false" outlineLevel="0" collapsed="false">
      <c r="A19" s="21" t="n">
        <v>46299</v>
      </c>
      <c r="B19" s="22" t="str">
        <f aca="false">CHOOSE(WEEKDAY($A19,2),"Mon","Tue","Wed","Thu","Fri","Sat","Sun")</f>
        <v>Sun</v>
      </c>
      <c r="C19" s="12"/>
      <c r="D19" s="12"/>
      <c r="E19" s="13" t="str">
        <f aca="false">IF($C19="","",$C19-N($D19))</f>
        <v/>
      </c>
      <c r="F19" s="13" t="str">
        <f aca="false">IF($C19="","",$C19-MAX(0,N($D19)-BreakAllow*$C19))</f>
        <v/>
      </c>
      <c r="G19" s="12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5" t="str">
        <f aca="false">IF(COUNT(H19:S19)=0,"",SUM(H19:S19))</f>
        <v/>
      </c>
      <c r="U19" s="16" t="str">
        <f aca="false">IF($C19="","",IFERROR(INDEX(RateValues,MATCH(SUMPRODUCT(MAX((RateDates&lt;=$A19)*RateDates)),RateDates,0)),0))</f>
        <v/>
      </c>
      <c r="V19" s="17" t="str">
        <f aca="false">IF($C19="","",$F19*$U19)</f>
        <v/>
      </c>
      <c r="W19" s="18" t="n">
        <f aca="false">$A19-WEEKDAY($A19,2)+1</f>
        <v>46293</v>
      </c>
      <c r="X19" s="19" t="str">
        <f aca="false">IF(AND($C19="",T19=""),"",IF(AND(N($C19)&gt;0,N(T19)=0),"nobody marked present",IF(N($D19)&gt;N($C19),"more broken than moulded",IF(AND($C19="",N(T19)&gt;0),"attendance marked but no blocks entered",IF(AND(N($C19)&gt;0,N(U19)=0),"no pay rate for this date - see Settings",IF(SUMPRODUCT((H19:S19&lt;&gt;"")*(H$4:S$4=""))&gt;0,"attendance in an empty worker slot",""))))))</f>
        <v/>
      </c>
      <c r="Y19" s="20"/>
    </row>
    <row r="20" customFormat="false" ht="15" hidden="false" customHeight="false" outlineLevel="0" collapsed="false">
      <c r="A20" s="10" t="n">
        <v>46300</v>
      </c>
      <c r="B20" s="11" t="str">
        <f aca="false">CHOOSE(WEEKDAY($A20,2),"Mon","Tue","Wed","Thu","Fri","Sat","Sun")</f>
        <v>Mon</v>
      </c>
      <c r="C20" s="12"/>
      <c r="D20" s="12"/>
      <c r="E20" s="13" t="str">
        <f aca="false">IF($C20="","",$C20-N($D20))</f>
        <v/>
      </c>
      <c r="F20" s="13" t="str">
        <f aca="false">IF($C20="","",$C20-MAX(0,N($D20)-BreakAllow*$C20))</f>
        <v/>
      </c>
      <c r="G20" s="12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5" t="str">
        <f aca="false">IF(COUNT(H20:S20)=0,"",SUM(H20:S20))</f>
        <v/>
      </c>
      <c r="U20" s="16" t="str">
        <f aca="false">IF($C20="","",IFERROR(INDEX(RateValues,MATCH(SUMPRODUCT(MAX((RateDates&lt;=$A20)*RateDates)),RateDates,0)),0))</f>
        <v/>
      </c>
      <c r="V20" s="17" t="str">
        <f aca="false">IF($C20="","",$F20*$U20)</f>
        <v/>
      </c>
      <c r="W20" s="18" t="n">
        <f aca="false">$A20-WEEKDAY($A20,2)+1</f>
        <v>46300</v>
      </c>
      <c r="X20" s="19" t="str">
        <f aca="false">IF(AND($C20="",T20=""),"",IF(AND(N($C20)&gt;0,N(T20)=0),"nobody marked present",IF(N($D20)&gt;N($C20),"more broken than moulded",IF(AND($C20="",N(T20)&gt;0),"attendance marked but no blocks entered",IF(AND(N($C20)&gt;0,N(U20)=0),"no pay rate for this date - see Settings",IF(SUMPRODUCT((H20:S20&lt;&gt;"")*(H$4:S$4=""))&gt;0,"attendance in an empty worker slot",""))))))</f>
        <v/>
      </c>
      <c r="Y20" s="20"/>
    </row>
    <row r="21" customFormat="false" ht="15" hidden="false" customHeight="false" outlineLevel="0" collapsed="false">
      <c r="A21" s="10" t="n">
        <v>46301</v>
      </c>
      <c r="B21" s="11" t="str">
        <f aca="false">CHOOSE(WEEKDAY($A21,2),"Mon","Tue","Wed","Thu","Fri","Sat","Sun")</f>
        <v>Tue</v>
      </c>
      <c r="C21" s="12"/>
      <c r="D21" s="12"/>
      <c r="E21" s="13" t="str">
        <f aca="false">IF($C21="","",$C21-N($D21))</f>
        <v/>
      </c>
      <c r="F21" s="13" t="str">
        <f aca="false">IF($C21="","",$C21-MAX(0,N($D21)-BreakAllow*$C21))</f>
        <v/>
      </c>
      <c r="G21" s="12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5" t="str">
        <f aca="false">IF(COUNT(H21:S21)=0,"",SUM(H21:S21))</f>
        <v/>
      </c>
      <c r="U21" s="16" t="str">
        <f aca="false">IF($C21="","",IFERROR(INDEX(RateValues,MATCH(SUMPRODUCT(MAX((RateDates&lt;=$A21)*RateDates)),RateDates,0)),0))</f>
        <v/>
      </c>
      <c r="V21" s="17" t="str">
        <f aca="false">IF($C21="","",$F21*$U21)</f>
        <v/>
      </c>
      <c r="W21" s="18" t="n">
        <f aca="false">$A21-WEEKDAY($A21,2)+1</f>
        <v>46300</v>
      </c>
      <c r="X21" s="19" t="str">
        <f aca="false">IF(AND($C21="",T21=""),"",IF(AND(N($C21)&gt;0,N(T21)=0),"nobody marked present",IF(N($D21)&gt;N($C21),"more broken than moulded",IF(AND($C21="",N(T21)&gt;0),"attendance marked but no blocks entered",IF(AND(N($C21)&gt;0,N(U21)=0),"no pay rate for this date - see Settings",IF(SUMPRODUCT((H21:S21&lt;&gt;"")*(H$4:S$4=""))&gt;0,"attendance in an empty worker slot",""))))))</f>
        <v/>
      </c>
      <c r="Y21" s="20"/>
    </row>
    <row r="22" customFormat="false" ht="15" hidden="false" customHeight="false" outlineLevel="0" collapsed="false">
      <c r="A22" s="10" t="n">
        <v>46302</v>
      </c>
      <c r="B22" s="11" t="str">
        <f aca="false">CHOOSE(WEEKDAY($A22,2),"Mon","Tue","Wed","Thu","Fri","Sat","Sun")</f>
        <v>Wed</v>
      </c>
      <c r="C22" s="12"/>
      <c r="D22" s="12"/>
      <c r="E22" s="13" t="str">
        <f aca="false">IF($C22="","",$C22-N($D22))</f>
        <v/>
      </c>
      <c r="F22" s="13" t="str">
        <f aca="false">IF($C22="","",$C22-MAX(0,N($D22)-BreakAllow*$C22))</f>
        <v/>
      </c>
      <c r="G22" s="12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5" t="str">
        <f aca="false">IF(COUNT(H22:S22)=0,"",SUM(H22:S22))</f>
        <v/>
      </c>
      <c r="U22" s="16" t="str">
        <f aca="false">IF($C22="","",IFERROR(INDEX(RateValues,MATCH(SUMPRODUCT(MAX((RateDates&lt;=$A22)*RateDates)),RateDates,0)),0))</f>
        <v/>
      </c>
      <c r="V22" s="17" t="str">
        <f aca="false">IF($C22="","",$F22*$U22)</f>
        <v/>
      </c>
      <c r="W22" s="18" t="n">
        <f aca="false">$A22-WEEKDAY($A22,2)+1</f>
        <v>46300</v>
      </c>
      <c r="X22" s="19" t="str">
        <f aca="false">IF(AND($C22="",T22=""),"",IF(AND(N($C22)&gt;0,N(T22)=0),"nobody marked present",IF(N($D22)&gt;N($C22),"more broken than moulded",IF(AND($C22="",N(T22)&gt;0),"attendance marked but no blocks entered",IF(AND(N($C22)&gt;0,N(U22)=0),"no pay rate for this date - see Settings",IF(SUMPRODUCT((H22:S22&lt;&gt;"")*(H$4:S$4=""))&gt;0,"attendance in an empty worker slot",""))))))</f>
        <v/>
      </c>
      <c r="Y22" s="20"/>
    </row>
    <row r="23" customFormat="false" ht="15" hidden="false" customHeight="false" outlineLevel="0" collapsed="false">
      <c r="A23" s="10" t="n">
        <v>46303</v>
      </c>
      <c r="B23" s="11" t="str">
        <f aca="false">CHOOSE(WEEKDAY($A23,2),"Mon","Tue","Wed","Thu","Fri","Sat","Sun")</f>
        <v>Thu</v>
      </c>
      <c r="C23" s="12"/>
      <c r="D23" s="12"/>
      <c r="E23" s="13" t="str">
        <f aca="false">IF($C23="","",$C23-N($D23))</f>
        <v/>
      </c>
      <c r="F23" s="13" t="str">
        <f aca="false">IF($C23="","",$C23-MAX(0,N($D23)-BreakAllow*$C23))</f>
        <v/>
      </c>
      <c r="G23" s="12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5" t="str">
        <f aca="false">IF(COUNT(H23:S23)=0,"",SUM(H23:S23))</f>
        <v/>
      </c>
      <c r="U23" s="16" t="str">
        <f aca="false">IF($C23="","",IFERROR(INDEX(RateValues,MATCH(SUMPRODUCT(MAX((RateDates&lt;=$A23)*RateDates)),RateDates,0)),0))</f>
        <v/>
      </c>
      <c r="V23" s="17" t="str">
        <f aca="false">IF($C23="","",$F23*$U23)</f>
        <v/>
      </c>
      <c r="W23" s="18" t="n">
        <f aca="false">$A23-WEEKDAY($A23,2)+1</f>
        <v>46300</v>
      </c>
      <c r="X23" s="19" t="str">
        <f aca="false">IF(AND($C23="",T23=""),"",IF(AND(N($C23)&gt;0,N(T23)=0),"nobody marked present",IF(N($D23)&gt;N($C23),"more broken than moulded",IF(AND($C23="",N(T23)&gt;0),"attendance marked but no blocks entered",IF(AND(N($C23)&gt;0,N(U23)=0),"no pay rate for this date - see Settings",IF(SUMPRODUCT((H23:S23&lt;&gt;"")*(H$4:S$4=""))&gt;0,"attendance in an empty worker slot",""))))))</f>
        <v/>
      </c>
      <c r="Y23" s="20"/>
    </row>
    <row r="24" customFormat="false" ht="15" hidden="false" customHeight="false" outlineLevel="0" collapsed="false">
      <c r="A24" s="10" t="n">
        <v>46304</v>
      </c>
      <c r="B24" s="11" t="str">
        <f aca="false">CHOOSE(WEEKDAY($A24,2),"Mon","Tue","Wed","Thu","Fri","Sat","Sun")</f>
        <v>Fri</v>
      </c>
      <c r="C24" s="12"/>
      <c r="D24" s="12"/>
      <c r="E24" s="13" t="str">
        <f aca="false">IF($C24="","",$C24-N($D24))</f>
        <v/>
      </c>
      <c r="F24" s="13" t="str">
        <f aca="false">IF($C24="","",$C24-MAX(0,N($D24)-BreakAllow*$C24))</f>
        <v/>
      </c>
      <c r="G24" s="12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5" t="str">
        <f aca="false">IF(COUNT(H24:S24)=0,"",SUM(H24:S24))</f>
        <v/>
      </c>
      <c r="U24" s="16" t="str">
        <f aca="false">IF($C24="","",IFERROR(INDEX(RateValues,MATCH(SUMPRODUCT(MAX((RateDates&lt;=$A24)*RateDates)),RateDates,0)),0))</f>
        <v/>
      </c>
      <c r="V24" s="17" t="str">
        <f aca="false">IF($C24="","",$F24*$U24)</f>
        <v/>
      </c>
      <c r="W24" s="18" t="n">
        <f aca="false">$A24-WEEKDAY($A24,2)+1</f>
        <v>46300</v>
      </c>
      <c r="X24" s="19" t="str">
        <f aca="false">IF(AND($C24="",T24=""),"",IF(AND(N($C24)&gt;0,N(T24)=0),"nobody marked present",IF(N($D24)&gt;N($C24),"more broken than moulded",IF(AND($C24="",N(T24)&gt;0),"attendance marked but no blocks entered",IF(AND(N($C24)&gt;0,N(U24)=0),"no pay rate for this date - see Settings",IF(SUMPRODUCT((H24:S24&lt;&gt;"")*(H$4:S$4=""))&gt;0,"attendance in an empty worker slot",""))))))</f>
        <v/>
      </c>
      <c r="Y24" s="20"/>
    </row>
    <row r="25" customFormat="false" ht="15" hidden="false" customHeight="false" outlineLevel="0" collapsed="false">
      <c r="A25" s="10" t="n">
        <v>46305</v>
      </c>
      <c r="B25" s="11" t="str">
        <f aca="false">CHOOSE(WEEKDAY($A25,2),"Mon","Tue","Wed","Thu","Fri","Sat","Sun")</f>
        <v>Sat</v>
      </c>
      <c r="C25" s="12"/>
      <c r="D25" s="12"/>
      <c r="E25" s="13" t="str">
        <f aca="false">IF($C25="","",$C25-N($D25))</f>
        <v/>
      </c>
      <c r="F25" s="13" t="str">
        <f aca="false">IF($C25="","",$C25-MAX(0,N($D25)-BreakAllow*$C25))</f>
        <v/>
      </c>
      <c r="G25" s="12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5" t="str">
        <f aca="false">IF(COUNT(H25:S25)=0,"",SUM(H25:S25))</f>
        <v/>
      </c>
      <c r="U25" s="16" t="str">
        <f aca="false">IF($C25="","",IFERROR(INDEX(RateValues,MATCH(SUMPRODUCT(MAX((RateDates&lt;=$A25)*RateDates)),RateDates,0)),0))</f>
        <v/>
      </c>
      <c r="V25" s="17" t="str">
        <f aca="false">IF($C25="","",$F25*$U25)</f>
        <v/>
      </c>
      <c r="W25" s="18" t="n">
        <f aca="false">$A25-WEEKDAY($A25,2)+1</f>
        <v>46300</v>
      </c>
      <c r="X25" s="19" t="str">
        <f aca="false">IF(AND($C25="",T25=""),"",IF(AND(N($C25)&gt;0,N(T25)=0),"nobody marked present",IF(N($D25)&gt;N($C25),"more broken than moulded",IF(AND($C25="",N(T25)&gt;0),"attendance marked but no blocks entered",IF(AND(N($C25)&gt;0,N(U25)=0),"no pay rate for this date - see Settings",IF(SUMPRODUCT((H25:S25&lt;&gt;"")*(H$4:S$4=""))&gt;0,"attendance in an empty worker slot",""))))))</f>
        <v/>
      </c>
      <c r="Y25" s="20"/>
    </row>
    <row r="26" customFormat="false" ht="15" hidden="false" customHeight="false" outlineLevel="0" collapsed="false">
      <c r="A26" s="21" t="n">
        <v>46306</v>
      </c>
      <c r="B26" s="22" t="str">
        <f aca="false">CHOOSE(WEEKDAY($A26,2),"Mon","Tue","Wed","Thu","Fri","Sat","Sun")</f>
        <v>Sun</v>
      </c>
      <c r="C26" s="12"/>
      <c r="D26" s="12"/>
      <c r="E26" s="13" t="str">
        <f aca="false">IF($C26="","",$C26-N($D26))</f>
        <v/>
      </c>
      <c r="F26" s="13" t="str">
        <f aca="false">IF($C26="","",$C26-MAX(0,N($D26)-BreakAllow*$C26))</f>
        <v/>
      </c>
      <c r="G26" s="12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5" t="str">
        <f aca="false">IF(COUNT(H26:S26)=0,"",SUM(H26:S26))</f>
        <v/>
      </c>
      <c r="U26" s="16" t="str">
        <f aca="false">IF($C26="","",IFERROR(INDEX(RateValues,MATCH(SUMPRODUCT(MAX((RateDates&lt;=$A26)*RateDates)),RateDates,0)),0))</f>
        <v/>
      </c>
      <c r="V26" s="17" t="str">
        <f aca="false">IF($C26="","",$F26*$U26)</f>
        <v/>
      </c>
      <c r="W26" s="18" t="n">
        <f aca="false">$A26-WEEKDAY($A26,2)+1</f>
        <v>46300</v>
      </c>
      <c r="X26" s="19" t="str">
        <f aca="false">IF(AND($C26="",T26=""),"",IF(AND(N($C26)&gt;0,N(T26)=0),"nobody marked present",IF(N($D26)&gt;N($C26),"more broken than moulded",IF(AND($C26="",N(T26)&gt;0),"attendance marked but no blocks entered",IF(AND(N($C26)&gt;0,N(U26)=0),"no pay rate for this date - see Settings",IF(SUMPRODUCT((H26:S26&lt;&gt;"")*(H$4:S$4=""))&gt;0,"attendance in an empty worker slot",""))))))</f>
        <v/>
      </c>
      <c r="Y26" s="20"/>
    </row>
    <row r="27" customFormat="false" ht="15" hidden="false" customHeight="false" outlineLevel="0" collapsed="false">
      <c r="A27" s="10" t="n">
        <v>46307</v>
      </c>
      <c r="B27" s="11" t="str">
        <f aca="false">CHOOSE(WEEKDAY($A27,2),"Mon","Tue","Wed","Thu","Fri","Sat","Sun")</f>
        <v>Mon</v>
      </c>
      <c r="C27" s="12"/>
      <c r="D27" s="12"/>
      <c r="E27" s="13" t="str">
        <f aca="false">IF($C27="","",$C27-N($D27))</f>
        <v/>
      </c>
      <c r="F27" s="13" t="str">
        <f aca="false">IF($C27="","",$C27-MAX(0,N($D27)-BreakAllow*$C27))</f>
        <v/>
      </c>
      <c r="G27" s="12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5" t="str">
        <f aca="false">IF(COUNT(H27:S27)=0,"",SUM(H27:S27))</f>
        <v/>
      </c>
      <c r="U27" s="16" t="str">
        <f aca="false">IF($C27="","",IFERROR(INDEX(RateValues,MATCH(SUMPRODUCT(MAX((RateDates&lt;=$A27)*RateDates)),RateDates,0)),0))</f>
        <v/>
      </c>
      <c r="V27" s="17" t="str">
        <f aca="false">IF($C27="","",$F27*$U27)</f>
        <v/>
      </c>
      <c r="W27" s="18" t="n">
        <f aca="false">$A27-WEEKDAY($A27,2)+1</f>
        <v>46307</v>
      </c>
      <c r="X27" s="19" t="str">
        <f aca="false">IF(AND($C27="",T27=""),"",IF(AND(N($C27)&gt;0,N(T27)=0),"nobody marked present",IF(N($D27)&gt;N($C27),"more broken than moulded",IF(AND($C27="",N(T27)&gt;0),"attendance marked but no blocks entered",IF(AND(N($C27)&gt;0,N(U27)=0),"no pay rate for this date - see Settings",IF(SUMPRODUCT((H27:S27&lt;&gt;"")*(H$4:S$4=""))&gt;0,"attendance in an empty worker slot",""))))))</f>
        <v/>
      </c>
      <c r="Y27" s="20"/>
    </row>
    <row r="28" customFormat="false" ht="15" hidden="false" customHeight="false" outlineLevel="0" collapsed="false">
      <c r="A28" s="10" t="n">
        <v>46308</v>
      </c>
      <c r="B28" s="11" t="str">
        <f aca="false">CHOOSE(WEEKDAY($A28,2),"Mon","Tue","Wed","Thu","Fri","Sat","Sun")</f>
        <v>Tue</v>
      </c>
      <c r="C28" s="12"/>
      <c r="D28" s="12"/>
      <c r="E28" s="13" t="str">
        <f aca="false">IF($C28="","",$C28-N($D28))</f>
        <v/>
      </c>
      <c r="F28" s="13" t="str">
        <f aca="false">IF($C28="","",$C28-MAX(0,N($D28)-BreakAllow*$C28))</f>
        <v/>
      </c>
      <c r="G28" s="12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5" t="str">
        <f aca="false">IF(COUNT(H28:S28)=0,"",SUM(H28:S28))</f>
        <v/>
      </c>
      <c r="U28" s="16" t="str">
        <f aca="false">IF($C28="","",IFERROR(INDEX(RateValues,MATCH(SUMPRODUCT(MAX((RateDates&lt;=$A28)*RateDates)),RateDates,0)),0))</f>
        <v/>
      </c>
      <c r="V28" s="17" t="str">
        <f aca="false">IF($C28="","",$F28*$U28)</f>
        <v/>
      </c>
      <c r="W28" s="18" t="n">
        <f aca="false">$A28-WEEKDAY($A28,2)+1</f>
        <v>46307</v>
      </c>
      <c r="X28" s="19" t="str">
        <f aca="false">IF(AND($C28="",T28=""),"",IF(AND(N($C28)&gt;0,N(T28)=0),"nobody marked present",IF(N($D28)&gt;N($C28),"more broken than moulded",IF(AND($C28="",N(T28)&gt;0),"attendance marked but no blocks entered",IF(AND(N($C28)&gt;0,N(U28)=0),"no pay rate for this date - see Settings",IF(SUMPRODUCT((H28:S28&lt;&gt;"")*(H$4:S$4=""))&gt;0,"attendance in an empty worker slot",""))))))</f>
        <v/>
      </c>
      <c r="Y28" s="20"/>
    </row>
    <row r="29" customFormat="false" ht="15" hidden="false" customHeight="false" outlineLevel="0" collapsed="false">
      <c r="A29" s="10" t="n">
        <v>46309</v>
      </c>
      <c r="B29" s="11" t="str">
        <f aca="false">CHOOSE(WEEKDAY($A29,2),"Mon","Tue","Wed","Thu","Fri","Sat","Sun")</f>
        <v>Wed</v>
      </c>
      <c r="C29" s="12"/>
      <c r="D29" s="12"/>
      <c r="E29" s="13" t="str">
        <f aca="false">IF($C29="","",$C29-N($D29))</f>
        <v/>
      </c>
      <c r="F29" s="13" t="str">
        <f aca="false">IF($C29="","",$C29-MAX(0,N($D29)-BreakAllow*$C29))</f>
        <v/>
      </c>
      <c r="G29" s="12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5" t="str">
        <f aca="false">IF(COUNT(H29:S29)=0,"",SUM(H29:S29))</f>
        <v/>
      </c>
      <c r="U29" s="16" t="str">
        <f aca="false">IF($C29="","",IFERROR(INDEX(RateValues,MATCH(SUMPRODUCT(MAX((RateDates&lt;=$A29)*RateDates)),RateDates,0)),0))</f>
        <v/>
      </c>
      <c r="V29" s="17" t="str">
        <f aca="false">IF($C29="","",$F29*$U29)</f>
        <v/>
      </c>
      <c r="W29" s="18" t="n">
        <f aca="false">$A29-WEEKDAY($A29,2)+1</f>
        <v>46307</v>
      </c>
      <c r="X29" s="19" t="str">
        <f aca="false">IF(AND($C29="",T29=""),"",IF(AND(N($C29)&gt;0,N(T29)=0),"nobody marked present",IF(N($D29)&gt;N($C29),"more broken than moulded",IF(AND($C29="",N(T29)&gt;0),"attendance marked but no blocks entered",IF(AND(N($C29)&gt;0,N(U29)=0),"no pay rate for this date - see Settings",IF(SUMPRODUCT((H29:S29&lt;&gt;"")*(H$4:S$4=""))&gt;0,"attendance in an empty worker slot",""))))))</f>
        <v/>
      </c>
      <c r="Y29" s="20"/>
    </row>
    <row r="30" customFormat="false" ht="15" hidden="false" customHeight="false" outlineLevel="0" collapsed="false">
      <c r="A30" s="10" t="n">
        <v>46310</v>
      </c>
      <c r="B30" s="11" t="str">
        <f aca="false">CHOOSE(WEEKDAY($A30,2),"Mon","Tue","Wed","Thu","Fri","Sat","Sun")</f>
        <v>Thu</v>
      </c>
      <c r="C30" s="12"/>
      <c r="D30" s="12"/>
      <c r="E30" s="13" t="str">
        <f aca="false">IF($C30="","",$C30-N($D30))</f>
        <v/>
      </c>
      <c r="F30" s="13" t="str">
        <f aca="false">IF($C30="","",$C30-MAX(0,N($D30)-BreakAllow*$C30))</f>
        <v/>
      </c>
      <c r="G30" s="12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5" t="str">
        <f aca="false">IF(COUNT(H30:S30)=0,"",SUM(H30:S30))</f>
        <v/>
      </c>
      <c r="U30" s="16" t="str">
        <f aca="false">IF($C30="","",IFERROR(INDEX(RateValues,MATCH(SUMPRODUCT(MAX((RateDates&lt;=$A30)*RateDates)),RateDates,0)),0))</f>
        <v/>
      </c>
      <c r="V30" s="17" t="str">
        <f aca="false">IF($C30="","",$F30*$U30)</f>
        <v/>
      </c>
      <c r="W30" s="18" t="n">
        <f aca="false">$A30-WEEKDAY($A30,2)+1</f>
        <v>46307</v>
      </c>
      <c r="X30" s="19" t="str">
        <f aca="false">IF(AND($C30="",T30=""),"",IF(AND(N($C30)&gt;0,N(T30)=0),"nobody marked present",IF(N($D30)&gt;N($C30),"more broken than moulded",IF(AND($C30="",N(T30)&gt;0),"attendance marked but no blocks entered",IF(AND(N($C30)&gt;0,N(U30)=0),"no pay rate for this date - see Settings",IF(SUMPRODUCT((H30:S30&lt;&gt;"")*(H$4:S$4=""))&gt;0,"attendance in an empty worker slot",""))))))</f>
        <v/>
      </c>
      <c r="Y30" s="20"/>
    </row>
    <row r="31" customFormat="false" ht="15" hidden="false" customHeight="false" outlineLevel="0" collapsed="false">
      <c r="A31" s="10" t="n">
        <v>46311</v>
      </c>
      <c r="B31" s="11" t="str">
        <f aca="false">CHOOSE(WEEKDAY($A31,2),"Mon","Tue","Wed","Thu","Fri","Sat","Sun")</f>
        <v>Fri</v>
      </c>
      <c r="C31" s="12"/>
      <c r="D31" s="12"/>
      <c r="E31" s="13" t="str">
        <f aca="false">IF($C31="","",$C31-N($D31))</f>
        <v/>
      </c>
      <c r="F31" s="13" t="str">
        <f aca="false">IF($C31="","",$C31-MAX(0,N($D31)-BreakAllow*$C31))</f>
        <v/>
      </c>
      <c r="G31" s="12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5" t="str">
        <f aca="false">IF(COUNT(H31:S31)=0,"",SUM(H31:S31))</f>
        <v/>
      </c>
      <c r="U31" s="16" t="str">
        <f aca="false">IF($C31="","",IFERROR(INDEX(RateValues,MATCH(SUMPRODUCT(MAX((RateDates&lt;=$A31)*RateDates)),RateDates,0)),0))</f>
        <v/>
      </c>
      <c r="V31" s="17" t="str">
        <f aca="false">IF($C31="","",$F31*$U31)</f>
        <v/>
      </c>
      <c r="W31" s="18" t="n">
        <f aca="false">$A31-WEEKDAY($A31,2)+1</f>
        <v>46307</v>
      </c>
      <c r="X31" s="19" t="str">
        <f aca="false">IF(AND($C31="",T31=""),"",IF(AND(N($C31)&gt;0,N(T31)=0),"nobody marked present",IF(N($D31)&gt;N($C31),"more broken than moulded",IF(AND($C31="",N(T31)&gt;0),"attendance marked but no blocks entered",IF(AND(N($C31)&gt;0,N(U31)=0),"no pay rate for this date - see Settings",IF(SUMPRODUCT((H31:S31&lt;&gt;"")*(H$4:S$4=""))&gt;0,"attendance in an empty worker slot",""))))))</f>
        <v/>
      </c>
      <c r="Y31" s="20"/>
    </row>
    <row r="32" customFormat="false" ht="15" hidden="false" customHeight="false" outlineLevel="0" collapsed="false">
      <c r="A32" s="10" t="n">
        <v>46312</v>
      </c>
      <c r="B32" s="11" t="str">
        <f aca="false">CHOOSE(WEEKDAY($A32,2),"Mon","Tue","Wed","Thu","Fri","Sat","Sun")</f>
        <v>Sat</v>
      </c>
      <c r="C32" s="12"/>
      <c r="D32" s="12"/>
      <c r="E32" s="13" t="str">
        <f aca="false">IF($C32="","",$C32-N($D32))</f>
        <v/>
      </c>
      <c r="F32" s="13" t="str">
        <f aca="false">IF($C32="","",$C32-MAX(0,N($D32)-BreakAllow*$C32))</f>
        <v/>
      </c>
      <c r="G32" s="12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5" t="str">
        <f aca="false">IF(COUNT(H32:S32)=0,"",SUM(H32:S32))</f>
        <v/>
      </c>
      <c r="U32" s="16" t="str">
        <f aca="false">IF($C32="","",IFERROR(INDEX(RateValues,MATCH(SUMPRODUCT(MAX((RateDates&lt;=$A32)*RateDates)),RateDates,0)),0))</f>
        <v/>
      </c>
      <c r="V32" s="17" t="str">
        <f aca="false">IF($C32="","",$F32*$U32)</f>
        <v/>
      </c>
      <c r="W32" s="18" t="n">
        <f aca="false">$A32-WEEKDAY($A32,2)+1</f>
        <v>46307</v>
      </c>
      <c r="X32" s="19" t="str">
        <f aca="false">IF(AND($C32="",T32=""),"",IF(AND(N($C32)&gt;0,N(T32)=0),"nobody marked present",IF(N($D32)&gt;N($C32),"more broken than moulded",IF(AND($C32="",N(T32)&gt;0),"attendance marked but no blocks entered",IF(AND(N($C32)&gt;0,N(U32)=0),"no pay rate for this date - see Settings",IF(SUMPRODUCT((H32:S32&lt;&gt;"")*(H$4:S$4=""))&gt;0,"attendance in an empty worker slot",""))))))</f>
        <v/>
      </c>
      <c r="Y32" s="20"/>
    </row>
    <row r="33" customFormat="false" ht="15" hidden="false" customHeight="false" outlineLevel="0" collapsed="false">
      <c r="A33" s="21" t="n">
        <v>46313</v>
      </c>
      <c r="B33" s="22" t="str">
        <f aca="false">CHOOSE(WEEKDAY($A33,2),"Mon","Tue","Wed","Thu","Fri","Sat","Sun")</f>
        <v>Sun</v>
      </c>
      <c r="C33" s="12"/>
      <c r="D33" s="12"/>
      <c r="E33" s="13" t="str">
        <f aca="false">IF($C33="","",$C33-N($D33))</f>
        <v/>
      </c>
      <c r="F33" s="13" t="str">
        <f aca="false">IF($C33="","",$C33-MAX(0,N($D33)-BreakAllow*$C33))</f>
        <v/>
      </c>
      <c r="G33" s="12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5" t="str">
        <f aca="false">IF(COUNT(H33:S33)=0,"",SUM(H33:S33))</f>
        <v/>
      </c>
      <c r="U33" s="16" t="str">
        <f aca="false">IF($C33="","",IFERROR(INDEX(RateValues,MATCH(SUMPRODUCT(MAX((RateDates&lt;=$A33)*RateDates)),RateDates,0)),0))</f>
        <v/>
      </c>
      <c r="V33" s="17" t="str">
        <f aca="false">IF($C33="","",$F33*$U33)</f>
        <v/>
      </c>
      <c r="W33" s="18" t="n">
        <f aca="false">$A33-WEEKDAY($A33,2)+1</f>
        <v>46307</v>
      </c>
      <c r="X33" s="19" t="str">
        <f aca="false">IF(AND($C33="",T33=""),"",IF(AND(N($C33)&gt;0,N(T33)=0),"nobody marked present",IF(N($D33)&gt;N($C33),"more broken than moulded",IF(AND($C33="",N(T33)&gt;0),"attendance marked but no blocks entered",IF(AND(N($C33)&gt;0,N(U33)=0),"no pay rate for this date - see Settings",IF(SUMPRODUCT((H33:S33&lt;&gt;"")*(H$4:S$4=""))&gt;0,"attendance in an empty worker slot",""))))))</f>
        <v/>
      </c>
      <c r="Y33" s="20"/>
    </row>
    <row r="34" customFormat="false" ht="15" hidden="false" customHeight="false" outlineLevel="0" collapsed="false">
      <c r="A34" s="10" t="n">
        <v>46314</v>
      </c>
      <c r="B34" s="11" t="str">
        <f aca="false">CHOOSE(WEEKDAY($A34,2),"Mon","Tue","Wed","Thu","Fri","Sat","Sun")</f>
        <v>Mon</v>
      </c>
      <c r="C34" s="12"/>
      <c r="D34" s="12"/>
      <c r="E34" s="13" t="str">
        <f aca="false">IF($C34="","",$C34-N($D34))</f>
        <v/>
      </c>
      <c r="F34" s="13" t="str">
        <f aca="false">IF($C34="","",$C34-MAX(0,N($D34)-BreakAllow*$C34))</f>
        <v/>
      </c>
      <c r="G34" s="12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5" t="str">
        <f aca="false">IF(COUNT(H34:S34)=0,"",SUM(H34:S34))</f>
        <v/>
      </c>
      <c r="U34" s="16" t="str">
        <f aca="false">IF($C34="","",IFERROR(INDEX(RateValues,MATCH(SUMPRODUCT(MAX((RateDates&lt;=$A34)*RateDates)),RateDates,0)),0))</f>
        <v/>
      </c>
      <c r="V34" s="17" t="str">
        <f aca="false">IF($C34="","",$F34*$U34)</f>
        <v/>
      </c>
      <c r="W34" s="18" t="n">
        <f aca="false">$A34-WEEKDAY($A34,2)+1</f>
        <v>46314</v>
      </c>
      <c r="X34" s="19" t="str">
        <f aca="false">IF(AND($C34="",T34=""),"",IF(AND(N($C34)&gt;0,N(T34)=0),"nobody marked present",IF(N($D34)&gt;N($C34),"more broken than moulded",IF(AND($C34="",N(T34)&gt;0),"attendance marked but no blocks entered",IF(AND(N($C34)&gt;0,N(U34)=0),"no pay rate for this date - see Settings",IF(SUMPRODUCT((H34:S34&lt;&gt;"")*(H$4:S$4=""))&gt;0,"attendance in an empty worker slot",""))))))</f>
        <v/>
      </c>
      <c r="Y34" s="20"/>
    </row>
    <row r="35" customFormat="false" ht="15" hidden="false" customHeight="false" outlineLevel="0" collapsed="false">
      <c r="A35" s="10" t="n">
        <v>46315</v>
      </c>
      <c r="B35" s="11" t="str">
        <f aca="false">CHOOSE(WEEKDAY($A35,2),"Mon","Tue","Wed","Thu","Fri","Sat","Sun")</f>
        <v>Tue</v>
      </c>
      <c r="C35" s="12"/>
      <c r="D35" s="12"/>
      <c r="E35" s="13" t="str">
        <f aca="false">IF($C35="","",$C35-N($D35))</f>
        <v/>
      </c>
      <c r="F35" s="13" t="str">
        <f aca="false">IF($C35="","",$C35-MAX(0,N($D35)-BreakAllow*$C35))</f>
        <v/>
      </c>
      <c r="G35" s="12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5" t="str">
        <f aca="false">IF(COUNT(H35:S35)=0,"",SUM(H35:S35))</f>
        <v/>
      </c>
      <c r="U35" s="16" t="str">
        <f aca="false">IF($C35="","",IFERROR(INDEX(RateValues,MATCH(SUMPRODUCT(MAX((RateDates&lt;=$A35)*RateDates)),RateDates,0)),0))</f>
        <v/>
      </c>
      <c r="V35" s="17" t="str">
        <f aca="false">IF($C35="","",$F35*$U35)</f>
        <v/>
      </c>
      <c r="W35" s="18" t="n">
        <f aca="false">$A35-WEEKDAY($A35,2)+1</f>
        <v>46314</v>
      </c>
      <c r="X35" s="19" t="str">
        <f aca="false">IF(AND($C35="",T35=""),"",IF(AND(N($C35)&gt;0,N(T35)=0),"nobody marked present",IF(N($D35)&gt;N($C35),"more broken than moulded",IF(AND($C35="",N(T35)&gt;0),"attendance marked but no blocks entered",IF(AND(N($C35)&gt;0,N(U35)=0),"no pay rate for this date - see Settings",IF(SUMPRODUCT((H35:S35&lt;&gt;"")*(H$4:S$4=""))&gt;0,"attendance in an empty worker slot",""))))))</f>
        <v/>
      </c>
      <c r="Y35" s="20"/>
    </row>
    <row r="36" customFormat="false" ht="15" hidden="false" customHeight="false" outlineLevel="0" collapsed="false">
      <c r="A36" s="10" t="n">
        <v>46316</v>
      </c>
      <c r="B36" s="11" t="str">
        <f aca="false">CHOOSE(WEEKDAY($A36,2),"Mon","Tue","Wed","Thu","Fri","Sat","Sun")</f>
        <v>Wed</v>
      </c>
      <c r="C36" s="12"/>
      <c r="D36" s="12"/>
      <c r="E36" s="13" t="str">
        <f aca="false">IF($C36="","",$C36-N($D36))</f>
        <v/>
      </c>
      <c r="F36" s="13" t="str">
        <f aca="false">IF($C36="","",$C36-MAX(0,N($D36)-BreakAllow*$C36))</f>
        <v/>
      </c>
      <c r="G36" s="12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5" t="str">
        <f aca="false">IF(COUNT(H36:S36)=0,"",SUM(H36:S36))</f>
        <v/>
      </c>
      <c r="U36" s="16" t="str">
        <f aca="false">IF($C36="","",IFERROR(INDEX(RateValues,MATCH(SUMPRODUCT(MAX((RateDates&lt;=$A36)*RateDates)),RateDates,0)),0))</f>
        <v/>
      </c>
      <c r="V36" s="17" t="str">
        <f aca="false">IF($C36="","",$F36*$U36)</f>
        <v/>
      </c>
      <c r="W36" s="18" t="n">
        <f aca="false">$A36-WEEKDAY($A36,2)+1</f>
        <v>46314</v>
      </c>
      <c r="X36" s="19" t="str">
        <f aca="false">IF(AND($C36="",T36=""),"",IF(AND(N($C36)&gt;0,N(T36)=0),"nobody marked present",IF(N($D36)&gt;N($C36),"more broken than moulded",IF(AND($C36="",N(T36)&gt;0),"attendance marked but no blocks entered",IF(AND(N($C36)&gt;0,N(U36)=0),"no pay rate for this date - see Settings",IF(SUMPRODUCT((H36:S36&lt;&gt;"")*(H$4:S$4=""))&gt;0,"attendance in an empty worker slot",""))))))</f>
        <v/>
      </c>
      <c r="Y36" s="20"/>
    </row>
    <row r="37" customFormat="false" ht="15" hidden="false" customHeight="false" outlineLevel="0" collapsed="false">
      <c r="A37" s="10" t="n">
        <v>46317</v>
      </c>
      <c r="B37" s="11" t="str">
        <f aca="false">CHOOSE(WEEKDAY($A37,2),"Mon","Tue","Wed","Thu","Fri","Sat","Sun")</f>
        <v>Thu</v>
      </c>
      <c r="C37" s="12"/>
      <c r="D37" s="12"/>
      <c r="E37" s="13" t="str">
        <f aca="false">IF($C37="","",$C37-N($D37))</f>
        <v/>
      </c>
      <c r="F37" s="13" t="str">
        <f aca="false">IF($C37="","",$C37-MAX(0,N($D37)-BreakAllow*$C37))</f>
        <v/>
      </c>
      <c r="G37" s="12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5" t="str">
        <f aca="false">IF(COUNT(H37:S37)=0,"",SUM(H37:S37))</f>
        <v/>
      </c>
      <c r="U37" s="16" t="str">
        <f aca="false">IF($C37="","",IFERROR(INDEX(RateValues,MATCH(SUMPRODUCT(MAX((RateDates&lt;=$A37)*RateDates)),RateDates,0)),0))</f>
        <v/>
      </c>
      <c r="V37" s="17" t="str">
        <f aca="false">IF($C37="","",$F37*$U37)</f>
        <v/>
      </c>
      <c r="W37" s="18" t="n">
        <f aca="false">$A37-WEEKDAY($A37,2)+1</f>
        <v>46314</v>
      </c>
      <c r="X37" s="19" t="str">
        <f aca="false">IF(AND($C37="",T37=""),"",IF(AND(N($C37)&gt;0,N(T37)=0),"nobody marked present",IF(N($D37)&gt;N($C37),"more broken than moulded",IF(AND($C37="",N(T37)&gt;0),"attendance marked but no blocks entered",IF(AND(N($C37)&gt;0,N(U37)=0),"no pay rate for this date - see Settings",IF(SUMPRODUCT((H37:S37&lt;&gt;"")*(H$4:S$4=""))&gt;0,"attendance in an empty worker slot",""))))))</f>
        <v/>
      </c>
      <c r="Y37" s="20"/>
    </row>
    <row r="38" customFormat="false" ht="15" hidden="false" customHeight="false" outlineLevel="0" collapsed="false">
      <c r="A38" s="10" t="n">
        <v>46318</v>
      </c>
      <c r="B38" s="11" t="str">
        <f aca="false">CHOOSE(WEEKDAY($A38,2),"Mon","Tue","Wed","Thu","Fri","Sat","Sun")</f>
        <v>Fri</v>
      </c>
      <c r="C38" s="12"/>
      <c r="D38" s="12"/>
      <c r="E38" s="13" t="str">
        <f aca="false">IF($C38="","",$C38-N($D38))</f>
        <v/>
      </c>
      <c r="F38" s="13" t="str">
        <f aca="false">IF($C38="","",$C38-MAX(0,N($D38)-BreakAllow*$C38))</f>
        <v/>
      </c>
      <c r="G38" s="12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5" t="str">
        <f aca="false">IF(COUNT(H38:S38)=0,"",SUM(H38:S38))</f>
        <v/>
      </c>
      <c r="U38" s="16" t="str">
        <f aca="false">IF($C38="","",IFERROR(INDEX(RateValues,MATCH(SUMPRODUCT(MAX((RateDates&lt;=$A38)*RateDates)),RateDates,0)),0))</f>
        <v/>
      </c>
      <c r="V38" s="17" t="str">
        <f aca="false">IF($C38="","",$F38*$U38)</f>
        <v/>
      </c>
      <c r="W38" s="18" t="n">
        <f aca="false">$A38-WEEKDAY($A38,2)+1</f>
        <v>46314</v>
      </c>
      <c r="X38" s="19" t="str">
        <f aca="false">IF(AND($C38="",T38=""),"",IF(AND(N($C38)&gt;0,N(T38)=0),"nobody marked present",IF(N($D38)&gt;N($C38),"more broken than moulded",IF(AND($C38="",N(T38)&gt;0),"attendance marked but no blocks entered",IF(AND(N($C38)&gt;0,N(U38)=0),"no pay rate for this date - see Settings",IF(SUMPRODUCT((H38:S38&lt;&gt;"")*(H$4:S$4=""))&gt;0,"attendance in an empty worker slot",""))))))</f>
        <v/>
      </c>
      <c r="Y38" s="20"/>
    </row>
    <row r="39" customFormat="false" ht="15" hidden="false" customHeight="false" outlineLevel="0" collapsed="false">
      <c r="A39" s="10" t="n">
        <v>46319</v>
      </c>
      <c r="B39" s="11" t="str">
        <f aca="false">CHOOSE(WEEKDAY($A39,2),"Mon","Tue","Wed","Thu","Fri","Sat","Sun")</f>
        <v>Sat</v>
      </c>
      <c r="C39" s="12"/>
      <c r="D39" s="12"/>
      <c r="E39" s="13" t="str">
        <f aca="false">IF($C39="","",$C39-N($D39))</f>
        <v/>
      </c>
      <c r="F39" s="13" t="str">
        <f aca="false">IF($C39="","",$C39-MAX(0,N($D39)-BreakAllow*$C39))</f>
        <v/>
      </c>
      <c r="G39" s="12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5" t="str">
        <f aca="false">IF(COUNT(H39:S39)=0,"",SUM(H39:S39))</f>
        <v/>
      </c>
      <c r="U39" s="16" t="str">
        <f aca="false">IF($C39="","",IFERROR(INDEX(RateValues,MATCH(SUMPRODUCT(MAX((RateDates&lt;=$A39)*RateDates)),RateDates,0)),0))</f>
        <v/>
      </c>
      <c r="V39" s="17" t="str">
        <f aca="false">IF($C39="","",$F39*$U39)</f>
        <v/>
      </c>
      <c r="W39" s="18" t="n">
        <f aca="false">$A39-WEEKDAY($A39,2)+1</f>
        <v>46314</v>
      </c>
      <c r="X39" s="19" t="str">
        <f aca="false">IF(AND($C39="",T39=""),"",IF(AND(N($C39)&gt;0,N(T39)=0),"nobody marked present",IF(N($D39)&gt;N($C39),"more broken than moulded",IF(AND($C39="",N(T39)&gt;0),"attendance marked but no blocks entered",IF(AND(N($C39)&gt;0,N(U39)=0),"no pay rate for this date - see Settings",IF(SUMPRODUCT((H39:S39&lt;&gt;"")*(H$4:S$4=""))&gt;0,"attendance in an empty worker slot",""))))))</f>
        <v/>
      </c>
      <c r="Y39" s="20"/>
    </row>
    <row r="40" customFormat="false" ht="15" hidden="false" customHeight="false" outlineLevel="0" collapsed="false">
      <c r="A40" s="21" t="n">
        <v>46320</v>
      </c>
      <c r="B40" s="22" t="str">
        <f aca="false">CHOOSE(WEEKDAY($A40,2),"Mon","Tue","Wed","Thu","Fri","Sat","Sun")</f>
        <v>Sun</v>
      </c>
      <c r="C40" s="12"/>
      <c r="D40" s="12"/>
      <c r="E40" s="13" t="str">
        <f aca="false">IF($C40="","",$C40-N($D40))</f>
        <v/>
      </c>
      <c r="F40" s="13" t="str">
        <f aca="false">IF($C40="","",$C40-MAX(0,N($D40)-BreakAllow*$C40))</f>
        <v/>
      </c>
      <c r="G40" s="12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5" t="str">
        <f aca="false">IF(COUNT(H40:S40)=0,"",SUM(H40:S40))</f>
        <v/>
      </c>
      <c r="U40" s="16" t="str">
        <f aca="false">IF($C40="","",IFERROR(INDEX(RateValues,MATCH(SUMPRODUCT(MAX((RateDates&lt;=$A40)*RateDates)),RateDates,0)),0))</f>
        <v/>
      </c>
      <c r="V40" s="17" t="str">
        <f aca="false">IF($C40="","",$F40*$U40)</f>
        <v/>
      </c>
      <c r="W40" s="18" t="n">
        <f aca="false">$A40-WEEKDAY($A40,2)+1</f>
        <v>46314</v>
      </c>
      <c r="X40" s="19" t="str">
        <f aca="false">IF(AND($C40="",T40=""),"",IF(AND(N($C40)&gt;0,N(T40)=0),"nobody marked present",IF(N($D40)&gt;N($C40),"more broken than moulded",IF(AND($C40="",N(T40)&gt;0),"attendance marked but no blocks entered",IF(AND(N($C40)&gt;0,N(U40)=0),"no pay rate for this date - see Settings",IF(SUMPRODUCT((H40:S40&lt;&gt;"")*(H$4:S$4=""))&gt;0,"attendance in an empty worker slot",""))))))</f>
        <v/>
      </c>
      <c r="Y40" s="20"/>
    </row>
    <row r="41" customFormat="false" ht="15" hidden="false" customHeight="false" outlineLevel="0" collapsed="false">
      <c r="A41" s="10" t="n">
        <v>46321</v>
      </c>
      <c r="B41" s="11" t="str">
        <f aca="false">CHOOSE(WEEKDAY($A41,2),"Mon","Tue","Wed","Thu","Fri","Sat","Sun")</f>
        <v>Mon</v>
      </c>
      <c r="C41" s="12"/>
      <c r="D41" s="12"/>
      <c r="E41" s="13" t="str">
        <f aca="false">IF($C41="","",$C41-N($D41))</f>
        <v/>
      </c>
      <c r="F41" s="13" t="str">
        <f aca="false">IF($C41="","",$C41-MAX(0,N($D41)-BreakAllow*$C41))</f>
        <v/>
      </c>
      <c r="G41" s="12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5" t="str">
        <f aca="false">IF(COUNT(H41:S41)=0,"",SUM(H41:S41))</f>
        <v/>
      </c>
      <c r="U41" s="16" t="str">
        <f aca="false">IF($C41="","",IFERROR(INDEX(RateValues,MATCH(SUMPRODUCT(MAX((RateDates&lt;=$A41)*RateDates)),RateDates,0)),0))</f>
        <v/>
      </c>
      <c r="V41" s="17" t="str">
        <f aca="false">IF($C41="","",$F41*$U41)</f>
        <v/>
      </c>
      <c r="W41" s="18" t="n">
        <f aca="false">$A41-WEEKDAY($A41,2)+1</f>
        <v>46321</v>
      </c>
      <c r="X41" s="19" t="str">
        <f aca="false">IF(AND($C41="",T41=""),"",IF(AND(N($C41)&gt;0,N(T41)=0),"nobody marked present",IF(N($D41)&gt;N($C41),"more broken than moulded",IF(AND($C41="",N(T41)&gt;0),"attendance marked but no blocks entered",IF(AND(N($C41)&gt;0,N(U41)=0),"no pay rate for this date - see Settings",IF(SUMPRODUCT((H41:S41&lt;&gt;"")*(H$4:S$4=""))&gt;0,"attendance in an empty worker slot",""))))))</f>
        <v/>
      </c>
      <c r="Y41" s="20"/>
    </row>
    <row r="42" customFormat="false" ht="15" hidden="false" customHeight="false" outlineLevel="0" collapsed="false">
      <c r="A42" s="10" t="n">
        <v>46322</v>
      </c>
      <c r="B42" s="11" t="str">
        <f aca="false">CHOOSE(WEEKDAY($A42,2),"Mon","Tue","Wed","Thu","Fri","Sat","Sun")</f>
        <v>Tue</v>
      </c>
      <c r="C42" s="12"/>
      <c r="D42" s="12"/>
      <c r="E42" s="13" t="str">
        <f aca="false">IF($C42="","",$C42-N($D42))</f>
        <v/>
      </c>
      <c r="F42" s="13" t="str">
        <f aca="false">IF($C42="","",$C42-MAX(0,N($D42)-BreakAllow*$C42))</f>
        <v/>
      </c>
      <c r="G42" s="12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5" t="str">
        <f aca="false">IF(COUNT(H42:S42)=0,"",SUM(H42:S42))</f>
        <v/>
      </c>
      <c r="U42" s="16" t="str">
        <f aca="false">IF($C42="","",IFERROR(INDEX(RateValues,MATCH(SUMPRODUCT(MAX((RateDates&lt;=$A42)*RateDates)),RateDates,0)),0))</f>
        <v/>
      </c>
      <c r="V42" s="17" t="str">
        <f aca="false">IF($C42="","",$F42*$U42)</f>
        <v/>
      </c>
      <c r="W42" s="18" t="n">
        <f aca="false">$A42-WEEKDAY($A42,2)+1</f>
        <v>46321</v>
      </c>
      <c r="X42" s="19" t="str">
        <f aca="false">IF(AND($C42="",T42=""),"",IF(AND(N($C42)&gt;0,N(T42)=0),"nobody marked present",IF(N($D42)&gt;N($C42),"more broken than moulded",IF(AND($C42="",N(T42)&gt;0),"attendance marked but no blocks entered",IF(AND(N($C42)&gt;0,N(U42)=0),"no pay rate for this date - see Settings",IF(SUMPRODUCT((H42:S42&lt;&gt;"")*(H$4:S$4=""))&gt;0,"attendance in an empty worker slot",""))))))</f>
        <v/>
      </c>
      <c r="Y42" s="20"/>
    </row>
    <row r="43" customFormat="false" ht="15" hidden="false" customHeight="false" outlineLevel="0" collapsed="false">
      <c r="A43" s="10" t="n">
        <v>46323</v>
      </c>
      <c r="B43" s="11" t="str">
        <f aca="false">CHOOSE(WEEKDAY($A43,2),"Mon","Tue","Wed","Thu","Fri","Sat","Sun")</f>
        <v>Wed</v>
      </c>
      <c r="C43" s="12"/>
      <c r="D43" s="12"/>
      <c r="E43" s="13" t="str">
        <f aca="false">IF($C43="","",$C43-N($D43))</f>
        <v/>
      </c>
      <c r="F43" s="13" t="str">
        <f aca="false">IF($C43="","",$C43-MAX(0,N($D43)-BreakAllow*$C43))</f>
        <v/>
      </c>
      <c r="G43" s="12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5" t="str">
        <f aca="false">IF(COUNT(H43:S43)=0,"",SUM(H43:S43))</f>
        <v/>
      </c>
      <c r="U43" s="16" t="str">
        <f aca="false">IF($C43="","",IFERROR(INDEX(RateValues,MATCH(SUMPRODUCT(MAX((RateDates&lt;=$A43)*RateDates)),RateDates,0)),0))</f>
        <v/>
      </c>
      <c r="V43" s="17" t="str">
        <f aca="false">IF($C43="","",$F43*$U43)</f>
        <v/>
      </c>
      <c r="W43" s="18" t="n">
        <f aca="false">$A43-WEEKDAY($A43,2)+1</f>
        <v>46321</v>
      </c>
      <c r="X43" s="19" t="str">
        <f aca="false">IF(AND($C43="",T43=""),"",IF(AND(N($C43)&gt;0,N(T43)=0),"nobody marked present",IF(N($D43)&gt;N($C43),"more broken than moulded",IF(AND($C43="",N(T43)&gt;0),"attendance marked but no blocks entered",IF(AND(N($C43)&gt;0,N(U43)=0),"no pay rate for this date - see Settings",IF(SUMPRODUCT((H43:S43&lt;&gt;"")*(H$4:S$4=""))&gt;0,"attendance in an empty worker slot",""))))))</f>
        <v/>
      </c>
      <c r="Y43" s="20"/>
    </row>
    <row r="44" customFormat="false" ht="15" hidden="false" customHeight="false" outlineLevel="0" collapsed="false">
      <c r="A44" s="10" t="n">
        <v>46324</v>
      </c>
      <c r="B44" s="11" t="str">
        <f aca="false">CHOOSE(WEEKDAY($A44,2),"Mon","Tue","Wed","Thu","Fri","Sat","Sun")</f>
        <v>Thu</v>
      </c>
      <c r="C44" s="12"/>
      <c r="D44" s="12"/>
      <c r="E44" s="13" t="str">
        <f aca="false">IF($C44="","",$C44-N($D44))</f>
        <v/>
      </c>
      <c r="F44" s="13" t="str">
        <f aca="false">IF($C44="","",$C44-MAX(0,N($D44)-BreakAllow*$C44))</f>
        <v/>
      </c>
      <c r="G44" s="12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5" t="str">
        <f aca="false">IF(COUNT(H44:S44)=0,"",SUM(H44:S44))</f>
        <v/>
      </c>
      <c r="U44" s="16" t="str">
        <f aca="false">IF($C44="","",IFERROR(INDEX(RateValues,MATCH(SUMPRODUCT(MAX((RateDates&lt;=$A44)*RateDates)),RateDates,0)),0))</f>
        <v/>
      </c>
      <c r="V44" s="17" t="str">
        <f aca="false">IF($C44="","",$F44*$U44)</f>
        <v/>
      </c>
      <c r="W44" s="18" t="n">
        <f aca="false">$A44-WEEKDAY($A44,2)+1</f>
        <v>46321</v>
      </c>
      <c r="X44" s="19" t="str">
        <f aca="false">IF(AND($C44="",T44=""),"",IF(AND(N($C44)&gt;0,N(T44)=0),"nobody marked present",IF(N($D44)&gt;N($C44),"more broken than moulded",IF(AND($C44="",N(T44)&gt;0),"attendance marked but no blocks entered",IF(AND(N($C44)&gt;0,N(U44)=0),"no pay rate for this date - see Settings",IF(SUMPRODUCT((H44:S44&lt;&gt;"")*(H$4:S$4=""))&gt;0,"attendance in an empty worker slot",""))))))</f>
        <v/>
      </c>
      <c r="Y44" s="20"/>
    </row>
    <row r="45" customFormat="false" ht="15" hidden="false" customHeight="false" outlineLevel="0" collapsed="false">
      <c r="A45" s="10" t="n">
        <v>46325</v>
      </c>
      <c r="B45" s="11" t="str">
        <f aca="false">CHOOSE(WEEKDAY($A45,2),"Mon","Tue","Wed","Thu","Fri","Sat","Sun")</f>
        <v>Fri</v>
      </c>
      <c r="C45" s="12"/>
      <c r="D45" s="12"/>
      <c r="E45" s="13" t="str">
        <f aca="false">IF($C45="","",$C45-N($D45))</f>
        <v/>
      </c>
      <c r="F45" s="13" t="str">
        <f aca="false">IF($C45="","",$C45-MAX(0,N($D45)-BreakAllow*$C45))</f>
        <v/>
      </c>
      <c r="G45" s="12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5" t="str">
        <f aca="false">IF(COUNT(H45:S45)=0,"",SUM(H45:S45))</f>
        <v/>
      </c>
      <c r="U45" s="16" t="str">
        <f aca="false">IF($C45="","",IFERROR(INDEX(RateValues,MATCH(SUMPRODUCT(MAX((RateDates&lt;=$A45)*RateDates)),RateDates,0)),0))</f>
        <v/>
      </c>
      <c r="V45" s="17" t="str">
        <f aca="false">IF($C45="","",$F45*$U45)</f>
        <v/>
      </c>
      <c r="W45" s="18" t="n">
        <f aca="false">$A45-WEEKDAY($A45,2)+1</f>
        <v>46321</v>
      </c>
      <c r="X45" s="19" t="str">
        <f aca="false">IF(AND($C45="",T45=""),"",IF(AND(N($C45)&gt;0,N(T45)=0),"nobody marked present",IF(N($D45)&gt;N($C45),"more broken than moulded",IF(AND($C45="",N(T45)&gt;0),"attendance marked but no blocks entered",IF(AND(N($C45)&gt;0,N(U45)=0),"no pay rate for this date - see Settings",IF(SUMPRODUCT((H45:S45&lt;&gt;"")*(H$4:S$4=""))&gt;0,"attendance in an empty worker slot",""))))))</f>
        <v/>
      </c>
      <c r="Y45" s="20"/>
    </row>
    <row r="46" customFormat="false" ht="15" hidden="false" customHeight="false" outlineLevel="0" collapsed="false">
      <c r="A46" s="10" t="n">
        <v>46326</v>
      </c>
      <c r="B46" s="11" t="str">
        <f aca="false">CHOOSE(WEEKDAY($A46,2),"Mon","Tue","Wed","Thu","Fri","Sat","Sun")</f>
        <v>Sat</v>
      </c>
      <c r="C46" s="12"/>
      <c r="D46" s="12"/>
      <c r="E46" s="13" t="str">
        <f aca="false">IF($C46="","",$C46-N($D46))</f>
        <v/>
      </c>
      <c r="F46" s="13" t="str">
        <f aca="false">IF($C46="","",$C46-MAX(0,N($D46)-BreakAllow*$C46))</f>
        <v/>
      </c>
      <c r="G46" s="12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5" t="str">
        <f aca="false">IF(COUNT(H46:S46)=0,"",SUM(H46:S46))</f>
        <v/>
      </c>
      <c r="U46" s="16" t="str">
        <f aca="false">IF($C46="","",IFERROR(INDEX(RateValues,MATCH(SUMPRODUCT(MAX((RateDates&lt;=$A46)*RateDates)),RateDates,0)),0))</f>
        <v/>
      </c>
      <c r="V46" s="17" t="str">
        <f aca="false">IF($C46="","",$F46*$U46)</f>
        <v/>
      </c>
      <c r="W46" s="18" t="n">
        <f aca="false">$A46-WEEKDAY($A46,2)+1</f>
        <v>46321</v>
      </c>
      <c r="X46" s="19" t="str">
        <f aca="false">IF(AND($C46="",T46=""),"",IF(AND(N($C46)&gt;0,N(T46)=0),"nobody marked present",IF(N($D46)&gt;N($C46),"more broken than moulded",IF(AND($C46="",N(T46)&gt;0),"attendance marked but no blocks entered",IF(AND(N($C46)&gt;0,N(U46)=0),"no pay rate for this date - see Settings",IF(SUMPRODUCT((H46:S46&lt;&gt;"")*(H$4:S$4=""))&gt;0,"attendance in an empty worker slot",""))))))</f>
        <v/>
      </c>
      <c r="Y46" s="20"/>
    </row>
    <row r="47" customFormat="false" ht="15" hidden="false" customHeight="false" outlineLevel="0" collapsed="false">
      <c r="A47" s="21" t="n">
        <v>46327</v>
      </c>
      <c r="B47" s="22" t="str">
        <f aca="false">CHOOSE(WEEKDAY($A47,2),"Mon","Tue","Wed","Thu","Fri","Sat","Sun")</f>
        <v>Sun</v>
      </c>
      <c r="C47" s="12"/>
      <c r="D47" s="12"/>
      <c r="E47" s="13" t="str">
        <f aca="false">IF($C47="","",$C47-N($D47))</f>
        <v/>
      </c>
      <c r="F47" s="13" t="str">
        <f aca="false">IF($C47="","",$C47-MAX(0,N($D47)-BreakAllow*$C47))</f>
        <v/>
      </c>
      <c r="G47" s="12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5" t="str">
        <f aca="false">IF(COUNT(H47:S47)=0,"",SUM(H47:S47))</f>
        <v/>
      </c>
      <c r="U47" s="16" t="str">
        <f aca="false">IF($C47="","",IFERROR(INDEX(RateValues,MATCH(SUMPRODUCT(MAX((RateDates&lt;=$A47)*RateDates)),RateDates,0)),0))</f>
        <v/>
      </c>
      <c r="V47" s="17" t="str">
        <f aca="false">IF($C47="","",$F47*$U47)</f>
        <v/>
      </c>
      <c r="W47" s="18" t="n">
        <f aca="false">$A47-WEEKDAY($A47,2)+1</f>
        <v>46321</v>
      </c>
      <c r="X47" s="19" t="str">
        <f aca="false">IF(AND($C47="",T47=""),"",IF(AND(N($C47)&gt;0,N(T47)=0),"nobody marked present",IF(N($D47)&gt;N($C47),"more broken than moulded",IF(AND($C47="",N(T47)&gt;0),"attendance marked but no blocks entered",IF(AND(N($C47)&gt;0,N(U47)=0),"no pay rate for this date - see Settings",IF(SUMPRODUCT((H47:S47&lt;&gt;"")*(H$4:S$4=""))&gt;0,"attendance in an empty worker slot",""))))))</f>
        <v/>
      </c>
      <c r="Y47" s="20"/>
    </row>
    <row r="48" customFormat="false" ht="15" hidden="false" customHeight="false" outlineLevel="0" collapsed="false">
      <c r="A48" s="10" t="n">
        <v>46328</v>
      </c>
      <c r="B48" s="11" t="str">
        <f aca="false">CHOOSE(WEEKDAY($A48,2),"Mon","Tue","Wed","Thu","Fri","Sat","Sun")</f>
        <v>Mon</v>
      </c>
      <c r="C48" s="12"/>
      <c r="D48" s="12"/>
      <c r="E48" s="13" t="str">
        <f aca="false">IF($C48="","",$C48-N($D48))</f>
        <v/>
      </c>
      <c r="F48" s="13" t="str">
        <f aca="false">IF($C48="","",$C48-MAX(0,N($D48)-BreakAllow*$C48))</f>
        <v/>
      </c>
      <c r="G48" s="12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5" t="str">
        <f aca="false">IF(COUNT(H48:S48)=0,"",SUM(H48:S48))</f>
        <v/>
      </c>
      <c r="U48" s="16" t="str">
        <f aca="false">IF($C48="","",IFERROR(INDEX(RateValues,MATCH(SUMPRODUCT(MAX((RateDates&lt;=$A48)*RateDates)),RateDates,0)),0))</f>
        <v/>
      </c>
      <c r="V48" s="17" t="str">
        <f aca="false">IF($C48="","",$F48*$U48)</f>
        <v/>
      </c>
      <c r="W48" s="18" t="n">
        <f aca="false">$A48-WEEKDAY($A48,2)+1</f>
        <v>46328</v>
      </c>
      <c r="X48" s="19" t="str">
        <f aca="false">IF(AND($C48="",T48=""),"",IF(AND(N($C48)&gt;0,N(T48)=0),"nobody marked present",IF(N($D48)&gt;N($C48),"more broken than moulded",IF(AND($C48="",N(T48)&gt;0),"attendance marked but no blocks entered",IF(AND(N($C48)&gt;0,N(U48)=0),"no pay rate for this date - see Settings",IF(SUMPRODUCT((H48:S48&lt;&gt;"")*(H$4:S$4=""))&gt;0,"attendance in an empty worker slot",""))))))</f>
        <v/>
      </c>
      <c r="Y48" s="20"/>
    </row>
    <row r="49" customFormat="false" ht="15" hidden="false" customHeight="false" outlineLevel="0" collapsed="false">
      <c r="A49" s="10" t="n">
        <v>46329</v>
      </c>
      <c r="B49" s="11" t="str">
        <f aca="false">CHOOSE(WEEKDAY($A49,2),"Mon","Tue","Wed","Thu","Fri","Sat","Sun")</f>
        <v>Tue</v>
      </c>
      <c r="C49" s="12"/>
      <c r="D49" s="12"/>
      <c r="E49" s="13" t="str">
        <f aca="false">IF($C49="","",$C49-N($D49))</f>
        <v/>
      </c>
      <c r="F49" s="13" t="str">
        <f aca="false">IF($C49="","",$C49-MAX(0,N($D49)-BreakAllow*$C49))</f>
        <v/>
      </c>
      <c r="G49" s="12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5" t="str">
        <f aca="false">IF(COUNT(H49:S49)=0,"",SUM(H49:S49))</f>
        <v/>
      </c>
      <c r="U49" s="16" t="str">
        <f aca="false">IF($C49="","",IFERROR(INDEX(RateValues,MATCH(SUMPRODUCT(MAX((RateDates&lt;=$A49)*RateDates)),RateDates,0)),0))</f>
        <v/>
      </c>
      <c r="V49" s="17" t="str">
        <f aca="false">IF($C49="","",$F49*$U49)</f>
        <v/>
      </c>
      <c r="W49" s="18" t="n">
        <f aca="false">$A49-WEEKDAY($A49,2)+1</f>
        <v>46328</v>
      </c>
      <c r="X49" s="19" t="str">
        <f aca="false">IF(AND($C49="",T49=""),"",IF(AND(N($C49)&gt;0,N(T49)=0),"nobody marked present",IF(N($D49)&gt;N($C49),"more broken than moulded",IF(AND($C49="",N(T49)&gt;0),"attendance marked but no blocks entered",IF(AND(N($C49)&gt;0,N(U49)=0),"no pay rate for this date - see Settings",IF(SUMPRODUCT((H49:S49&lt;&gt;"")*(H$4:S$4=""))&gt;0,"attendance in an empty worker slot",""))))))</f>
        <v/>
      </c>
      <c r="Y49" s="20"/>
    </row>
    <row r="50" customFormat="false" ht="15" hidden="false" customHeight="false" outlineLevel="0" collapsed="false">
      <c r="A50" s="10" t="n">
        <v>46330</v>
      </c>
      <c r="B50" s="11" t="str">
        <f aca="false">CHOOSE(WEEKDAY($A50,2),"Mon","Tue","Wed","Thu","Fri","Sat","Sun")</f>
        <v>Wed</v>
      </c>
      <c r="C50" s="12"/>
      <c r="D50" s="12"/>
      <c r="E50" s="13" t="str">
        <f aca="false">IF($C50="","",$C50-N($D50))</f>
        <v/>
      </c>
      <c r="F50" s="13" t="str">
        <f aca="false">IF($C50="","",$C50-MAX(0,N($D50)-BreakAllow*$C50))</f>
        <v/>
      </c>
      <c r="G50" s="12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5" t="str">
        <f aca="false">IF(COUNT(H50:S50)=0,"",SUM(H50:S50))</f>
        <v/>
      </c>
      <c r="U50" s="16" t="str">
        <f aca="false">IF($C50="","",IFERROR(INDEX(RateValues,MATCH(SUMPRODUCT(MAX((RateDates&lt;=$A50)*RateDates)),RateDates,0)),0))</f>
        <v/>
      </c>
      <c r="V50" s="17" t="str">
        <f aca="false">IF($C50="","",$F50*$U50)</f>
        <v/>
      </c>
      <c r="W50" s="18" t="n">
        <f aca="false">$A50-WEEKDAY($A50,2)+1</f>
        <v>46328</v>
      </c>
      <c r="X50" s="19" t="str">
        <f aca="false">IF(AND($C50="",T50=""),"",IF(AND(N($C50)&gt;0,N(T50)=0),"nobody marked present",IF(N($D50)&gt;N($C50),"more broken than moulded",IF(AND($C50="",N(T50)&gt;0),"attendance marked but no blocks entered",IF(AND(N($C50)&gt;0,N(U50)=0),"no pay rate for this date - see Settings",IF(SUMPRODUCT((H50:S50&lt;&gt;"")*(H$4:S$4=""))&gt;0,"attendance in an empty worker slot",""))))))</f>
        <v/>
      </c>
      <c r="Y50" s="20"/>
    </row>
    <row r="51" customFormat="false" ht="15" hidden="false" customHeight="false" outlineLevel="0" collapsed="false">
      <c r="A51" s="10" t="n">
        <v>46331</v>
      </c>
      <c r="B51" s="11" t="str">
        <f aca="false">CHOOSE(WEEKDAY($A51,2),"Mon","Tue","Wed","Thu","Fri","Sat","Sun")</f>
        <v>Thu</v>
      </c>
      <c r="C51" s="12"/>
      <c r="D51" s="12"/>
      <c r="E51" s="13" t="str">
        <f aca="false">IF($C51="","",$C51-N($D51))</f>
        <v/>
      </c>
      <c r="F51" s="13" t="str">
        <f aca="false">IF($C51="","",$C51-MAX(0,N($D51)-BreakAllow*$C51))</f>
        <v/>
      </c>
      <c r="G51" s="12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5" t="str">
        <f aca="false">IF(COUNT(H51:S51)=0,"",SUM(H51:S51))</f>
        <v/>
      </c>
      <c r="U51" s="16" t="str">
        <f aca="false">IF($C51="","",IFERROR(INDEX(RateValues,MATCH(SUMPRODUCT(MAX((RateDates&lt;=$A51)*RateDates)),RateDates,0)),0))</f>
        <v/>
      </c>
      <c r="V51" s="17" t="str">
        <f aca="false">IF($C51="","",$F51*$U51)</f>
        <v/>
      </c>
      <c r="W51" s="18" t="n">
        <f aca="false">$A51-WEEKDAY($A51,2)+1</f>
        <v>46328</v>
      </c>
      <c r="X51" s="19" t="str">
        <f aca="false">IF(AND($C51="",T51=""),"",IF(AND(N($C51)&gt;0,N(T51)=0),"nobody marked present",IF(N($D51)&gt;N($C51),"more broken than moulded",IF(AND($C51="",N(T51)&gt;0),"attendance marked but no blocks entered",IF(AND(N($C51)&gt;0,N(U51)=0),"no pay rate for this date - see Settings",IF(SUMPRODUCT((H51:S51&lt;&gt;"")*(H$4:S$4=""))&gt;0,"attendance in an empty worker slot",""))))))</f>
        <v/>
      </c>
      <c r="Y51" s="20"/>
    </row>
    <row r="52" customFormat="false" ht="15" hidden="false" customHeight="false" outlineLevel="0" collapsed="false">
      <c r="A52" s="10" t="n">
        <v>46332</v>
      </c>
      <c r="B52" s="11" t="str">
        <f aca="false">CHOOSE(WEEKDAY($A52,2),"Mon","Tue","Wed","Thu","Fri","Sat","Sun")</f>
        <v>Fri</v>
      </c>
      <c r="C52" s="12"/>
      <c r="D52" s="12"/>
      <c r="E52" s="13" t="str">
        <f aca="false">IF($C52="","",$C52-N($D52))</f>
        <v/>
      </c>
      <c r="F52" s="13" t="str">
        <f aca="false">IF($C52="","",$C52-MAX(0,N($D52)-BreakAllow*$C52))</f>
        <v/>
      </c>
      <c r="G52" s="12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5" t="str">
        <f aca="false">IF(COUNT(H52:S52)=0,"",SUM(H52:S52))</f>
        <v/>
      </c>
      <c r="U52" s="16" t="str">
        <f aca="false">IF($C52="","",IFERROR(INDEX(RateValues,MATCH(SUMPRODUCT(MAX((RateDates&lt;=$A52)*RateDates)),RateDates,0)),0))</f>
        <v/>
      </c>
      <c r="V52" s="17" t="str">
        <f aca="false">IF($C52="","",$F52*$U52)</f>
        <v/>
      </c>
      <c r="W52" s="18" t="n">
        <f aca="false">$A52-WEEKDAY($A52,2)+1</f>
        <v>46328</v>
      </c>
      <c r="X52" s="19" t="str">
        <f aca="false">IF(AND($C52="",T52=""),"",IF(AND(N($C52)&gt;0,N(T52)=0),"nobody marked present",IF(N($D52)&gt;N($C52),"more broken than moulded",IF(AND($C52="",N(T52)&gt;0),"attendance marked but no blocks entered",IF(AND(N($C52)&gt;0,N(U52)=0),"no pay rate for this date - see Settings",IF(SUMPRODUCT((H52:S52&lt;&gt;"")*(H$4:S$4=""))&gt;0,"attendance in an empty worker slot",""))))))</f>
        <v/>
      </c>
      <c r="Y52" s="20"/>
    </row>
    <row r="53" customFormat="false" ht="15" hidden="false" customHeight="false" outlineLevel="0" collapsed="false">
      <c r="A53" s="10" t="n">
        <v>46333</v>
      </c>
      <c r="B53" s="11" t="str">
        <f aca="false">CHOOSE(WEEKDAY($A53,2),"Mon","Tue","Wed","Thu","Fri","Sat","Sun")</f>
        <v>Sat</v>
      </c>
      <c r="C53" s="12"/>
      <c r="D53" s="12"/>
      <c r="E53" s="13" t="str">
        <f aca="false">IF($C53="","",$C53-N($D53))</f>
        <v/>
      </c>
      <c r="F53" s="13" t="str">
        <f aca="false">IF($C53="","",$C53-MAX(0,N($D53)-BreakAllow*$C53))</f>
        <v/>
      </c>
      <c r="G53" s="12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5" t="str">
        <f aca="false">IF(COUNT(H53:S53)=0,"",SUM(H53:S53))</f>
        <v/>
      </c>
      <c r="U53" s="16" t="str">
        <f aca="false">IF($C53="","",IFERROR(INDEX(RateValues,MATCH(SUMPRODUCT(MAX((RateDates&lt;=$A53)*RateDates)),RateDates,0)),0))</f>
        <v/>
      </c>
      <c r="V53" s="17" t="str">
        <f aca="false">IF($C53="","",$F53*$U53)</f>
        <v/>
      </c>
      <c r="W53" s="18" t="n">
        <f aca="false">$A53-WEEKDAY($A53,2)+1</f>
        <v>46328</v>
      </c>
      <c r="X53" s="19" t="str">
        <f aca="false">IF(AND($C53="",T53=""),"",IF(AND(N($C53)&gt;0,N(T53)=0),"nobody marked present",IF(N($D53)&gt;N($C53),"more broken than moulded",IF(AND($C53="",N(T53)&gt;0),"attendance marked but no blocks entered",IF(AND(N($C53)&gt;0,N(U53)=0),"no pay rate for this date - see Settings",IF(SUMPRODUCT((H53:S53&lt;&gt;"")*(H$4:S$4=""))&gt;0,"attendance in an empty worker slot",""))))))</f>
        <v/>
      </c>
      <c r="Y53" s="20"/>
    </row>
    <row r="54" customFormat="false" ht="15" hidden="false" customHeight="false" outlineLevel="0" collapsed="false">
      <c r="A54" s="21" t="n">
        <v>46334</v>
      </c>
      <c r="B54" s="22" t="str">
        <f aca="false">CHOOSE(WEEKDAY($A54,2),"Mon","Tue","Wed","Thu","Fri","Sat","Sun")</f>
        <v>Sun</v>
      </c>
      <c r="C54" s="12"/>
      <c r="D54" s="12"/>
      <c r="E54" s="13" t="str">
        <f aca="false">IF($C54="","",$C54-N($D54))</f>
        <v/>
      </c>
      <c r="F54" s="13" t="str">
        <f aca="false">IF($C54="","",$C54-MAX(0,N($D54)-BreakAllow*$C54))</f>
        <v/>
      </c>
      <c r="G54" s="12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5" t="str">
        <f aca="false">IF(COUNT(H54:S54)=0,"",SUM(H54:S54))</f>
        <v/>
      </c>
      <c r="U54" s="16" t="str">
        <f aca="false">IF($C54="","",IFERROR(INDEX(RateValues,MATCH(SUMPRODUCT(MAX((RateDates&lt;=$A54)*RateDates)),RateDates,0)),0))</f>
        <v/>
      </c>
      <c r="V54" s="17" t="str">
        <f aca="false">IF($C54="","",$F54*$U54)</f>
        <v/>
      </c>
      <c r="W54" s="18" t="n">
        <f aca="false">$A54-WEEKDAY($A54,2)+1</f>
        <v>46328</v>
      </c>
      <c r="X54" s="19" t="str">
        <f aca="false">IF(AND($C54="",T54=""),"",IF(AND(N($C54)&gt;0,N(T54)=0),"nobody marked present",IF(N($D54)&gt;N($C54),"more broken than moulded",IF(AND($C54="",N(T54)&gt;0),"attendance marked but no blocks entered",IF(AND(N($C54)&gt;0,N(U54)=0),"no pay rate for this date - see Settings",IF(SUMPRODUCT((H54:S54&lt;&gt;"")*(H$4:S$4=""))&gt;0,"attendance in an empty worker slot",""))))))</f>
        <v/>
      </c>
      <c r="Y54" s="20"/>
    </row>
    <row r="55" customFormat="false" ht="15" hidden="false" customHeight="false" outlineLevel="0" collapsed="false">
      <c r="A55" s="10" t="n">
        <v>46335</v>
      </c>
      <c r="B55" s="11" t="str">
        <f aca="false">CHOOSE(WEEKDAY($A55,2),"Mon","Tue","Wed","Thu","Fri","Sat","Sun")</f>
        <v>Mon</v>
      </c>
      <c r="C55" s="12"/>
      <c r="D55" s="12"/>
      <c r="E55" s="13" t="str">
        <f aca="false">IF($C55="","",$C55-N($D55))</f>
        <v/>
      </c>
      <c r="F55" s="13" t="str">
        <f aca="false">IF($C55="","",$C55-MAX(0,N($D55)-BreakAllow*$C55))</f>
        <v/>
      </c>
      <c r="G55" s="12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5" t="str">
        <f aca="false">IF(COUNT(H55:S55)=0,"",SUM(H55:S55))</f>
        <v/>
      </c>
      <c r="U55" s="16" t="str">
        <f aca="false">IF($C55="","",IFERROR(INDEX(RateValues,MATCH(SUMPRODUCT(MAX((RateDates&lt;=$A55)*RateDates)),RateDates,0)),0))</f>
        <v/>
      </c>
      <c r="V55" s="17" t="str">
        <f aca="false">IF($C55="","",$F55*$U55)</f>
        <v/>
      </c>
      <c r="W55" s="18" t="n">
        <f aca="false">$A55-WEEKDAY($A55,2)+1</f>
        <v>46335</v>
      </c>
      <c r="X55" s="19" t="str">
        <f aca="false">IF(AND($C55="",T55=""),"",IF(AND(N($C55)&gt;0,N(T55)=0),"nobody marked present",IF(N($D55)&gt;N($C55),"more broken than moulded",IF(AND($C55="",N(T55)&gt;0),"attendance marked but no blocks entered",IF(AND(N($C55)&gt;0,N(U55)=0),"no pay rate for this date - see Settings",IF(SUMPRODUCT((H55:S55&lt;&gt;"")*(H$4:S$4=""))&gt;0,"attendance in an empty worker slot",""))))))</f>
        <v/>
      </c>
      <c r="Y55" s="20"/>
    </row>
    <row r="56" customFormat="false" ht="15" hidden="false" customHeight="false" outlineLevel="0" collapsed="false">
      <c r="A56" s="10" t="n">
        <v>46336</v>
      </c>
      <c r="B56" s="11" t="str">
        <f aca="false">CHOOSE(WEEKDAY($A56,2),"Mon","Tue","Wed","Thu","Fri","Sat","Sun")</f>
        <v>Tue</v>
      </c>
      <c r="C56" s="12"/>
      <c r="D56" s="12"/>
      <c r="E56" s="13" t="str">
        <f aca="false">IF($C56="","",$C56-N($D56))</f>
        <v/>
      </c>
      <c r="F56" s="13" t="str">
        <f aca="false">IF($C56="","",$C56-MAX(0,N($D56)-BreakAllow*$C56))</f>
        <v/>
      </c>
      <c r="G56" s="12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5" t="str">
        <f aca="false">IF(COUNT(H56:S56)=0,"",SUM(H56:S56))</f>
        <v/>
      </c>
      <c r="U56" s="16" t="str">
        <f aca="false">IF($C56="","",IFERROR(INDEX(RateValues,MATCH(SUMPRODUCT(MAX((RateDates&lt;=$A56)*RateDates)),RateDates,0)),0))</f>
        <v/>
      </c>
      <c r="V56" s="17" t="str">
        <f aca="false">IF($C56="","",$F56*$U56)</f>
        <v/>
      </c>
      <c r="W56" s="18" t="n">
        <f aca="false">$A56-WEEKDAY($A56,2)+1</f>
        <v>46335</v>
      </c>
      <c r="X56" s="19" t="str">
        <f aca="false">IF(AND($C56="",T56=""),"",IF(AND(N($C56)&gt;0,N(T56)=0),"nobody marked present",IF(N($D56)&gt;N($C56),"more broken than moulded",IF(AND($C56="",N(T56)&gt;0),"attendance marked but no blocks entered",IF(AND(N($C56)&gt;0,N(U56)=0),"no pay rate for this date - see Settings",IF(SUMPRODUCT((H56:S56&lt;&gt;"")*(H$4:S$4=""))&gt;0,"attendance in an empty worker slot",""))))))</f>
        <v/>
      </c>
      <c r="Y56" s="20"/>
    </row>
    <row r="57" customFormat="false" ht="15" hidden="false" customHeight="false" outlineLevel="0" collapsed="false">
      <c r="A57" s="10" t="n">
        <v>46337</v>
      </c>
      <c r="B57" s="11" t="str">
        <f aca="false">CHOOSE(WEEKDAY($A57,2),"Mon","Tue","Wed","Thu","Fri","Sat","Sun")</f>
        <v>Wed</v>
      </c>
      <c r="C57" s="12"/>
      <c r="D57" s="12"/>
      <c r="E57" s="13" t="str">
        <f aca="false">IF($C57="","",$C57-N($D57))</f>
        <v/>
      </c>
      <c r="F57" s="13" t="str">
        <f aca="false">IF($C57="","",$C57-MAX(0,N($D57)-BreakAllow*$C57))</f>
        <v/>
      </c>
      <c r="G57" s="12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5" t="str">
        <f aca="false">IF(COUNT(H57:S57)=0,"",SUM(H57:S57))</f>
        <v/>
      </c>
      <c r="U57" s="16" t="str">
        <f aca="false">IF($C57="","",IFERROR(INDEX(RateValues,MATCH(SUMPRODUCT(MAX((RateDates&lt;=$A57)*RateDates)),RateDates,0)),0))</f>
        <v/>
      </c>
      <c r="V57" s="17" t="str">
        <f aca="false">IF($C57="","",$F57*$U57)</f>
        <v/>
      </c>
      <c r="W57" s="18" t="n">
        <f aca="false">$A57-WEEKDAY($A57,2)+1</f>
        <v>46335</v>
      </c>
      <c r="X57" s="19" t="str">
        <f aca="false">IF(AND($C57="",T57=""),"",IF(AND(N($C57)&gt;0,N(T57)=0),"nobody marked present",IF(N($D57)&gt;N($C57),"more broken than moulded",IF(AND($C57="",N(T57)&gt;0),"attendance marked but no blocks entered",IF(AND(N($C57)&gt;0,N(U57)=0),"no pay rate for this date - see Settings",IF(SUMPRODUCT((H57:S57&lt;&gt;"")*(H$4:S$4=""))&gt;0,"attendance in an empty worker slot",""))))))</f>
        <v/>
      </c>
      <c r="Y57" s="20"/>
    </row>
    <row r="58" customFormat="false" ht="15" hidden="false" customHeight="false" outlineLevel="0" collapsed="false">
      <c r="A58" s="10" t="n">
        <v>46338</v>
      </c>
      <c r="B58" s="11" t="str">
        <f aca="false">CHOOSE(WEEKDAY($A58,2),"Mon","Tue","Wed","Thu","Fri","Sat","Sun")</f>
        <v>Thu</v>
      </c>
      <c r="C58" s="12"/>
      <c r="D58" s="12"/>
      <c r="E58" s="13" t="str">
        <f aca="false">IF($C58="","",$C58-N($D58))</f>
        <v/>
      </c>
      <c r="F58" s="13" t="str">
        <f aca="false">IF($C58="","",$C58-MAX(0,N($D58)-BreakAllow*$C58))</f>
        <v/>
      </c>
      <c r="G58" s="12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5" t="str">
        <f aca="false">IF(COUNT(H58:S58)=0,"",SUM(H58:S58))</f>
        <v/>
      </c>
      <c r="U58" s="16" t="str">
        <f aca="false">IF($C58="","",IFERROR(INDEX(RateValues,MATCH(SUMPRODUCT(MAX((RateDates&lt;=$A58)*RateDates)),RateDates,0)),0))</f>
        <v/>
      </c>
      <c r="V58" s="17" t="str">
        <f aca="false">IF($C58="","",$F58*$U58)</f>
        <v/>
      </c>
      <c r="W58" s="18" t="n">
        <f aca="false">$A58-WEEKDAY($A58,2)+1</f>
        <v>46335</v>
      </c>
      <c r="X58" s="19" t="str">
        <f aca="false">IF(AND($C58="",T58=""),"",IF(AND(N($C58)&gt;0,N(T58)=0),"nobody marked present",IF(N($D58)&gt;N($C58),"more broken than moulded",IF(AND($C58="",N(T58)&gt;0),"attendance marked but no blocks entered",IF(AND(N($C58)&gt;0,N(U58)=0),"no pay rate for this date - see Settings",IF(SUMPRODUCT((H58:S58&lt;&gt;"")*(H$4:S$4=""))&gt;0,"attendance in an empty worker slot",""))))))</f>
        <v/>
      </c>
      <c r="Y58" s="20"/>
    </row>
    <row r="59" customFormat="false" ht="15" hidden="false" customHeight="false" outlineLevel="0" collapsed="false">
      <c r="A59" s="10" t="n">
        <v>46339</v>
      </c>
      <c r="B59" s="11" t="str">
        <f aca="false">CHOOSE(WEEKDAY($A59,2),"Mon","Tue","Wed","Thu","Fri","Sat","Sun")</f>
        <v>Fri</v>
      </c>
      <c r="C59" s="12"/>
      <c r="D59" s="12"/>
      <c r="E59" s="13" t="str">
        <f aca="false">IF($C59="","",$C59-N($D59))</f>
        <v/>
      </c>
      <c r="F59" s="13" t="str">
        <f aca="false">IF($C59="","",$C59-MAX(0,N($D59)-BreakAllow*$C59))</f>
        <v/>
      </c>
      <c r="G59" s="12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5" t="str">
        <f aca="false">IF(COUNT(H59:S59)=0,"",SUM(H59:S59))</f>
        <v/>
      </c>
      <c r="U59" s="16" t="str">
        <f aca="false">IF($C59="","",IFERROR(INDEX(RateValues,MATCH(SUMPRODUCT(MAX((RateDates&lt;=$A59)*RateDates)),RateDates,0)),0))</f>
        <v/>
      </c>
      <c r="V59" s="17" t="str">
        <f aca="false">IF($C59="","",$F59*$U59)</f>
        <v/>
      </c>
      <c r="W59" s="18" t="n">
        <f aca="false">$A59-WEEKDAY($A59,2)+1</f>
        <v>46335</v>
      </c>
      <c r="X59" s="19" t="str">
        <f aca="false">IF(AND($C59="",T59=""),"",IF(AND(N($C59)&gt;0,N(T59)=0),"nobody marked present",IF(N($D59)&gt;N($C59),"more broken than moulded",IF(AND($C59="",N(T59)&gt;0),"attendance marked but no blocks entered",IF(AND(N($C59)&gt;0,N(U59)=0),"no pay rate for this date - see Settings",IF(SUMPRODUCT((H59:S59&lt;&gt;"")*(H$4:S$4=""))&gt;0,"attendance in an empty worker slot",""))))))</f>
        <v/>
      </c>
      <c r="Y59" s="20"/>
    </row>
    <row r="60" customFormat="false" ht="15" hidden="false" customHeight="false" outlineLevel="0" collapsed="false">
      <c r="A60" s="10" t="n">
        <v>46340</v>
      </c>
      <c r="B60" s="11" t="str">
        <f aca="false">CHOOSE(WEEKDAY($A60,2),"Mon","Tue","Wed","Thu","Fri","Sat","Sun")</f>
        <v>Sat</v>
      </c>
      <c r="C60" s="12"/>
      <c r="D60" s="12"/>
      <c r="E60" s="13" t="str">
        <f aca="false">IF($C60="","",$C60-N($D60))</f>
        <v/>
      </c>
      <c r="F60" s="13" t="str">
        <f aca="false">IF($C60="","",$C60-MAX(0,N($D60)-BreakAllow*$C60))</f>
        <v/>
      </c>
      <c r="G60" s="12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5" t="str">
        <f aca="false">IF(COUNT(H60:S60)=0,"",SUM(H60:S60))</f>
        <v/>
      </c>
      <c r="U60" s="16" t="str">
        <f aca="false">IF($C60="","",IFERROR(INDEX(RateValues,MATCH(SUMPRODUCT(MAX((RateDates&lt;=$A60)*RateDates)),RateDates,0)),0))</f>
        <v/>
      </c>
      <c r="V60" s="17" t="str">
        <f aca="false">IF($C60="","",$F60*$U60)</f>
        <v/>
      </c>
      <c r="W60" s="18" t="n">
        <f aca="false">$A60-WEEKDAY($A60,2)+1</f>
        <v>46335</v>
      </c>
      <c r="X60" s="19" t="str">
        <f aca="false">IF(AND($C60="",T60=""),"",IF(AND(N($C60)&gt;0,N(T60)=0),"nobody marked present",IF(N($D60)&gt;N($C60),"more broken than moulded",IF(AND($C60="",N(T60)&gt;0),"attendance marked but no blocks entered",IF(AND(N($C60)&gt;0,N(U60)=0),"no pay rate for this date - see Settings",IF(SUMPRODUCT((H60:S60&lt;&gt;"")*(H$4:S$4=""))&gt;0,"attendance in an empty worker slot",""))))))</f>
        <v/>
      </c>
      <c r="Y60" s="20"/>
    </row>
    <row r="61" customFormat="false" ht="15" hidden="false" customHeight="false" outlineLevel="0" collapsed="false">
      <c r="A61" s="21" t="n">
        <v>46341</v>
      </c>
      <c r="B61" s="22" t="str">
        <f aca="false">CHOOSE(WEEKDAY($A61,2),"Mon","Tue","Wed","Thu","Fri","Sat","Sun")</f>
        <v>Sun</v>
      </c>
      <c r="C61" s="12"/>
      <c r="D61" s="12"/>
      <c r="E61" s="13" t="str">
        <f aca="false">IF($C61="","",$C61-N($D61))</f>
        <v/>
      </c>
      <c r="F61" s="13" t="str">
        <f aca="false">IF($C61="","",$C61-MAX(0,N($D61)-BreakAllow*$C61))</f>
        <v/>
      </c>
      <c r="G61" s="12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5" t="str">
        <f aca="false">IF(COUNT(H61:S61)=0,"",SUM(H61:S61))</f>
        <v/>
      </c>
      <c r="U61" s="16" t="str">
        <f aca="false">IF($C61="","",IFERROR(INDEX(RateValues,MATCH(SUMPRODUCT(MAX((RateDates&lt;=$A61)*RateDates)),RateDates,0)),0))</f>
        <v/>
      </c>
      <c r="V61" s="17" t="str">
        <f aca="false">IF($C61="","",$F61*$U61)</f>
        <v/>
      </c>
      <c r="W61" s="18" t="n">
        <f aca="false">$A61-WEEKDAY($A61,2)+1</f>
        <v>46335</v>
      </c>
      <c r="X61" s="19" t="str">
        <f aca="false">IF(AND($C61="",T61=""),"",IF(AND(N($C61)&gt;0,N(T61)=0),"nobody marked present",IF(N($D61)&gt;N($C61),"more broken than moulded",IF(AND($C61="",N(T61)&gt;0),"attendance marked but no blocks entered",IF(AND(N($C61)&gt;0,N(U61)=0),"no pay rate for this date - see Settings",IF(SUMPRODUCT((H61:S61&lt;&gt;"")*(H$4:S$4=""))&gt;0,"attendance in an empty worker slot",""))))))</f>
        <v/>
      </c>
      <c r="Y61" s="20"/>
    </row>
    <row r="62" customFormat="false" ht="15" hidden="false" customHeight="false" outlineLevel="0" collapsed="false">
      <c r="A62" s="10" t="n">
        <v>46342</v>
      </c>
      <c r="B62" s="11" t="str">
        <f aca="false">CHOOSE(WEEKDAY($A62,2),"Mon","Tue","Wed","Thu","Fri","Sat","Sun")</f>
        <v>Mon</v>
      </c>
      <c r="C62" s="12"/>
      <c r="D62" s="12"/>
      <c r="E62" s="13" t="str">
        <f aca="false">IF($C62="","",$C62-N($D62))</f>
        <v/>
      </c>
      <c r="F62" s="13" t="str">
        <f aca="false">IF($C62="","",$C62-MAX(0,N($D62)-BreakAllow*$C62))</f>
        <v/>
      </c>
      <c r="G62" s="12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5" t="str">
        <f aca="false">IF(COUNT(H62:S62)=0,"",SUM(H62:S62))</f>
        <v/>
      </c>
      <c r="U62" s="16" t="str">
        <f aca="false">IF($C62="","",IFERROR(INDEX(RateValues,MATCH(SUMPRODUCT(MAX((RateDates&lt;=$A62)*RateDates)),RateDates,0)),0))</f>
        <v/>
      </c>
      <c r="V62" s="17" t="str">
        <f aca="false">IF($C62="","",$F62*$U62)</f>
        <v/>
      </c>
      <c r="W62" s="18" t="n">
        <f aca="false">$A62-WEEKDAY($A62,2)+1</f>
        <v>46342</v>
      </c>
      <c r="X62" s="19" t="str">
        <f aca="false">IF(AND($C62="",T62=""),"",IF(AND(N($C62)&gt;0,N(T62)=0),"nobody marked present",IF(N($D62)&gt;N($C62),"more broken than moulded",IF(AND($C62="",N(T62)&gt;0),"attendance marked but no blocks entered",IF(AND(N($C62)&gt;0,N(U62)=0),"no pay rate for this date - see Settings",IF(SUMPRODUCT((H62:S62&lt;&gt;"")*(H$4:S$4=""))&gt;0,"attendance in an empty worker slot",""))))))</f>
        <v/>
      </c>
      <c r="Y62" s="20"/>
    </row>
    <row r="63" customFormat="false" ht="15" hidden="false" customHeight="false" outlineLevel="0" collapsed="false">
      <c r="A63" s="10" t="n">
        <v>46343</v>
      </c>
      <c r="B63" s="11" t="str">
        <f aca="false">CHOOSE(WEEKDAY($A63,2),"Mon","Tue","Wed","Thu","Fri","Sat","Sun")</f>
        <v>Tue</v>
      </c>
      <c r="C63" s="12"/>
      <c r="D63" s="12"/>
      <c r="E63" s="13" t="str">
        <f aca="false">IF($C63="","",$C63-N($D63))</f>
        <v/>
      </c>
      <c r="F63" s="13" t="str">
        <f aca="false">IF($C63="","",$C63-MAX(0,N($D63)-BreakAllow*$C63))</f>
        <v/>
      </c>
      <c r="G63" s="12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5" t="str">
        <f aca="false">IF(COUNT(H63:S63)=0,"",SUM(H63:S63))</f>
        <v/>
      </c>
      <c r="U63" s="16" t="str">
        <f aca="false">IF($C63="","",IFERROR(INDEX(RateValues,MATCH(SUMPRODUCT(MAX((RateDates&lt;=$A63)*RateDates)),RateDates,0)),0))</f>
        <v/>
      </c>
      <c r="V63" s="17" t="str">
        <f aca="false">IF($C63="","",$F63*$U63)</f>
        <v/>
      </c>
      <c r="W63" s="18" t="n">
        <f aca="false">$A63-WEEKDAY($A63,2)+1</f>
        <v>46342</v>
      </c>
      <c r="X63" s="19" t="str">
        <f aca="false">IF(AND($C63="",T63=""),"",IF(AND(N($C63)&gt;0,N(T63)=0),"nobody marked present",IF(N($D63)&gt;N($C63),"more broken than moulded",IF(AND($C63="",N(T63)&gt;0),"attendance marked but no blocks entered",IF(AND(N($C63)&gt;0,N(U63)=0),"no pay rate for this date - see Settings",IF(SUMPRODUCT((H63:S63&lt;&gt;"")*(H$4:S$4=""))&gt;0,"attendance in an empty worker slot",""))))))</f>
        <v/>
      </c>
      <c r="Y63" s="20"/>
    </row>
    <row r="64" customFormat="false" ht="15" hidden="false" customHeight="false" outlineLevel="0" collapsed="false">
      <c r="A64" s="10" t="n">
        <v>46344</v>
      </c>
      <c r="B64" s="11" t="str">
        <f aca="false">CHOOSE(WEEKDAY($A64,2),"Mon","Tue","Wed","Thu","Fri","Sat","Sun")</f>
        <v>Wed</v>
      </c>
      <c r="C64" s="12"/>
      <c r="D64" s="12"/>
      <c r="E64" s="13" t="str">
        <f aca="false">IF($C64="","",$C64-N($D64))</f>
        <v/>
      </c>
      <c r="F64" s="13" t="str">
        <f aca="false">IF($C64="","",$C64-MAX(0,N($D64)-BreakAllow*$C64))</f>
        <v/>
      </c>
      <c r="G64" s="12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5" t="str">
        <f aca="false">IF(COUNT(H64:S64)=0,"",SUM(H64:S64))</f>
        <v/>
      </c>
      <c r="U64" s="16" t="str">
        <f aca="false">IF($C64="","",IFERROR(INDEX(RateValues,MATCH(SUMPRODUCT(MAX((RateDates&lt;=$A64)*RateDates)),RateDates,0)),0))</f>
        <v/>
      </c>
      <c r="V64" s="17" t="str">
        <f aca="false">IF($C64="","",$F64*$U64)</f>
        <v/>
      </c>
      <c r="W64" s="18" t="n">
        <f aca="false">$A64-WEEKDAY($A64,2)+1</f>
        <v>46342</v>
      </c>
      <c r="X64" s="19" t="str">
        <f aca="false">IF(AND($C64="",T64=""),"",IF(AND(N($C64)&gt;0,N(T64)=0),"nobody marked present",IF(N($D64)&gt;N($C64),"more broken than moulded",IF(AND($C64="",N(T64)&gt;0),"attendance marked but no blocks entered",IF(AND(N($C64)&gt;0,N(U64)=0),"no pay rate for this date - see Settings",IF(SUMPRODUCT((H64:S64&lt;&gt;"")*(H$4:S$4=""))&gt;0,"attendance in an empty worker slot",""))))))</f>
        <v/>
      </c>
      <c r="Y64" s="20"/>
    </row>
    <row r="65" customFormat="false" ht="15" hidden="false" customHeight="false" outlineLevel="0" collapsed="false">
      <c r="A65" s="10" t="n">
        <v>46345</v>
      </c>
      <c r="B65" s="11" t="str">
        <f aca="false">CHOOSE(WEEKDAY($A65,2),"Mon","Tue","Wed","Thu","Fri","Sat","Sun")</f>
        <v>Thu</v>
      </c>
      <c r="C65" s="12"/>
      <c r="D65" s="12"/>
      <c r="E65" s="13" t="str">
        <f aca="false">IF($C65="","",$C65-N($D65))</f>
        <v/>
      </c>
      <c r="F65" s="13" t="str">
        <f aca="false">IF($C65="","",$C65-MAX(0,N($D65)-BreakAllow*$C65))</f>
        <v/>
      </c>
      <c r="G65" s="12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5" t="str">
        <f aca="false">IF(COUNT(H65:S65)=0,"",SUM(H65:S65))</f>
        <v/>
      </c>
      <c r="U65" s="16" t="str">
        <f aca="false">IF($C65="","",IFERROR(INDEX(RateValues,MATCH(SUMPRODUCT(MAX((RateDates&lt;=$A65)*RateDates)),RateDates,0)),0))</f>
        <v/>
      </c>
      <c r="V65" s="17" t="str">
        <f aca="false">IF($C65="","",$F65*$U65)</f>
        <v/>
      </c>
      <c r="W65" s="18" t="n">
        <f aca="false">$A65-WEEKDAY($A65,2)+1</f>
        <v>46342</v>
      </c>
      <c r="X65" s="19" t="str">
        <f aca="false">IF(AND($C65="",T65=""),"",IF(AND(N($C65)&gt;0,N(T65)=0),"nobody marked present",IF(N($D65)&gt;N($C65),"more broken than moulded",IF(AND($C65="",N(T65)&gt;0),"attendance marked but no blocks entered",IF(AND(N($C65)&gt;0,N(U65)=0),"no pay rate for this date - see Settings",IF(SUMPRODUCT((H65:S65&lt;&gt;"")*(H$4:S$4=""))&gt;0,"attendance in an empty worker slot",""))))))</f>
        <v/>
      </c>
      <c r="Y65" s="20"/>
    </row>
    <row r="66" customFormat="false" ht="15" hidden="false" customHeight="false" outlineLevel="0" collapsed="false">
      <c r="A66" s="10" t="n">
        <v>46346</v>
      </c>
      <c r="B66" s="11" t="str">
        <f aca="false">CHOOSE(WEEKDAY($A66,2),"Mon","Tue","Wed","Thu","Fri","Sat","Sun")</f>
        <v>Fri</v>
      </c>
      <c r="C66" s="12"/>
      <c r="D66" s="12"/>
      <c r="E66" s="13" t="str">
        <f aca="false">IF($C66="","",$C66-N($D66))</f>
        <v/>
      </c>
      <c r="F66" s="13" t="str">
        <f aca="false">IF($C66="","",$C66-MAX(0,N($D66)-BreakAllow*$C66))</f>
        <v/>
      </c>
      <c r="G66" s="1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5" t="str">
        <f aca="false">IF(COUNT(H66:S66)=0,"",SUM(H66:S66))</f>
        <v/>
      </c>
      <c r="U66" s="16" t="str">
        <f aca="false">IF($C66="","",IFERROR(INDEX(RateValues,MATCH(SUMPRODUCT(MAX((RateDates&lt;=$A66)*RateDates)),RateDates,0)),0))</f>
        <v/>
      </c>
      <c r="V66" s="17" t="str">
        <f aca="false">IF($C66="","",$F66*$U66)</f>
        <v/>
      </c>
      <c r="W66" s="18" t="n">
        <f aca="false">$A66-WEEKDAY($A66,2)+1</f>
        <v>46342</v>
      </c>
      <c r="X66" s="19" t="str">
        <f aca="false">IF(AND($C66="",T66=""),"",IF(AND(N($C66)&gt;0,N(T66)=0),"nobody marked present",IF(N($D66)&gt;N($C66),"more broken than moulded",IF(AND($C66="",N(T66)&gt;0),"attendance marked but no blocks entered",IF(AND(N($C66)&gt;0,N(U66)=0),"no pay rate for this date - see Settings",IF(SUMPRODUCT((H66:S66&lt;&gt;"")*(H$4:S$4=""))&gt;0,"attendance in an empty worker slot",""))))))</f>
        <v/>
      </c>
      <c r="Y66" s="20"/>
    </row>
    <row r="67" customFormat="false" ht="15" hidden="false" customHeight="false" outlineLevel="0" collapsed="false">
      <c r="A67" s="10" t="n">
        <v>46347</v>
      </c>
      <c r="B67" s="11" t="str">
        <f aca="false">CHOOSE(WEEKDAY($A67,2),"Mon","Tue","Wed","Thu","Fri","Sat","Sun")</f>
        <v>Sat</v>
      </c>
      <c r="C67" s="12"/>
      <c r="D67" s="12"/>
      <c r="E67" s="13" t="str">
        <f aca="false">IF($C67="","",$C67-N($D67))</f>
        <v/>
      </c>
      <c r="F67" s="13" t="str">
        <f aca="false">IF($C67="","",$C67-MAX(0,N($D67)-BreakAllow*$C67))</f>
        <v/>
      </c>
      <c r="G67" s="1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5" t="str">
        <f aca="false">IF(COUNT(H67:S67)=0,"",SUM(H67:S67))</f>
        <v/>
      </c>
      <c r="U67" s="16" t="str">
        <f aca="false">IF($C67="","",IFERROR(INDEX(RateValues,MATCH(SUMPRODUCT(MAX((RateDates&lt;=$A67)*RateDates)),RateDates,0)),0))</f>
        <v/>
      </c>
      <c r="V67" s="17" t="str">
        <f aca="false">IF($C67="","",$F67*$U67)</f>
        <v/>
      </c>
      <c r="W67" s="18" t="n">
        <f aca="false">$A67-WEEKDAY($A67,2)+1</f>
        <v>46342</v>
      </c>
      <c r="X67" s="19" t="str">
        <f aca="false">IF(AND($C67="",T67=""),"",IF(AND(N($C67)&gt;0,N(T67)=0),"nobody marked present",IF(N($D67)&gt;N($C67),"more broken than moulded",IF(AND($C67="",N(T67)&gt;0),"attendance marked but no blocks entered",IF(AND(N($C67)&gt;0,N(U67)=0),"no pay rate for this date - see Settings",IF(SUMPRODUCT((H67:S67&lt;&gt;"")*(H$4:S$4=""))&gt;0,"attendance in an empty worker slot",""))))))</f>
        <v/>
      </c>
      <c r="Y67" s="20"/>
    </row>
    <row r="68" customFormat="false" ht="15" hidden="false" customHeight="false" outlineLevel="0" collapsed="false">
      <c r="A68" s="21" t="n">
        <v>46348</v>
      </c>
      <c r="B68" s="22" t="str">
        <f aca="false">CHOOSE(WEEKDAY($A68,2),"Mon","Tue","Wed","Thu","Fri","Sat","Sun")</f>
        <v>Sun</v>
      </c>
      <c r="C68" s="12"/>
      <c r="D68" s="12"/>
      <c r="E68" s="13" t="str">
        <f aca="false">IF($C68="","",$C68-N($D68))</f>
        <v/>
      </c>
      <c r="F68" s="13" t="str">
        <f aca="false">IF($C68="","",$C68-MAX(0,N($D68)-BreakAllow*$C68))</f>
        <v/>
      </c>
      <c r="G68" s="12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5" t="str">
        <f aca="false">IF(COUNT(H68:S68)=0,"",SUM(H68:S68))</f>
        <v/>
      </c>
      <c r="U68" s="16" t="str">
        <f aca="false">IF($C68="","",IFERROR(INDEX(RateValues,MATCH(SUMPRODUCT(MAX((RateDates&lt;=$A68)*RateDates)),RateDates,0)),0))</f>
        <v/>
      </c>
      <c r="V68" s="17" t="str">
        <f aca="false">IF($C68="","",$F68*$U68)</f>
        <v/>
      </c>
      <c r="W68" s="18" t="n">
        <f aca="false">$A68-WEEKDAY($A68,2)+1</f>
        <v>46342</v>
      </c>
      <c r="X68" s="19" t="str">
        <f aca="false">IF(AND($C68="",T68=""),"",IF(AND(N($C68)&gt;0,N(T68)=0),"nobody marked present",IF(N($D68)&gt;N($C68),"more broken than moulded",IF(AND($C68="",N(T68)&gt;0),"attendance marked but no blocks entered",IF(AND(N($C68)&gt;0,N(U68)=0),"no pay rate for this date - see Settings",IF(SUMPRODUCT((H68:S68&lt;&gt;"")*(H$4:S$4=""))&gt;0,"attendance in an empty worker slot",""))))))</f>
        <v/>
      </c>
      <c r="Y68" s="20"/>
    </row>
    <row r="69" customFormat="false" ht="15" hidden="false" customHeight="false" outlineLevel="0" collapsed="false">
      <c r="A69" s="10" t="n">
        <v>46349</v>
      </c>
      <c r="B69" s="11" t="str">
        <f aca="false">CHOOSE(WEEKDAY($A69,2),"Mon","Tue","Wed","Thu","Fri","Sat","Sun")</f>
        <v>Mon</v>
      </c>
      <c r="C69" s="12"/>
      <c r="D69" s="12"/>
      <c r="E69" s="13" t="str">
        <f aca="false">IF($C69="","",$C69-N($D69))</f>
        <v/>
      </c>
      <c r="F69" s="13" t="str">
        <f aca="false">IF($C69="","",$C69-MAX(0,N($D69)-BreakAllow*$C69))</f>
        <v/>
      </c>
      <c r="G69" s="12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5" t="str">
        <f aca="false">IF(COUNT(H69:S69)=0,"",SUM(H69:S69))</f>
        <v/>
      </c>
      <c r="U69" s="16" t="str">
        <f aca="false">IF($C69="","",IFERROR(INDEX(RateValues,MATCH(SUMPRODUCT(MAX((RateDates&lt;=$A69)*RateDates)),RateDates,0)),0))</f>
        <v/>
      </c>
      <c r="V69" s="17" t="str">
        <f aca="false">IF($C69="","",$F69*$U69)</f>
        <v/>
      </c>
      <c r="W69" s="18" t="n">
        <f aca="false">$A69-WEEKDAY($A69,2)+1</f>
        <v>46349</v>
      </c>
      <c r="X69" s="19" t="str">
        <f aca="false">IF(AND($C69="",T69=""),"",IF(AND(N($C69)&gt;0,N(T69)=0),"nobody marked present",IF(N($D69)&gt;N($C69),"more broken than moulded",IF(AND($C69="",N(T69)&gt;0),"attendance marked but no blocks entered",IF(AND(N($C69)&gt;0,N(U69)=0),"no pay rate for this date - see Settings",IF(SUMPRODUCT((H69:S69&lt;&gt;"")*(H$4:S$4=""))&gt;0,"attendance in an empty worker slot",""))))))</f>
        <v/>
      </c>
      <c r="Y69" s="20"/>
    </row>
    <row r="70" customFormat="false" ht="15" hidden="false" customHeight="false" outlineLevel="0" collapsed="false">
      <c r="A70" s="10" t="n">
        <v>46350</v>
      </c>
      <c r="B70" s="11" t="str">
        <f aca="false">CHOOSE(WEEKDAY($A70,2),"Mon","Tue","Wed","Thu","Fri","Sat","Sun")</f>
        <v>Tue</v>
      </c>
      <c r="C70" s="12"/>
      <c r="D70" s="12"/>
      <c r="E70" s="13" t="str">
        <f aca="false">IF($C70="","",$C70-N($D70))</f>
        <v/>
      </c>
      <c r="F70" s="13" t="str">
        <f aca="false">IF($C70="","",$C70-MAX(0,N($D70)-BreakAllow*$C70))</f>
        <v/>
      </c>
      <c r="G70" s="12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5" t="str">
        <f aca="false">IF(COUNT(H70:S70)=0,"",SUM(H70:S70))</f>
        <v/>
      </c>
      <c r="U70" s="16" t="str">
        <f aca="false">IF($C70="","",IFERROR(INDEX(RateValues,MATCH(SUMPRODUCT(MAX((RateDates&lt;=$A70)*RateDates)),RateDates,0)),0))</f>
        <v/>
      </c>
      <c r="V70" s="17" t="str">
        <f aca="false">IF($C70="","",$F70*$U70)</f>
        <v/>
      </c>
      <c r="W70" s="18" t="n">
        <f aca="false">$A70-WEEKDAY($A70,2)+1</f>
        <v>46349</v>
      </c>
      <c r="X70" s="19" t="str">
        <f aca="false">IF(AND($C70="",T70=""),"",IF(AND(N($C70)&gt;0,N(T70)=0),"nobody marked present",IF(N($D70)&gt;N($C70),"more broken than moulded",IF(AND($C70="",N(T70)&gt;0),"attendance marked but no blocks entered",IF(AND(N($C70)&gt;0,N(U70)=0),"no pay rate for this date - see Settings",IF(SUMPRODUCT((H70:S70&lt;&gt;"")*(H$4:S$4=""))&gt;0,"attendance in an empty worker slot",""))))))</f>
        <v/>
      </c>
      <c r="Y70" s="20"/>
    </row>
    <row r="71" customFormat="false" ht="15" hidden="false" customHeight="false" outlineLevel="0" collapsed="false">
      <c r="A71" s="10" t="n">
        <v>46351</v>
      </c>
      <c r="B71" s="11" t="str">
        <f aca="false">CHOOSE(WEEKDAY($A71,2),"Mon","Tue","Wed","Thu","Fri","Sat","Sun")</f>
        <v>Wed</v>
      </c>
      <c r="C71" s="12"/>
      <c r="D71" s="12"/>
      <c r="E71" s="13" t="str">
        <f aca="false">IF($C71="","",$C71-N($D71))</f>
        <v/>
      </c>
      <c r="F71" s="13" t="str">
        <f aca="false">IF($C71="","",$C71-MAX(0,N($D71)-BreakAllow*$C71))</f>
        <v/>
      </c>
      <c r="G71" s="12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5" t="str">
        <f aca="false">IF(COUNT(H71:S71)=0,"",SUM(H71:S71))</f>
        <v/>
      </c>
      <c r="U71" s="16" t="str">
        <f aca="false">IF($C71="","",IFERROR(INDEX(RateValues,MATCH(SUMPRODUCT(MAX((RateDates&lt;=$A71)*RateDates)),RateDates,0)),0))</f>
        <v/>
      </c>
      <c r="V71" s="17" t="str">
        <f aca="false">IF($C71="","",$F71*$U71)</f>
        <v/>
      </c>
      <c r="W71" s="18" t="n">
        <f aca="false">$A71-WEEKDAY($A71,2)+1</f>
        <v>46349</v>
      </c>
      <c r="X71" s="19" t="str">
        <f aca="false">IF(AND($C71="",T71=""),"",IF(AND(N($C71)&gt;0,N(T71)=0),"nobody marked present",IF(N($D71)&gt;N($C71),"more broken than moulded",IF(AND($C71="",N(T71)&gt;0),"attendance marked but no blocks entered",IF(AND(N($C71)&gt;0,N(U71)=0),"no pay rate for this date - see Settings",IF(SUMPRODUCT((H71:S71&lt;&gt;"")*(H$4:S$4=""))&gt;0,"attendance in an empty worker slot",""))))))</f>
        <v/>
      </c>
      <c r="Y71" s="20"/>
    </row>
    <row r="72" customFormat="false" ht="15" hidden="false" customHeight="false" outlineLevel="0" collapsed="false">
      <c r="A72" s="10" t="n">
        <v>46352</v>
      </c>
      <c r="B72" s="11" t="str">
        <f aca="false">CHOOSE(WEEKDAY($A72,2),"Mon","Tue","Wed","Thu","Fri","Sat","Sun")</f>
        <v>Thu</v>
      </c>
      <c r="C72" s="12"/>
      <c r="D72" s="12"/>
      <c r="E72" s="13" t="str">
        <f aca="false">IF($C72="","",$C72-N($D72))</f>
        <v/>
      </c>
      <c r="F72" s="13" t="str">
        <f aca="false">IF($C72="","",$C72-MAX(0,N($D72)-BreakAllow*$C72))</f>
        <v/>
      </c>
      <c r="G72" s="12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5" t="str">
        <f aca="false">IF(COUNT(H72:S72)=0,"",SUM(H72:S72))</f>
        <v/>
      </c>
      <c r="U72" s="16" t="str">
        <f aca="false">IF($C72="","",IFERROR(INDEX(RateValues,MATCH(SUMPRODUCT(MAX((RateDates&lt;=$A72)*RateDates)),RateDates,0)),0))</f>
        <v/>
      </c>
      <c r="V72" s="17" t="str">
        <f aca="false">IF($C72="","",$F72*$U72)</f>
        <v/>
      </c>
      <c r="W72" s="18" t="n">
        <f aca="false">$A72-WEEKDAY($A72,2)+1</f>
        <v>46349</v>
      </c>
      <c r="X72" s="19" t="str">
        <f aca="false">IF(AND($C72="",T72=""),"",IF(AND(N($C72)&gt;0,N(T72)=0),"nobody marked present",IF(N($D72)&gt;N($C72),"more broken than moulded",IF(AND($C72="",N(T72)&gt;0),"attendance marked but no blocks entered",IF(AND(N($C72)&gt;0,N(U72)=0),"no pay rate for this date - see Settings",IF(SUMPRODUCT((H72:S72&lt;&gt;"")*(H$4:S$4=""))&gt;0,"attendance in an empty worker slot",""))))))</f>
        <v/>
      </c>
      <c r="Y72" s="20"/>
    </row>
    <row r="73" customFormat="false" ht="15" hidden="false" customHeight="false" outlineLevel="0" collapsed="false">
      <c r="A73" s="10" t="n">
        <v>46353</v>
      </c>
      <c r="B73" s="11" t="str">
        <f aca="false">CHOOSE(WEEKDAY($A73,2),"Mon","Tue","Wed","Thu","Fri","Sat","Sun")</f>
        <v>Fri</v>
      </c>
      <c r="C73" s="12"/>
      <c r="D73" s="12"/>
      <c r="E73" s="13" t="str">
        <f aca="false">IF($C73="","",$C73-N($D73))</f>
        <v/>
      </c>
      <c r="F73" s="13" t="str">
        <f aca="false">IF($C73="","",$C73-MAX(0,N($D73)-BreakAllow*$C73))</f>
        <v/>
      </c>
      <c r="G73" s="12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5" t="str">
        <f aca="false">IF(COUNT(H73:S73)=0,"",SUM(H73:S73))</f>
        <v/>
      </c>
      <c r="U73" s="16" t="str">
        <f aca="false">IF($C73="","",IFERROR(INDEX(RateValues,MATCH(SUMPRODUCT(MAX((RateDates&lt;=$A73)*RateDates)),RateDates,0)),0))</f>
        <v/>
      </c>
      <c r="V73" s="17" t="str">
        <f aca="false">IF($C73="","",$F73*$U73)</f>
        <v/>
      </c>
      <c r="W73" s="18" t="n">
        <f aca="false">$A73-WEEKDAY($A73,2)+1</f>
        <v>46349</v>
      </c>
      <c r="X73" s="19" t="str">
        <f aca="false">IF(AND($C73="",T73=""),"",IF(AND(N($C73)&gt;0,N(T73)=0),"nobody marked present",IF(N($D73)&gt;N($C73),"more broken than moulded",IF(AND($C73="",N(T73)&gt;0),"attendance marked but no blocks entered",IF(AND(N($C73)&gt;0,N(U73)=0),"no pay rate for this date - see Settings",IF(SUMPRODUCT((H73:S73&lt;&gt;"")*(H$4:S$4=""))&gt;0,"attendance in an empty worker slot",""))))))</f>
        <v/>
      </c>
      <c r="Y73" s="20"/>
    </row>
    <row r="74" customFormat="false" ht="15" hidden="false" customHeight="false" outlineLevel="0" collapsed="false">
      <c r="A74" s="10" t="n">
        <v>46354</v>
      </c>
      <c r="B74" s="11" t="str">
        <f aca="false">CHOOSE(WEEKDAY($A74,2),"Mon","Tue","Wed","Thu","Fri","Sat","Sun")</f>
        <v>Sat</v>
      </c>
      <c r="C74" s="12"/>
      <c r="D74" s="12"/>
      <c r="E74" s="13" t="str">
        <f aca="false">IF($C74="","",$C74-N($D74))</f>
        <v/>
      </c>
      <c r="F74" s="13" t="str">
        <f aca="false">IF($C74="","",$C74-MAX(0,N($D74)-BreakAllow*$C74))</f>
        <v/>
      </c>
      <c r="G74" s="12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5" t="str">
        <f aca="false">IF(COUNT(H74:S74)=0,"",SUM(H74:S74))</f>
        <v/>
      </c>
      <c r="U74" s="16" t="str">
        <f aca="false">IF($C74="","",IFERROR(INDEX(RateValues,MATCH(SUMPRODUCT(MAX((RateDates&lt;=$A74)*RateDates)),RateDates,0)),0))</f>
        <v/>
      </c>
      <c r="V74" s="17" t="str">
        <f aca="false">IF($C74="","",$F74*$U74)</f>
        <v/>
      </c>
      <c r="W74" s="18" t="n">
        <f aca="false">$A74-WEEKDAY($A74,2)+1</f>
        <v>46349</v>
      </c>
      <c r="X74" s="19" t="str">
        <f aca="false">IF(AND($C74="",T74=""),"",IF(AND(N($C74)&gt;0,N(T74)=0),"nobody marked present",IF(N($D74)&gt;N($C74),"more broken than moulded",IF(AND($C74="",N(T74)&gt;0),"attendance marked but no blocks entered",IF(AND(N($C74)&gt;0,N(U74)=0),"no pay rate for this date - see Settings",IF(SUMPRODUCT((H74:S74&lt;&gt;"")*(H$4:S$4=""))&gt;0,"attendance in an empty worker slot",""))))))</f>
        <v/>
      </c>
      <c r="Y74" s="20"/>
    </row>
    <row r="75" customFormat="false" ht="15" hidden="false" customHeight="false" outlineLevel="0" collapsed="false">
      <c r="A75" s="21" t="n">
        <v>46355</v>
      </c>
      <c r="B75" s="22" t="str">
        <f aca="false">CHOOSE(WEEKDAY($A75,2),"Mon","Tue","Wed","Thu","Fri","Sat","Sun")</f>
        <v>Sun</v>
      </c>
      <c r="C75" s="12"/>
      <c r="D75" s="12"/>
      <c r="E75" s="13" t="str">
        <f aca="false">IF($C75="","",$C75-N($D75))</f>
        <v/>
      </c>
      <c r="F75" s="13" t="str">
        <f aca="false">IF($C75="","",$C75-MAX(0,N($D75)-BreakAllow*$C75))</f>
        <v/>
      </c>
      <c r="G75" s="12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5" t="str">
        <f aca="false">IF(COUNT(H75:S75)=0,"",SUM(H75:S75))</f>
        <v/>
      </c>
      <c r="U75" s="16" t="str">
        <f aca="false">IF($C75="","",IFERROR(INDEX(RateValues,MATCH(SUMPRODUCT(MAX((RateDates&lt;=$A75)*RateDates)),RateDates,0)),0))</f>
        <v/>
      </c>
      <c r="V75" s="17" t="str">
        <f aca="false">IF($C75="","",$F75*$U75)</f>
        <v/>
      </c>
      <c r="W75" s="18" t="n">
        <f aca="false">$A75-WEEKDAY($A75,2)+1</f>
        <v>46349</v>
      </c>
      <c r="X75" s="19" t="str">
        <f aca="false">IF(AND($C75="",T75=""),"",IF(AND(N($C75)&gt;0,N(T75)=0),"nobody marked present",IF(N($D75)&gt;N($C75),"more broken than moulded",IF(AND($C75="",N(T75)&gt;0),"attendance marked but no blocks entered",IF(AND(N($C75)&gt;0,N(U75)=0),"no pay rate for this date - see Settings",IF(SUMPRODUCT((H75:S75&lt;&gt;"")*(H$4:S$4=""))&gt;0,"attendance in an empty worker slot",""))))))</f>
        <v/>
      </c>
      <c r="Y75" s="20"/>
    </row>
    <row r="76" customFormat="false" ht="15" hidden="false" customHeight="false" outlineLevel="0" collapsed="false">
      <c r="A76" s="10" t="n">
        <v>46356</v>
      </c>
      <c r="B76" s="11" t="str">
        <f aca="false">CHOOSE(WEEKDAY($A76,2),"Mon","Tue","Wed","Thu","Fri","Sat","Sun")</f>
        <v>Mon</v>
      </c>
      <c r="C76" s="12"/>
      <c r="D76" s="12"/>
      <c r="E76" s="13" t="str">
        <f aca="false">IF($C76="","",$C76-N($D76))</f>
        <v/>
      </c>
      <c r="F76" s="13" t="str">
        <f aca="false">IF($C76="","",$C76-MAX(0,N($D76)-BreakAllow*$C76))</f>
        <v/>
      </c>
      <c r="G76" s="12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5" t="str">
        <f aca="false">IF(COUNT(H76:S76)=0,"",SUM(H76:S76))</f>
        <v/>
      </c>
      <c r="U76" s="16" t="str">
        <f aca="false">IF($C76="","",IFERROR(INDEX(RateValues,MATCH(SUMPRODUCT(MAX((RateDates&lt;=$A76)*RateDates)),RateDates,0)),0))</f>
        <v/>
      </c>
      <c r="V76" s="17" t="str">
        <f aca="false">IF($C76="","",$F76*$U76)</f>
        <v/>
      </c>
      <c r="W76" s="18" t="n">
        <f aca="false">$A76-WEEKDAY($A76,2)+1</f>
        <v>46356</v>
      </c>
      <c r="X76" s="19" t="str">
        <f aca="false">IF(AND($C76="",T76=""),"",IF(AND(N($C76)&gt;0,N(T76)=0),"nobody marked present",IF(N($D76)&gt;N($C76),"more broken than moulded",IF(AND($C76="",N(T76)&gt;0),"attendance marked but no blocks entered",IF(AND(N($C76)&gt;0,N(U76)=0),"no pay rate for this date - see Settings",IF(SUMPRODUCT((H76:S76&lt;&gt;"")*(H$4:S$4=""))&gt;0,"attendance in an empty worker slot",""))))))</f>
        <v/>
      </c>
      <c r="Y76" s="20"/>
    </row>
    <row r="77" customFormat="false" ht="15" hidden="false" customHeight="false" outlineLevel="0" collapsed="false">
      <c r="A77" s="10" t="n">
        <v>46357</v>
      </c>
      <c r="B77" s="11" t="str">
        <f aca="false">CHOOSE(WEEKDAY($A77,2),"Mon","Tue","Wed","Thu","Fri","Sat","Sun")</f>
        <v>Tue</v>
      </c>
      <c r="C77" s="12"/>
      <c r="D77" s="12"/>
      <c r="E77" s="13" t="str">
        <f aca="false">IF($C77="","",$C77-N($D77))</f>
        <v/>
      </c>
      <c r="F77" s="13" t="str">
        <f aca="false">IF($C77="","",$C77-MAX(0,N($D77)-BreakAllow*$C77))</f>
        <v/>
      </c>
      <c r="G77" s="12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5" t="str">
        <f aca="false">IF(COUNT(H77:S77)=0,"",SUM(H77:S77))</f>
        <v/>
      </c>
      <c r="U77" s="16" t="str">
        <f aca="false">IF($C77="","",IFERROR(INDEX(RateValues,MATCH(SUMPRODUCT(MAX((RateDates&lt;=$A77)*RateDates)),RateDates,0)),0))</f>
        <v/>
      </c>
      <c r="V77" s="17" t="str">
        <f aca="false">IF($C77="","",$F77*$U77)</f>
        <v/>
      </c>
      <c r="W77" s="18" t="n">
        <f aca="false">$A77-WEEKDAY($A77,2)+1</f>
        <v>46356</v>
      </c>
      <c r="X77" s="19" t="str">
        <f aca="false">IF(AND($C77="",T77=""),"",IF(AND(N($C77)&gt;0,N(T77)=0),"nobody marked present",IF(N($D77)&gt;N($C77),"more broken than moulded",IF(AND($C77="",N(T77)&gt;0),"attendance marked but no blocks entered",IF(AND(N($C77)&gt;0,N(U77)=0),"no pay rate for this date - see Settings",IF(SUMPRODUCT((H77:S77&lt;&gt;"")*(H$4:S$4=""))&gt;0,"attendance in an empty worker slot",""))))))</f>
        <v/>
      </c>
      <c r="Y77" s="20"/>
    </row>
    <row r="78" customFormat="false" ht="15" hidden="false" customHeight="false" outlineLevel="0" collapsed="false">
      <c r="A78" s="10" t="n">
        <v>46358</v>
      </c>
      <c r="B78" s="11" t="str">
        <f aca="false">CHOOSE(WEEKDAY($A78,2),"Mon","Tue","Wed","Thu","Fri","Sat","Sun")</f>
        <v>Wed</v>
      </c>
      <c r="C78" s="12"/>
      <c r="D78" s="12"/>
      <c r="E78" s="13" t="str">
        <f aca="false">IF($C78="","",$C78-N($D78))</f>
        <v/>
      </c>
      <c r="F78" s="13" t="str">
        <f aca="false">IF($C78="","",$C78-MAX(0,N($D78)-BreakAllow*$C78))</f>
        <v/>
      </c>
      <c r="G78" s="12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5" t="str">
        <f aca="false">IF(COUNT(H78:S78)=0,"",SUM(H78:S78))</f>
        <v/>
      </c>
      <c r="U78" s="16" t="str">
        <f aca="false">IF($C78="","",IFERROR(INDEX(RateValues,MATCH(SUMPRODUCT(MAX((RateDates&lt;=$A78)*RateDates)),RateDates,0)),0))</f>
        <v/>
      </c>
      <c r="V78" s="17" t="str">
        <f aca="false">IF($C78="","",$F78*$U78)</f>
        <v/>
      </c>
      <c r="W78" s="18" t="n">
        <f aca="false">$A78-WEEKDAY($A78,2)+1</f>
        <v>46356</v>
      </c>
      <c r="X78" s="19" t="str">
        <f aca="false">IF(AND($C78="",T78=""),"",IF(AND(N($C78)&gt;0,N(T78)=0),"nobody marked present",IF(N($D78)&gt;N($C78),"more broken than moulded",IF(AND($C78="",N(T78)&gt;0),"attendance marked but no blocks entered",IF(AND(N($C78)&gt;0,N(U78)=0),"no pay rate for this date - see Settings",IF(SUMPRODUCT((H78:S78&lt;&gt;"")*(H$4:S$4=""))&gt;0,"attendance in an empty worker slot",""))))))</f>
        <v/>
      </c>
      <c r="Y78" s="20"/>
    </row>
    <row r="79" customFormat="false" ht="15" hidden="false" customHeight="false" outlineLevel="0" collapsed="false">
      <c r="A79" s="10" t="n">
        <v>46359</v>
      </c>
      <c r="B79" s="11" t="str">
        <f aca="false">CHOOSE(WEEKDAY($A79,2),"Mon","Tue","Wed","Thu","Fri","Sat","Sun")</f>
        <v>Thu</v>
      </c>
      <c r="C79" s="12"/>
      <c r="D79" s="12"/>
      <c r="E79" s="13" t="str">
        <f aca="false">IF($C79="","",$C79-N($D79))</f>
        <v/>
      </c>
      <c r="F79" s="13" t="str">
        <f aca="false">IF($C79="","",$C79-MAX(0,N($D79)-BreakAllow*$C79))</f>
        <v/>
      </c>
      <c r="G79" s="12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5" t="str">
        <f aca="false">IF(COUNT(H79:S79)=0,"",SUM(H79:S79))</f>
        <v/>
      </c>
      <c r="U79" s="16" t="str">
        <f aca="false">IF($C79="","",IFERROR(INDEX(RateValues,MATCH(SUMPRODUCT(MAX((RateDates&lt;=$A79)*RateDates)),RateDates,0)),0))</f>
        <v/>
      </c>
      <c r="V79" s="17" t="str">
        <f aca="false">IF($C79="","",$F79*$U79)</f>
        <v/>
      </c>
      <c r="W79" s="18" t="n">
        <f aca="false">$A79-WEEKDAY($A79,2)+1</f>
        <v>46356</v>
      </c>
      <c r="X79" s="19" t="str">
        <f aca="false">IF(AND($C79="",T79=""),"",IF(AND(N($C79)&gt;0,N(T79)=0),"nobody marked present",IF(N($D79)&gt;N($C79),"more broken than moulded",IF(AND($C79="",N(T79)&gt;0),"attendance marked but no blocks entered",IF(AND(N($C79)&gt;0,N(U79)=0),"no pay rate for this date - see Settings",IF(SUMPRODUCT((H79:S79&lt;&gt;"")*(H$4:S$4=""))&gt;0,"attendance in an empty worker slot",""))))))</f>
        <v/>
      </c>
      <c r="Y79" s="20"/>
    </row>
    <row r="80" customFormat="false" ht="15" hidden="false" customHeight="false" outlineLevel="0" collapsed="false">
      <c r="A80" s="10" t="n">
        <v>46360</v>
      </c>
      <c r="B80" s="11" t="str">
        <f aca="false">CHOOSE(WEEKDAY($A80,2),"Mon","Tue","Wed","Thu","Fri","Sat","Sun")</f>
        <v>Fri</v>
      </c>
      <c r="C80" s="12"/>
      <c r="D80" s="12"/>
      <c r="E80" s="13" t="str">
        <f aca="false">IF($C80="","",$C80-N($D80))</f>
        <v/>
      </c>
      <c r="F80" s="13" t="str">
        <f aca="false">IF($C80="","",$C80-MAX(0,N($D80)-BreakAllow*$C80))</f>
        <v/>
      </c>
      <c r="G80" s="12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5" t="str">
        <f aca="false">IF(COUNT(H80:S80)=0,"",SUM(H80:S80))</f>
        <v/>
      </c>
      <c r="U80" s="16" t="str">
        <f aca="false">IF($C80="","",IFERROR(INDEX(RateValues,MATCH(SUMPRODUCT(MAX((RateDates&lt;=$A80)*RateDates)),RateDates,0)),0))</f>
        <v/>
      </c>
      <c r="V80" s="17" t="str">
        <f aca="false">IF($C80="","",$F80*$U80)</f>
        <v/>
      </c>
      <c r="W80" s="18" t="n">
        <f aca="false">$A80-WEEKDAY($A80,2)+1</f>
        <v>46356</v>
      </c>
      <c r="X80" s="19" t="str">
        <f aca="false">IF(AND($C80="",T80=""),"",IF(AND(N($C80)&gt;0,N(T80)=0),"nobody marked present",IF(N($D80)&gt;N($C80),"more broken than moulded",IF(AND($C80="",N(T80)&gt;0),"attendance marked but no blocks entered",IF(AND(N($C80)&gt;0,N(U80)=0),"no pay rate for this date - see Settings",IF(SUMPRODUCT((H80:S80&lt;&gt;"")*(H$4:S$4=""))&gt;0,"attendance in an empty worker slot",""))))))</f>
        <v/>
      </c>
      <c r="Y80" s="20"/>
    </row>
    <row r="81" customFormat="false" ht="15" hidden="false" customHeight="false" outlineLevel="0" collapsed="false">
      <c r="A81" s="10" t="n">
        <v>46361</v>
      </c>
      <c r="B81" s="11" t="str">
        <f aca="false">CHOOSE(WEEKDAY($A81,2),"Mon","Tue","Wed","Thu","Fri","Sat","Sun")</f>
        <v>Sat</v>
      </c>
      <c r="C81" s="12"/>
      <c r="D81" s="12"/>
      <c r="E81" s="13" t="str">
        <f aca="false">IF($C81="","",$C81-N($D81))</f>
        <v/>
      </c>
      <c r="F81" s="13" t="str">
        <f aca="false">IF($C81="","",$C81-MAX(0,N($D81)-BreakAllow*$C81))</f>
        <v/>
      </c>
      <c r="G81" s="12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5" t="str">
        <f aca="false">IF(COUNT(H81:S81)=0,"",SUM(H81:S81))</f>
        <v/>
      </c>
      <c r="U81" s="16" t="str">
        <f aca="false">IF($C81="","",IFERROR(INDEX(RateValues,MATCH(SUMPRODUCT(MAX((RateDates&lt;=$A81)*RateDates)),RateDates,0)),0))</f>
        <v/>
      </c>
      <c r="V81" s="17" t="str">
        <f aca="false">IF($C81="","",$F81*$U81)</f>
        <v/>
      </c>
      <c r="W81" s="18" t="n">
        <f aca="false">$A81-WEEKDAY($A81,2)+1</f>
        <v>46356</v>
      </c>
      <c r="X81" s="19" t="str">
        <f aca="false">IF(AND($C81="",T81=""),"",IF(AND(N($C81)&gt;0,N(T81)=0),"nobody marked present",IF(N($D81)&gt;N($C81),"more broken than moulded",IF(AND($C81="",N(T81)&gt;0),"attendance marked but no blocks entered",IF(AND(N($C81)&gt;0,N(U81)=0),"no pay rate for this date - see Settings",IF(SUMPRODUCT((H81:S81&lt;&gt;"")*(H$4:S$4=""))&gt;0,"attendance in an empty worker slot",""))))))</f>
        <v/>
      </c>
      <c r="Y81" s="20"/>
    </row>
    <row r="82" customFormat="false" ht="15" hidden="false" customHeight="false" outlineLevel="0" collapsed="false">
      <c r="A82" s="21" t="n">
        <v>46362</v>
      </c>
      <c r="B82" s="22" t="str">
        <f aca="false">CHOOSE(WEEKDAY($A82,2),"Mon","Tue","Wed","Thu","Fri","Sat","Sun")</f>
        <v>Sun</v>
      </c>
      <c r="C82" s="12"/>
      <c r="D82" s="12"/>
      <c r="E82" s="13" t="str">
        <f aca="false">IF($C82="","",$C82-N($D82))</f>
        <v/>
      </c>
      <c r="F82" s="13" t="str">
        <f aca="false">IF($C82="","",$C82-MAX(0,N($D82)-BreakAllow*$C82))</f>
        <v/>
      </c>
      <c r="G82" s="12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5" t="str">
        <f aca="false">IF(COUNT(H82:S82)=0,"",SUM(H82:S82))</f>
        <v/>
      </c>
      <c r="U82" s="16" t="str">
        <f aca="false">IF($C82="","",IFERROR(INDEX(RateValues,MATCH(SUMPRODUCT(MAX((RateDates&lt;=$A82)*RateDates)),RateDates,0)),0))</f>
        <v/>
      </c>
      <c r="V82" s="17" t="str">
        <f aca="false">IF($C82="","",$F82*$U82)</f>
        <v/>
      </c>
      <c r="W82" s="18" t="n">
        <f aca="false">$A82-WEEKDAY($A82,2)+1</f>
        <v>46356</v>
      </c>
      <c r="X82" s="19" t="str">
        <f aca="false">IF(AND($C82="",T82=""),"",IF(AND(N($C82)&gt;0,N(T82)=0),"nobody marked present",IF(N($D82)&gt;N($C82),"more broken than moulded",IF(AND($C82="",N(T82)&gt;0),"attendance marked but no blocks entered",IF(AND(N($C82)&gt;0,N(U82)=0),"no pay rate for this date - see Settings",IF(SUMPRODUCT((H82:S82&lt;&gt;"")*(H$4:S$4=""))&gt;0,"attendance in an empty worker slot",""))))))</f>
        <v/>
      </c>
      <c r="Y82" s="20"/>
    </row>
    <row r="83" customFormat="false" ht="15" hidden="false" customHeight="false" outlineLevel="0" collapsed="false">
      <c r="A83" s="10" t="n">
        <v>46363</v>
      </c>
      <c r="B83" s="11" t="str">
        <f aca="false">CHOOSE(WEEKDAY($A83,2),"Mon","Tue","Wed","Thu","Fri","Sat","Sun")</f>
        <v>Mon</v>
      </c>
      <c r="C83" s="12"/>
      <c r="D83" s="12"/>
      <c r="E83" s="13" t="str">
        <f aca="false">IF($C83="","",$C83-N($D83))</f>
        <v/>
      </c>
      <c r="F83" s="13" t="str">
        <f aca="false">IF($C83="","",$C83-MAX(0,N($D83)-BreakAllow*$C83))</f>
        <v/>
      </c>
      <c r="G83" s="12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5" t="str">
        <f aca="false">IF(COUNT(H83:S83)=0,"",SUM(H83:S83))</f>
        <v/>
      </c>
      <c r="U83" s="16" t="str">
        <f aca="false">IF($C83="","",IFERROR(INDEX(RateValues,MATCH(SUMPRODUCT(MAX((RateDates&lt;=$A83)*RateDates)),RateDates,0)),0))</f>
        <v/>
      </c>
      <c r="V83" s="17" t="str">
        <f aca="false">IF($C83="","",$F83*$U83)</f>
        <v/>
      </c>
      <c r="W83" s="18" t="n">
        <f aca="false">$A83-WEEKDAY($A83,2)+1</f>
        <v>46363</v>
      </c>
      <c r="X83" s="19" t="str">
        <f aca="false">IF(AND($C83="",T83=""),"",IF(AND(N($C83)&gt;0,N(T83)=0),"nobody marked present",IF(N($D83)&gt;N($C83),"more broken than moulded",IF(AND($C83="",N(T83)&gt;0),"attendance marked but no blocks entered",IF(AND(N($C83)&gt;0,N(U83)=0),"no pay rate for this date - see Settings",IF(SUMPRODUCT((H83:S83&lt;&gt;"")*(H$4:S$4=""))&gt;0,"attendance in an empty worker slot",""))))))</f>
        <v/>
      </c>
      <c r="Y83" s="20"/>
    </row>
    <row r="84" customFormat="false" ht="15" hidden="false" customHeight="false" outlineLevel="0" collapsed="false">
      <c r="A84" s="10" t="n">
        <v>46364</v>
      </c>
      <c r="B84" s="11" t="str">
        <f aca="false">CHOOSE(WEEKDAY($A84,2),"Mon","Tue","Wed","Thu","Fri","Sat","Sun")</f>
        <v>Tue</v>
      </c>
      <c r="C84" s="12"/>
      <c r="D84" s="12"/>
      <c r="E84" s="13" t="str">
        <f aca="false">IF($C84="","",$C84-N($D84))</f>
        <v/>
      </c>
      <c r="F84" s="13" t="str">
        <f aca="false">IF($C84="","",$C84-MAX(0,N($D84)-BreakAllow*$C84))</f>
        <v/>
      </c>
      <c r="G84" s="12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5" t="str">
        <f aca="false">IF(COUNT(H84:S84)=0,"",SUM(H84:S84))</f>
        <v/>
      </c>
      <c r="U84" s="16" t="str">
        <f aca="false">IF($C84="","",IFERROR(INDEX(RateValues,MATCH(SUMPRODUCT(MAX((RateDates&lt;=$A84)*RateDates)),RateDates,0)),0))</f>
        <v/>
      </c>
      <c r="V84" s="17" t="str">
        <f aca="false">IF($C84="","",$F84*$U84)</f>
        <v/>
      </c>
      <c r="W84" s="18" t="n">
        <f aca="false">$A84-WEEKDAY($A84,2)+1</f>
        <v>46363</v>
      </c>
      <c r="X84" s="19" t="str">
        <f aca="false">IF(AND($C84="",T84=""),"",IF(AND(N($C84)&gt;0,N(T84)=0),"nobody marked present",IF(N($D84)&gt;N($C84),"more broken than moulded",IF(AND($C84="",N(T84)&gt;0),"attendance marked but no blocks entered",IF(AND(N($C84)&gt;0,N(U84)=0),"no pay rate for this date - see Settings",IF(SUMPRODUCT((H84:S84&lt;&gt;"")*(H$4:S$4=""))&gt;0,"attendance in an empty worker slot",""))))))</f>
        <v/>
      </c>
      <c r="Y84" s="20"/>
    </row>
    <row r="85" customFormat="false" ht="15" hidden="false" customHeight="false" outlineLevel="0" collapsed="false">
      <c r="A85" s="10" t="n">
        <v>46365</v>
      </c>
      <c r="B85" s="11" t="str">
        <f aca="false">CHOOSE(WEEKDAY($A85,2),"Mon","Tue","Wed","Thu","Fri","Sat","Sun")</f>
        <v>Wed</v>
      </c>
      <c r="C85" s="12"/>
      <c r="D85" s="12"/>
      <c r="E85" s="13" t="str">
        <f aca="false">IF($C85="","",$C85-N($D85))</f>
        <v/>
      </c>
      <c r="F85" s="13" t="str">
        <f aca="false">IF($C85="","",$C85-MAX(0,N($D85)-BreakAllow*$C85))</f>
        <v/>
      </c>
      <c r="G85" s="12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5" t="str">
        <f aca="false">IF(COUNT(H85:S85)=0,"",SUM(H85:S85))</f>
        <v/>
      </c>
      <c r="U85" s="16" t="str">
        <f aca="false">IF($C85="","",IFERROR(INDEX(RateValues,MATCH(SUMPRODUCT(MAX((RateDates&lt;=$A85)*RateDates)),RateDates,0)),0))</f>
        <v/>
      </c>
      <c r="V85" s="17" t="str">
        <f aca="false">IF($C85="","",$F85*$U85)</f>
        <v/>
      </c>
      <c r="W85" s="18" t="n">
        <f aca="false">$A85-WEEKDAY($A85,2)+1</f>
        <v>46363</v>
      </c>
      <c r="X85" s="19" t="str">
        <f aca="false">IF(AND($C85="",T85=""),"",IF(AND(N($C85)&gt;0,N(T85)=0),"nobody marked present",IF(N($D85)&gt;N($C85),"more broken than moulded",IF(AND($C85="",N(T85)&gt;0),"attendance marked but no blocks entered",IF(AND(N($C85)&gt;0,N(U85)=0),"no pay rate for this date - see Settings",IF(SUMPRODUCT((H85:S85&lt;&gt;"")*(H$4:S$4=""))&gt;0,"attendance in an empty worker slot",""))))))</f>
        <v/>
      </c>
      <c r="Y85" s="20"/>
    </row>
    <row r="86" customFormat="false" ht="15" hidden="false" customHeight="false" outlineLevel="0" collapsed="false">
      <c r="A86" s="10" t="n">
        <v>46366</v>
      </c>
      <c r="B86" s="11" t="str">
        <f aca="false">CHOOSE(WEEKDAY($A86,2),"Mon","Tue","Wed","Thu","Fri","Sat","Sun")</f>
        <v>Thu</v>
      </c>
      <c r="C86" s="12"/>
      <c r="D86" s="12"/>
      <c r="E86" s="13" t="str">
        <f aca="false">IF($C86="","",$C86-N($D86))</f>
        <v/>
      </c>
      <c r="F86" s="13" t="str">
        <f aca="false">IF($C86="","",$C86-MAX(0,N($D86)-BreakAllow*$C86))</f>
        <v/>
      </c>
      <c r="G86" s="12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5" t="str">
        <f aca="false">IF(COUNT(H86:S86)=0,"",SUM(H86:S86))</f>
        <v/>
      </c>
      <c r="U86" s="16" t="str">
        <f aca="false">IF($C86="","",IFERROR(INDEX(RateValues,MATCH(SUMPRODUCT(MAX((RateDates&lt;=$A86)*RateDates)),RateDates,0)),0))</f>
        <v/>
      </c>
      <c r="V86" s="17" t="str">
        <f aca="false">IF($C86="","",$F86*$U86)</f>
        <v/>
      </c>
      <c r="W86" s="18" t="n">
        <f aca="false">$A86-WEEKDAY($A86,2)+1</f>
        <v>46363</v>
      </c>
      <c r="X86" s="19" t="str">
        <f aca="false">IF(AND($C86="",T86=""),"",IF(AND(N($C86)&gt;0,N(T86)=0),"nobody marked present",IF(N($D86)&gt;N($C86),"more broken than moulded",IF(AND($C86="",N(T86)&gt;0),"attendance marked but no blocks entered",IF(AND(N($C86)&gt;0,N(U86)=0),"no pay rate for this date - see Settings",IF(SUMPRODUCT((H86:S86&lt;&gt;"")*(H$4:S$4=""))&gt;0,"attendance in an empty worker slot",""))))))</f>
        <v/>
      </c>
      <c r="Y86" s="20"/>
    </row>
    <row r="87" customFormat="false" ht="15" hidden="false" customHeight="false" outlineLevel="0" collapsed="false">
      <c r="A87" s="10" t="n">
        <v>46367</v>
      </c>
      <c r="B87" s="11" t="str">
        <f aca="false">CHOOSE(WEEKDAY($A87,2),"Mon","Tue","Wed","Thu","Fri","Sat","Sun")</f>
        <v>Fri</v>
      </c>
      <c r="C87" s="12"/>
      <c r="D87" s="12"/>
      <c r="E87" s="13" t="str">
        <f aca="false">IF($C87="","",$C87-N($D87))</f>
        <v/>
      </c>
      <c r="F87" s="13" t="str">
        <f aca="false">IF($C87="","",$C87-MAX(0,N($D87)-BreakAllow*$C87))</f>
        <v/>
      </c>
      <c r="G87" s="12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5" t="str">
        <f aca="false">IF(COUNT(H87:S87)=0,"",SUM(H87:S87))</f>
        <v/>
      </c>
      <c r="U87" s="16" t="str">
        <f aca="false">IF($C87="","",IFERROR(INDEX(RateValues,MATCH(SUMPRODUCT(MAX((RateDates&lt;=$A87)*RateDates)),RateDates,0)),0))</f>
        <v/>
      </c>
      <c r="V87" s="17" t="str">
        <f aca="false">IF($C87="","",$F87*$U87)</f>
        <v/>
      </c>
      <c r="W87" s="18" t="n">
        <f aca="false">$A87-WEEKDAY($A87,2)+1</f>
        <v>46363</v>
      </c>
      <c r="X87" s="19" t="str">
        <f aca="false">IF(AND($C87="",T87=""),"",IF(AND(N($C87)&gt;0,N(T87)=0),"nobody marked present",IF(N($D87)&gt;N($C87),"more broken than moulded",IF(AND($C87="",N(T87)&gt;0),"attendance marked but no blocks entered",IF(AND(N($C87)&gt;0,N(U87)=0),"no pay rate for this date - see Settings",IF(SUMPRODUCT((H87:S87&lt;&gt;"")*(H$4:S$4=""))&gt;0,"attendance in an empty worker slot",""))))))</f>
        <v/>
      </c>
      <c r="Y87" s="20"/>
    </row>
    <row r="88" customFormat="false" ht="15" hidden="false" customHeight="false" outlineLevel="0" collapsed="false">
      <c r="A88" s="10" t="n">
        <v>46368</v>
      </c>
      <c r="B88" s="11" t="str">
        <f aca="false">CHOOSE(WEEKDAY($A88,2),"Mon","Tue","Wed","Thu","Fri","Sat","Sun")</f>
        <v>Sat</v>
      </c>
      <c r="C88" s="12"/>
      <c r="D88" s="12"/>
      <c r="E88" s="13" t="str">
        <f aca="false">IF($C88="","",$C88-N($D88))</f>
        <v/>
      </c>
      <c r="F88" s="13" t="str">
        <f aca="false">IF($C88="","",$C88-MAX(0,N($D88)-BreakAllow*$C88))</f>
        <v/>
      </c>
      <c r="G88" s="12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5" t="str">
        <f aca="false">IF(COUNT(H88:S88)=0,"",SUM(H88:S88))</f>
        <v/>
      </c>
      <c r="U88" s="16" t="str">
        <f aca="false">IF($C88="","",IFERROR(INDEX(RateValues,MATCH(SUMPRODUCT(MAX((RateDates&lt;=$A88)*RateDates)),RateDates,0)),0))</f>
        <v/>
      </c>
      <c r="V88" s="17" t="str">
        <f aca="false">IF($C88="","",$F88*$U88)</f>
        <v/>
      </c>
      <c r="W88" s="18" t="n">
        <f aca="false">$A88-WEEKDAY($A88,2)+1</f>
        <v>46363</v>
      </c>
      <c r="X88" s="19" t="str">
        <f aca="false">IF(AND($C88="",T88=""),"",IF(AND(N($C88)&gt;0,N(T88)=0),"nobody marked present",IF(N($D88)&gt;N($C88),"more broken than moulded",IF(AND($C88="",N(T88)&gt;0),"attendance marked but no blocks entered",IF(AND(N($C88)&gt;0,N(U88)=0),"no pay rate for this date - see Settings",IF(SUMPRODUCT((H88:S88&lt;&gt;"")*(H$4:S$4=""))&gt;0,"attendance in an empty worker slot",""))))))</f>
        <v/>
      </c>
      <c r="Y88" s="20"/>
    </row>
    <row r="89" customFormat="false" ht="15" hidden="false" customHeight="false" outlineLevel="0" collapsed="false">
      <c r="A89" s="21" t="n">
        <v>46369</v>
      </c>
      <c r="B89" s="22" t="str">
        <f aca="false">CHOOSE(WEEKDAY($A89,2),"Mon","Tue","Wed","Thu","Fri","Sat","Sun")</f>
        <v>Sun</v>
      </c>
      <c r="C89" s="12"/>
      <c r="D89" s="12"/>
      <c r="E89" s="13" t="str">
        <f aca="false">IF($C89="","",$C89-N($D89))</f>
        <v/>
      </c>
      <c r="F89" s="13" t="str">
        <f aca="false">IF($C89="","",$C89-MAX(0,N($D89)-BreakAllow*$C89))</f>
        <v/>
      </c>
      <c r="G89" s="12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5" t="str">
        <f aca="false">IF(COUNT(H89:S89)=0,"",SUM(H89:S89))</f>
        <v/>
      </c>
      <c r="U89" s="16" t="str">
        <f aca="false">IF($C89="","",IFERROR(INDEX(RateValues,MATCH(SUMPRODUCT(MAX((RateDates&lt;=$A89)*RateDates)),RateDates,0)),0))</f>
        <v/>
      </c>
      <c r="V89" s="17" t="str">
        <f aca="false">IF($C89="","",$F89*$U89)</f>
        <v/>
      </c>
      <c r="W89" s="18" t="n">
        <f aca="false">$A89-WEEKDAY($A89,2)+1</f>
        <v>46363</v>
      </c>
      <c r="X89" s="19" t="str">
        <f aca="false">IF(AND($C89="",T89=""),"",IF(AND(N($C89)&gt;0,N(T89)=0),"nobody marked present",IF(N($D89)&gt;N($C89),"more broken than moulded",IF(AND($C89="",N(T89)&gt;0),"attendance marked but no blocks entered",IF(AND(N($C89)&gt;0,N(U89)=0),"no pay rate for this date - see Settings",IF(SUMPRODUCT((H89:S89&lt;&gt;"")*(H$4:S$4=""))&gt;0,"attendance in an empty worker slot",""))))))</f>
        <v/>
      </c>
      <c r="Y89" s="20"/>
    </row>
    <row r="90" customFormat="false" ht="15" hidden="false" customHeight="false" outlineLevel="0" collapsed="false">
      <c r="A90" s="10" t="n">
        <v>46370</v>
      </c>
      <c r="B90" s="11" t="str">
        <f aca="false">CHOOSE(WEEKDAY($A90,2),"Mon","Tue","Wed","Thu","Fri","Sat","Sun")</f>
        <v>Mon</v>
      </c>
      <c r="C90" s="12"/>
      <c r="D90" s="12"/>
      <c r="E90" s="13" t="str">
        <f aca="false">IF($C90="","",$C90-N($D90))</f>
        <v/>
      </c>
      <c r="F90" s="13" t="str">
        <f aca="false">IF($C90="","",$C90-MAX(0,N($D90)-BreakAllow*$C90))</f>
        <v/>
      </c>
      <c r="G90" s="12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5" t="str">
        <f aca="false">IF(COUNT(H90:S90)=0,"",SUM(H90:S90))</f>
        <v/>
      </c>
      <c r="U90" s="16" t="str">
        <f aca="false">IF($C90="","",IFERROR(INDEX(RateValues,MATCH(SUMPRODUCT(MAX((RateDates&lt;=$A90)*RateDates)),RateDates,0)),0))</f>
        <v/>
      </c>
      <c r="V90" s="17" t="str">
        <f aca="false">IF($C90="","",$F90*$U90)</f>
        <v/>
      </c>
      <c r="W90" s="18" t="n">
        <f aca="false">$A90-WEEKDAY($A90,2)+1</f>
        <v>46370</v>
      </c>
      <c r="X90" s="19" t="str">
        <f aca="false">IF(AND($C90="",T90=""),"",IF(AND(N($C90)&gt;0,N(T90)=0),"nobody marked present",IF(N($D90)&gt;N($C90),"more broken than moulded",IF(AND($C90="",N(T90)&gt;0),"attendance marked but no blocks entered",IF(AND(N($C90)&gt;0,N(U90)=0),"no pay rate for this date - see Settings",IF(SUMPRODUCT((H90:S90&lt;&gt;"")*(H$4:S$4=""))&gt;0,"attendance in an empty worker slot",""))))))</f>
        <v/>
      </c>
      <c r="Y90" s="20"/>
    </row>
    <row r="91" customFormat="false" ht="15" hidden="false" customHeight="false" outlineLevel="0" collapsed="false">
      <c r="A91" s="10" t="n">
        <v>46371</v>
      </c>
      <c r="B91" s="11" t="str">
        <f aca="false">CHOOSE(WEEKDAY($A91,2),"Mon","Tue","Wed","Thu","Fri","Sat","Sun")</f>
        <v>Tue</v>
      </c>
      <c r="C91" s="12"/>
      <c r="D91" s="12"/>
      <c r="E91" s="13" t="str">
        <f aca="false">IF($C91="","",$C91-N($D91))</f>
        <v/>
      </c>
      <c r="F91" s="13" t="str">
        <f aca="false">IF($C91="","",$C91-MAX(0,N($D91)-BreakAllow*$C91))</f>
        <v/>
      </c>
      <c r="G91" s="12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5" t="str">
        <f aca="false">IF(COUNT(H91:S91)=0,"",SUM(H91:S91))</f>
        <v/>
      </c>
      <c r="U91" s="16" t="str">
        <f aca="false">IF($C91="","",IFERROR(INDEX(RateValues,MATCH(SUMPRODUCT(MAX((RateDates&lt;=$A91)*RateDates)),RateDates,0)),0))</f>
        <v/>
      </c>
      <c r="V91" s="17" t="str">
        <f aca="false">IF($C91="","",$F91*$U91)</f>
        <v/>
      </c>
      <c r="W91" s="18" t="n">
        <f aca="false">$A91-WEEKDAY($A91,2)+1</f>
        <v>46370</v>
      </c>
      <c r="X91" s="19" t="str">
        <f aca="false">IF(AND($C91="",T91=""),"",IF(AND(N($C91)&gt;0,N(T91)=0),"nobody marked present",IF(N($D91)&gt;N($C91),"more broken than moulded",IF(AND($C91="",N(T91)&gt;0),"attendance marked but no blocks entered",IF(AND(N($C91)&gt;0,N(U91)=0),"no pay rate for this date - see Settings",IF(SUMPRODUCT((H91:S91&lt;&gt;"")*(H$4:S$4=""))&gt;0,"attendance in an empty worker slot",""))))))</f>
        <v/>
      </c>
      <c r="Y91" s="20"/>
    </row>
    <row r="92" customFormat="false" ht="15" hidden="false" customHeight="false" outlineLevel="0" collapsed="false">
      <c r="A92" s="10" t="n">
        <v>46372</v>
      </c>
      <c r="B92" s="11" t="str">
        <f aca="false">CHOOSE(WEEKDAY($A92,2),"Mon","Tue","Wed","Thu","Fri","Sat","Sun")</f>
        <v>Wed</v>
      </c>
      <c r="C92" s="12"/>
      <c r="D92" s="12"/>
      <c r="E92" s="13" t="str">
        <f aca="false">IF($C92="","",$C92-N($D92))</f>
        <v/>
      </c>
      <c r="F92" s="13" t="str">
        <f aca="false">IF($C92="","",$C92-MAX(0,N($D92)-BreakAllow*$C92))</f>
        <v/>
      </c>
      <c r="G92" s="12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5" t="str">
        <f aca="false">IF(COUNT(H92:S92)=0,"",SUM(H92:S92))</f>
        <v/>
      </c>
      <c r="U92" s="16" t="str">
        <f aca="false">IF($C92="","",IFERROR(INDEX(RateValues,MATCH(SUMPRODUCT(MAX((RateDates&lt;=$A92)*RateDates)),RateDates,0)),0))</f>
        <v/>
      </c>
      <c r="V92" s="17" t="str">
        <f aca="false">IF($C92="","",$F92*$U92)</f>
        <v/>
      </c>
      <c r="W92" s="18" t="n">
        <f aca="false">$A92-WEEKDAY($A92,2)+1</f>
        <v>46370</v>
      </c>
      <c r="X92" s="19" t="str">
        <f aca="false">IF(AND($C92="",T92=""),"",IF(AND(N($C92)&gt;0,N(T92)=0),"nobody marked present",IF(N($D92)&gt;N($C92),"more broken than moulded",IF(AND($C92="",N(T92)&gt;0),"attendance marked but no blocks entered",IF(AND(N($C92)&gt;0,N(U92)=0),"no pay rate for this date - see Settings",IF(SUMPRODUCT((H92:S92&lt;&gt;"")*(H$4:S$4=""))&gt;0,"attendance in an empty worker slot",""))))))</f>
        <v/>
      </c>
      <c r="Y92" s="20"/>
    </row>
    <row r="93" customFormat="false" ht="15" hidden="false" customHeight="false" outlineLevel="0" collapsed="false">
      <c r="A93" s="10" t="n">
        <v>46373</v>
      </c>
      <c r="B93" s="11" t="str">
        <f aca="false">CHOOSE(WEEKDAY($A93,2),"Mon","Tue","Wed","Thu","Fri","Sat","Sun")</f>
        <v>Thu</v>
      </c>
      <c r="C93" s="12"/>
      <c r="D93" s="12"/>
      <c r="E93" s="13" t="str">
        <f aca="false">IF($C93="","",$C93-N($D93))</f>
        <v/>
      </c>
      <c r="F93" s="13" t="str">
        <f aca="false">IF($C93="","",$C93-MAX(0,N($D93)-BreakAllow*$C93))</f>
        <v/>
      </c>
      <c r="G93" s="12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5" t="str">
        <f aca="false">IF(COUNT(H93:S93)=0,"",SUM(H93:S93))</f>
        <v/>
      </c>
      <c r="U93" s="16" t="str">
        <f aca="false">IF($C93="","",IFERROR(INDEX(RateValues,MATCH(SUMPRODUCT(MAX((RateDates&lt;=$A93)*RateDates)),RateDates,0)),0))</f>
        <v/>
      </c>
      <c r="V93" s="17" t="str">
        <f aca="false">IF($C93="","",$F93*$U93)</f>
        <v/>
      </c>
      <c r="W93" s="18" t="n">
        <f aca="false">$A93-WEEKDAY($A93,2)+1</f>
        <v>46370</v>
      </c>
      <c r="X93" s="19" t="str">
        <f aca="false">IF(AND($C93="",T93=""),"",IF(AND(N($C93)&gt;0,N(T93)=0),"nobody marked present",IF(N($D93)&gt;N($C93),"more broken than moulded",IF(AND($C93="",N(T93)&gt;0),"attendance marked but no blocks entered",IF(AND(N($C93)&gt;0,N(U93)=0),"no pay rate for this date - see Settings",IF(SUMPRODUCT((H93:S93&lt;&gt;"")*(H$4:S$4=""))&gt;0,"attendance in an empty worker slot",""))))))</f>
        <v/>
      </c>
      <c r="Y93" s="20"/>
    </row>
    <row r="94" customFormat="false" ht="15" hidden="false" customHeight="false" outlineLevel="0" collapsed="false">
      <c r="A94" s="10" t="n">
        <v>46374</v>
      </c>
      <c r="B94" s="11" t="str">
        <f aca="false">CHOOSE(WEEKDAY($A94,2),"Mon","Tue","Wed","Thu","Fri","Sat","Sun")</f>
        <v>Fri</v>
      </c>
      <c r="C94" s="12"/>
      <c r="D94" s="12"/>
      <c r="E94" s="13" t="str">
        <f aca="false">IF($C94="","",$C94-N($D94))</f>
        <v/>
      </c>
      <c r="F94" s="13" t="str">
        <f aca="false">IF($C94="","",$C94-MAX(0,N($D94)-BreakAllow*$C94))</f>
        <v/>
      </c>
      <c r="G94" s="12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5" t="str">
        <f aca="false">IF(COUNT(H94:S94)=0,"",SUM(H94:S94))</f>
        <v/>
      </c>
      <c r="U94" s="16" t="str">
        <f aca="false">IF($C94="","",IFERROR(INDEX(RateValues,MATCH(SUMPRODUCT(MAX((RateDates&lt;=$A94)*RateDates)),RateDates,0)),0))</f>
        <v/>
      </c>
      <c r="V94" s="17" t="str">
        <f aca="false">IF($C94="","",$F94*$U94)</f>
        <v/>
      </c>
      <c r="W94" s="18" t="n">
        <f aca="false">$A94-WEEKDAY($A94,2)+1</f>
        <v>46370</v>
      </c>
      <c r="X94" s="19" t="str">
        <f aca="false">IF(AND($C94="",T94=""),"",IF(AND(N($C94)&gt;0,N(T94)=0),"nobody marked present",IF(N($D94)&gt;N($C94),"more broken than moulded",IF(AND($C94="",N(T94)&gt;0),"attendance marked but no blocks entered",IF(AND(N($C94)&gt;0,N(U94)=0),"no pay rate for this date - see Settings",IF(SUMPRODUCT((H94:S94&lt;&gt;"")*(H$4:S$4=""))&gt;0,"attendance in an empty worker slot",""))))))</f>
        <v/>
      </c>
      <c r="Y94" s="20"/>
    </row>
    <row r="95" customFormat="false" ht="15" hidden="false" customHeight="false" outlineLevel="0" collapsed="false">
      <c r="A95" s="10" t="n">
        <v>46375</v>
      </c>
      <c r="B95" s="11" t="str">
        <f aca="false">CHOOSE(WEEKDAY($A95,2),"Mon","Tue","Wed","Thu","Fri","Sat","Sun")</f>
        <v>Sat</v>
      </c>
      <c r="C95" s="12"/>
      <c r="D95" s="12"/>
      <c r="E95" s="13" t="str">
        <f aca="false">IF($C95="","",$C95-N($D95))</f>
        <v/>
      </c>
      <c r="F95" s="13" t="str">
        <f aca="false">IF($C95="","",$C95-MAX(0,N($D95)-BreakAllow*$C95))</f>
        <v/>
      </c>
      <c r="G95" s="12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5" t="str">
        <f aca="false">IF(COUNT(H95:S95)=0,"",SUM(H95:S95))</f>
        <v/>
      </c>
      <c r="U95" s="16" t="str">
        <f aca="false">IF($C95="","",IFERROR(INDEX(RateValues,MATCH(SUMPRODUCT(MAX((RateDates&lt;=$A95)*RateDates)),RateDates,0)),0))</f>
        <v/>
      </c>
      <c r="V95" s="17" t="str">
        <f aca="false">IF($C95="","",$F95*$U95)</f>
        <v/>
      </c>
      <c r="W95" s="18" t="n">
        <f aca="false">$A95-WEEKDAY($A95,2)+1</f>
        <v>46370</v>
      </c>
      <c r="X95" s="19" t="str">
        <f aca="false">IF(AND($C95="",T95=""),"",IF(AND(N($C95)&gt;0,N(T95)=0),"nobody marked present",IF(N($D95)&gt;N($C95),"more broken than moulded",IF(AND($C95="",N(T95)&gt;0),"attendance marked but no blocks entered",IF(AND(N($C95)&gt;0,N(U95)=0),"no pay rate for this date - see Settings",IF(SUMPRODUCT((H95:S95&lt;&gt;"")*(H$4:S$4=""))&gt;0,"attendance in an empty worker slot",""))))))</f>
        <v/>
      </c>
      <c r="Y95" s="20"/>
    </row>
    <row r="96" customFormat="false" ht="15" hidden="false" customHeight="false" outlineLevel="0" collapsed="false">
      <c r="A96" s="21" t="n">
        <v>46376</v>
      </c>
      <c r="B96" s="22" t="str">
        <f aca="false">CHOOSE(WEEKDAY($A96,2),"Mon","Tue","Wed","Thu","Fri","Sat","Sun")</f>
        <v>Sun</v>
      </c>
      <c r="C96" s="12"/>
      <c r="D96" s="12"/>
      <c r="E96" s="13" t="str">
        <f aca="false">IF($C96="","",$C96-N($D96))</f>
        <v/>
      </c>
      <c r="F96" s="13" t="str">
        <f aca="false">IF($C96="","",$C96-MAX(0,N($D96)-BreakAllow*$C96))</f>
        <v/>
      </c>
      <c r="G96" s="12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5" t="str">
        <f aca="false">IF(COUNT(H96:S96)=0,"",SUM(H96:S96))</f>
        <v/>
      </c>
      <c r="U96" s="16" t="str">
        <f aca="false">IF($C96="","",IFERROR(INDEX(RateValues,MATCH(SUMPRODUCT(MAX((RateDates&lt;=$A96)*RateDates)),RateDates,0)),0))</f>
        <v/>
      </c>
      <c r="V96" s="17" t="str">
        <f aca="false">IF($C96="","",$F96*$U96)</f>
        <v/>
      </c>
      <c r="W96" s="18" t="n">
        <f aca="false">$A96-WEEKDAY($A96,2)+1</f>
        <v>46370</v>
      </c>
      <c r="X96" s="19" t="str">
        <f aca="false">IF(AND($C96="",T96=""),"",IF(AND(N($C96)&gt;0,N(T96)=0),"nobody marked present",IF(N($D96)&gt;N($C96),"more broken than moulded",IF(AND($C96="",N(T96)&gt;0),"attendance marked but no blocks entered",IF(AND(N($C96)&gt;0,N(U96)=0),"no pay rate for this date - see Settings",IF(SUMPRODUCT((H96:S96&lt;&gt;"")*(H$4:S$4=""))&gt;0,"attendance in an empty worker slot",""))))))</f>
        <v/>
      </c>
      <c r="Y96" s="20"/>
    </row>
    <row r="97" customFormat="false" ht="15" hidden="false" customHeight="false" outlineLevel="0" collapsed="false">
      <c r="A97" s="10" t="n">
        <v>46377</v>
      </c>
      <c r="B97" s="11" t="str">
        <f aca="false">CHOOSE(WEEKDAY($A97,2),"Mon","Tue","Wed","Thu","Fri","Sat","Sun")</f>
        <v>Mon</v>
      </c>
      <c r="C97" s="12"/>
      <c r="D97" s="12"/>
      <c r="E97" s="13" t="str">
        <f aca="false">IF($C97="","",$C97-N($D97))</f>
        <v/>
      </c>
      <c r="F97" s="13" t="str">
        <f aca="false">IF($C97="","",$C97-MAX(0,N($D97)-BreakAllow*$C97))</f>
        <v/>
      </c>
      <c r="G97" s="12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5" t="str">
        <f aca="false">IF(COUNT(H97:S97)=0,"",SUM(H97:S97))</f>
        <v/>
      </c>
      <c r="U97" s="16" t="str">
        <f aca="false">IF($C97="","",IFERROR(INDEX(RateValues,MATCH(SUMPRODUCT(MAX((RateDates&lt;=$A97)*RateDates)),RateDates,0)),0))</f>
        <v/>
      </c>
      <c r="V97" s="17" t="str">
        <f aca="false">IF($C97="","",$F97*$U97)</f>
        <v/>
      </c>
      <c r="W97" s="18" t="n">
        <f aca="false">$A97-WEEKDAY($A97,2)+1</f>
        <v>46377</v>
      </c>
      <c r="X97" s="19" t="str">
        <f aca="false">IF(AND($C97="",T97=""),"",IF(AND(N($C97)&gt;0,N(T97)=0),"nobody marked present",IF(N($D97)&gt;N($C97),"more broken than moulded",IF(AND($C97="",N(T97)&gt;0),"attendance marked but no blocks entered",IF(AND(N($C97)&gt;0,N(U97)=0),"no pay rate for this date - see Settings",IF(SUMPRODUCT((H97:S97&lt;&gt;"")*(H$4:S$4=""))&gt;0,"attendance in an empty worker slot",""))))))</f>
        <v/>
      </c>
      <c r="Y97" s="20"/>
    </row>
    <row r="98" customFormat="false" ht="15" hidden="false" customHeight="false" outlineLevel="0" collapsed="false">
      <c r="A98" s="10" t="n">
        <v>46378</v>
      </c>
      <c r="B98" s="11" t="str">
        <f aca="false">CHOOSE(WEEKDAY($A98,2),"Mon","Tue","Wed","Thu","Fri","Sat","Sun")</f>
        <v>Tue</v>
      </c>
      <c r="C98" s="12"/>
      <c r="D98" s="12"/>
      <c r="E98" s="13" t="str">
        <f aca="false">IF($C98="","",$C98-N($D98))</f>
        <v/>
      </c>
      <c r="F98" s="13" t="str">
        <f aca="false">IF($C98="","",$C98-MAX(0,N($D98)-BreakAllow*$C98))</f>
        <v/>
      </c>
      <c r="G98" s="12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5" t="str">
        <f aca="false">IF(COUNT(H98:S98)=0,"",SUM(H98:S98))</f>
        <v/>
      </c>
      <c r="U98" s="16" t="str">
        <f aca="false">IF($C98="","",IFERROR(INDEX(RateValues,MATCH(SUMPRODUCT(MAX((RateDates&lt;=$A98)*RateDates)),RateDates,0)),0))</f>
        <v/>
      </c>
      <c r="V98" s="17" t="str">
        <f aca="false">IF($C98="","",$F98*$U98)</f>
        <v/>
      </c>
      <c r="W98" s="18" t="n">
        <f aca="false">$A98-WEEKDAY($A98,2)+1</f>
        <v>46377</v>
      </c>
      <c r="X98" s="19" t="str">
        <f aca="false">IF(AND($C98="",T98=""),"",IF(AND(N($C98)&gt;0,N(T98)=0),"nobody marked present",IF(N($D98)&gt;N($C98),"more broken than moulded",IF(AND($C98="",N(T98)&gt;0),"attendance marked but no blocks entered",IF(AND(N($C98)&gt;0,N(U98)=0),"no pay rate for this date - see Settings",IF(SUMPRODUCT((H98:S98&lt;&gt;"")*(H$4:S$4=""))&gt;0,"attendance in an empty worker slot",""))))))</f>
        <v/>
      </c>
      <c r="Y98" s="20"/>
    </row>
    <row r="99" customFormat="false" ht="15" hidden="false" customHeight="false" outlineLevel="0" collapsed="false">
      <c r="A99" s="10" t="n">
        <v>46379</v>
      </c>
      <c r="B99" s="11" t="str">
        <f aca="false">CHOOSE(WEEKDAY($A99,2),"Mon","Tue","Wed","Thu","Fri","Sat","Sun")</f>
        <v>Wed</v>
      </c>
      <c r="C99" s="12"/>
      <c r="D99" s="12"/>
      <c r="E99" s="13" t="str">
        <f aca="false">IF($C99="","",$C99-N($D99))</f>
        <v/>
      </c>
      <c r="F99" s="13" t="str">
        <f aca="false">IF($C99="","",$C99-MAX(0,N($D99)-BreakAllow*$C99))</f>
        <v/>
      </c>
      <c r="G99" s="12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5" t="str">
        <f aca="false">IF(COUNT(H99:S99)=0,"",SUM(H99:S99))</f>
        <v/>
      </c>
      <c r="U99" s="16" t="str">
        <f aca="false">IF($C99="","",IFERROR(INDEX(RateValues,MATCH(SUMPRODUCT(MAX((RateDates&lt;=$A99)*RateDates)),RateDates,0)),0))</f>
        <v/>
      </c>
      <c r="V99" s="17" t="str">
        <f aca="false">IF($C99="","",$F99*$U99)</f>
        <v/>
      </c>
      <c r="W99" s="18" t="n">
        <f aca="false">$A99-WEEKDAY($A99,2)+1</f>
        <v>46377</v>
      </c>
      <c r="X99" s="19" t="str">
        <f aca="false">IF(AND($C99="",T99=""),"",IF(AND(N($C99)&gt;0,N(T99)=0),"nobody marked present",IF(N($D99)&gt;N($C99),"more broken than moulded",IF(AND($C99="",N(T99)&gt;0),"attendance marked but no blocks entered",IF(AND(N($C99)&gt;0,N(U99)=0),"no pay rate for this date - see Settings",IF(SUMPRODUCT((H99:S99&lt;&gt;"")*(H$4:S$4=""))&gt;0,"attendance in an empty worker slot",""))))))</f>
        <v/>
      </c>
      <c r="Y99" s="20"/>
    </row>
    <row r="100" customFormat="false" ht="15" hidden="false" customHeight="false" outlineLevel="0" collapsed="false">
      <c r="A100" s="10" t="n">
        <v>46380</v>
      </c>
      <c r="B100" s="11" t="str">
        <f aca="false">CHOOSE(WEEKDAY($A100,2),"Mon","Tue","Wed","Thu","Fri","Sat","Sun")</f>
        <v>Thu</v>
      </c>
      <c r="C100" s="12"/>
      <c r="D100" s="12"/>
      <c r="E100" s="13" t="str">
        <f aca="false">IF($C100="","",$C100-N($D100))</f>
        <v/>
      </c>
      <c r="F100" s="13" t="str">
        <f aca="false">IF($C100="","",$C100-MAX(0,N($D100)-BreakAllow*$C100))</f>
        <v/>
      </c>
      <c r="G100" s="12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5" t="str">
        <f aca="false">IF(COUNT(H100:S100)=0,"",SUM(H100:S100))</f>
        <v/>
      </c>
      <c r="U100" s="16" t="str">
        <f aca="false">IF($C100="","",IFERROR(INDEX(RateValues,MATCH(SUMPRODUCT(MAX((RateDates&lt;=$A100)*RateDates)),RateDates,0)),0))</f>
        <v/>
      </c>
      <c r="V100" s="17" t="str">
        <f aca="false">IF($C100="","",$F100*$U100)</f>
        <v/>
      </c>
      <c r="W100" s="18" t="n">
        <f aca="false">$A100-WEEKDAY($A100,2)+1</f>
        <v>46377</v>
      </c>
      <c r="X100" s="19" t="str">
        <f aca="false">IF(AND($C100="",T100=""),"",IF(AND(N($C100)&gt;0,N(T100)=0),"nobody marked present",IF(N($D100)&gt;N($C100),"more broken than moulded",IF(AND($C100="",N(T100)&gt;0),"attendance marked but no blocks entered",IF(AND(N($C100)&gt;0,N(U100)=0),"no pay rate for this date - see Settings",IF(SUMPRODUCT((H100:S100&lt;&gt;"")*(H$4:S$4=""))&gt;0,"attendance in an empty worker slot",""))))))</f>
        <v/>
      </c>
      <c r="Y100" s="20"/>
    </row>
    <row r="101" customFormat="false" ht="15" hidden="false" customHeight="false" outlineLevel="0" collapsed="false">
      <c r="A101" s="10" t="n">
        <v>46381</v>
      </c>
      <c r="B101" s="11" t="str">
        <f aca="false">CHOOSE(WEEKDAY($A101,2),"Mon","Tue","Wed","Thu","Fri","Sat","Sun")</f>
        <v>Fri</v>
      </c>
      <c r="C101" s="12"/>
      <c r="D101" s="12"/>
      <c r="E101" s="13" t="str">
        <f aca="false">IF($C101="","",$C101-N($D101))</f>
        <v/>
      </c>
      <c r="F101" s="13" t="str">
        <f aca="false">IF($C101="","",$C101-MAX(0,N($D101)-BreakAllow*$C101))</f>
        <v/>
      </c>
      <c r="G101" s="12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5" t="str">
        <f aca="false">IF(COUNT(H101:S101)=0,"",SUM(H101:S101))</f>
        <v/>
      </c>
      <c r="U101" s="16" t="str">
        <f aca="false">IF($C101="","",IFERROR(INDEX(RateValues,MATCH(SUMPRODUCT(MAX((RateDates&lt;=$A101)*RateDates)),RateDates,0)),0))</f>
        <v/>
      </c>
      <c r="V101" s="17" t="str">
        <f aca="false">IF($C101="","",$F101*$U101)</f>
        <v/>
      </c>
      <c r="W101" s="18" t="n">
        <f aca="false">$A101-WEEKDAY($A101,2)+1</f>
        <v>46377</v>
      </c>
      <c r="X101" s="19" t="str">
        <f aca="false">IF(AND($C101="",T101=""),"",IF(AND(N($C101)&gt;0,N(T101)=0),"nobody marked present",IF(N($D101)&gt;N($C101),"more broken than moulded",IF(AND($C101="",N(T101)&gt;0),"attendance marked but no blocks entered",IF(AND(N($C101)&gt;0,N(U101)=0),"no pay rate for this date - see Settings",IF(SUMPRODUCT((H101:S101&lt;&gt;"")*(H$4:S$4=""))&gt;0,"attendance in an empty worker slot",""))))))</f>
        <v/>
      </c>
      <c r="Y101" s="20"/>
    </row>
    <row r="102" customFormat="false" ht="15" hidden="false" customHeight="false" outlineLevel="0" collapsed="false">
      <c r="A102" s="10" t="n">
        <v>46382</v>
      </c>
      <c r="B102" s="11" t="str">
        <f aca="false">CHOOSE(WEEKDAY($A102,2),"Mon","Tue","Wed","Thu","Fri","Sat","Sun")</f>
        <v>Sat</v>
      </c>
      <c r="C102" s="12"/>
      <c r="D102" s="12"/>
      <c r="E102" s="13" t="str">
        <f aca="false">IF($C102="","",$C102-N($D102))</f>
        <v/>
      </c>
      <c r="F102" s="13" t="str">
        <f aca="false">IF($C102="","",$C102-MAX(0,N($D102)-BreakAllow*$C102))</f>
        <v/>
      </c>
      <c r="G102" s="12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5" t="str">
        <f aca="false">IF(COUNT(H102:S102)=0,"",SUM(H102:S102))</f>
        <v/>
      </c>
      <c r="U102" s="16" t="str">
        <f aca="false">IF($C102="","",IFERROR(INDEX(RateValues,MATCH(SUMPRODUCT(MAX((RateDates&lt;=$A102)*RateDates)),RateDates,0)),0))</f>
        <v/>
      </c>
      <c r="V102" s="17" t="str">
        <f aca="false">IF($C102="","",$F102*$U102)</f>
        <v/>
      </c>
      <c r="W102" s="18" t="n">
        <f aca="false">$A102-WEEKDAY($A102,2)+1</f>
        <v>46377</v>
      </c>
      <c r="X102" s="19" t="str">
        <f aca="false">IF(AND($C102="",T102=""),"",IF(AND(N($C102)&gt;0,N(T102)=0),"nobody marked present",IF(N($D102)&gt;N($C102),"more broken than moulded",IF(AND($C102="",N(T102)&gt;0),"attendance marked but no blocks entered",IF(AND(N($C102)&gt;0,N(U102)=0),"no pay rate for this date - see Settings",IF(SUMPRODUCT((H102:S102&lt;&gt;"")*(H$4:S$4=""))&gt;0,"attendance in an empty worker slot",""))))))</f>
        <v/>
      </c>
      <c r="Y102" s="20"/>
    </row>
    <row r="103" customFormat="false" ht="15" hidden="false" customHeight="false" outlineLevel="0" collapsed="false">
      <c r="A103" s="21" t="n">
        <v>46383</v>
      </c>
      <c r="B103" s="22" t="str">
        <f aca="false">CHOOSE(WEEKDAY($A103,2),"Mon","Tue","Wed","Thu","Fri","Sat","Sun")</f>
        <v>Sun</v>
      </c>
      <c r="C103" s="12"/>
      <c r="D103" s="12"/>
      <c r="E103" s="13" t="str">
        <f aca="false">IF($C103="","",$C103-N($D103))</f>
        <v/>
      </c>
      <c r="F103" s="13" t="str">
        <f aca="false">IF($C103="","",$C103-MAX(0,N($D103)-BreakAllow*$C103))</f>
        <v/>
      </c>
      <c r="G103" s="12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 t="str">
        <f aca="false">IF(COUNT(H103:S103)=0,"",SUM(H103:S103))</f>
        <v/>
      </c>
      <c r="U103" s="16" t="str">
        <f aca="false">IF($C103="","",IFERROR(INDEX(RateValues,MATCH(SUMPRODUCT(MAX((RateDates&lt;=$A103)*RateDates)),RateDates,0)),0))</f>
        <v/>
      </c>
      <c r="V103" s="17" t="str">
        <f aca="false">IF($C103="","",$F103*$U103)</f>
        <v/>
      </c>
      <c r="W103" s="18" t="n">
        <f aca="false">$A103-WEEKDAY($A103,2)+1</f>
        <v>46377</v>
      </c>
      <c r="X103" s="19" t="str">
        <f aca="false">IF(AND($C103="",T103=""),"",IF(AND(N($C103)&gt;0,N(T103)=0),"nobody marked present",IF(N($D103)&gt;N($C103),"more broken than moulded",IF(AND($C103="",N(T103)&gt;0),"attendance marked but no blocks entered",IF(AND(N($C103)&gt;0,N(U103)=0),"no pay rate for this date - see Settings",IF(SUMPRODUCT((H103:S103&lt;&gt;"")*(H$4:S$4=""))&gt;0,"attendance in an empty worker slot",""))))))</f>
        <v/>
      </c>
      <c r="Y103" s="20"/>
    </row>
    <row r="104" customFormat="false" ht="15" hidden="false" customHeight="false" outlineLevel="0" collapsed="false">
      <c r="A104" s="10" t="n">
        <v>46384</v>
      </c>
      <c r="B104" s="11" t="str">
        <f aca="false">CHOOSE(WEEKDAY($A104,2),"Mon","Tue","Wed","Thu","Fri","Sat","Sun")</f>
        <v>Mon</v>
      </c>
      <c r="C104" s="12"/>
      <c r="D104" s="12"/>
      <c r="E104" s="13" t="str">
        <f aca="false">IF($C104="","",$C104-N($D104))</f>
        <v/>
      </c>
      <c r="F104" s="13" t="str">
        <f aca="false">IF($C104="","",$C104-MAX(0,N($D104)-BreakAllow*$C104))</f>
        <v/>
      </c>
      <c r="G104" s="12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5" t="str">
        <f aca="false">IF(COUNT(H104:S104)=0,"",SUM(H104:S104))</f>
        <v/>
      </c>
      <c r="U104" s="16" t="str">
        <f aca="false">IF($C104="","",IFERROR(INDEX(RateValues,MATCH(SUMPRODUCT(MAX((RateDates&lt;=$A104)*RateDates)),RateDates,0)),0))</f>
        <v/>
      </c>
      <c r="V104" s="17" t="str">
        <f aca="false">IF($C104="","",$F104*$U104)</f>
        <v/>
      </c>
      <c r="W104" s="18" t="n">
        <f aca="false">$A104-WEEKDAY($A104,2)+1</f>
        <v>46384</v>
      </c>
      <c r="X104" s="19" t="str">
        <f aca="false">IF(AND($C104="",T104=""),"",IF(AND(N($C104)&gt;0,N(T104)=0),"nobody marked present",IF(N($D104)&gt;N($C104),"more broken than moulded",IF(AND($C104="",N(T104)&gt;0),"attendance marked but no blocks entered",IF(AND(N($C104)&gt;0,N(U104)=0),"no pay rate for this date - see Settings",IF(SUMPRODUCT((H104:S104&lt;&gt;"")*(H$4:S$4=""))&gt;0,"attendance in an empty worker slot",""))))))</f>
        <v/>
      </c>
      <c r="Y104" s="20"/>
    </row>
    <row r="105" customFormat="false" ht="15" hidden="false" customHeight="false" outlineLevel="0" collapsed="false">
      <c r="A105" s="10" t="n">
        <v>46385</v>
      </c>
      <c r="B105" s="11" t="str">
        <f aca="false">CHOOSE(WEEKDAY($A105,2),"Mon","Tue","Wed","Thu","Fri","Sat","Sun")</f>
        <v>Tue</v>
      </c>
      <c r="C105" s="12"/>
      <c r="D105" s="12"/>
      <c r="E105" s="13" t="str">
        <f aca="false">IF($C105="","",$C105-N($D105))</f>
        <v/>
      </c>
      <c r="F105" s="13" t="str">
        <f aca="false">IF($C105="","",$C105-MAX(0,N($D105)-BreakAllow*$C105))</f>
        <v/>
      </c>
      <c r="G105" s="12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5" t="str">
        <f aca="false">IF(COUNT(H105:S105)=0,"",SUM(H105:S105))</f>
        <v/>
      </c>
      <c r="U105" s="16" t="str">
        <f aca="false">IF($C105="","",IFERROR(INDEX(RateValues,MATCH(SUMPRODUCT(MAX((RateDates&lt;=$A105)*RateDates)),RateDates,0)),0))</f>
        <v/>
      </c>
      <c r="V105" s="17" t="str">
        <f aca="false">IF($C105="","",$F105*$U105)</f>
        <v/>
      </c>
      <c r="W105" s="18" t="n">
        <f aca="false">$A105-WEEKDAY($A105,2)+1</f>
        <v>46384</v>
      </c>
      <c r="X105" s="19" t="str">
        <f aca="false">IF(AND($C105="",T105=""),"",IF(AND(N($C105)&gt;0,N(T105)=0),"nobody marked present",IF(N($D105)&gt;N($C105),"more broken than moulded",IF(AND($C105="",N(T105)&gt;0),"attendance marked but no blocks entered",IF(AND(N($C105)&gt;0,N(U105)=0),"no pay rate for this date - see Settings",IF(SUMPRODUCT((H105:S105&lt;&gt;"")*(H$4:S$4=""))&gt;0,"attendance in an empty worker slot",""))))))</f>
        <v/>
      </c>
      <c r="Y105" s="20"/>
    </row>
    <row r="106" customFormat="false" ht="15" hidden="false" customHeight="false" outlineLevel="0" collapsed="false">
      <c r="A106" s="10" t="n">
        <v>46386</v>
      </c>
      <c r="B106" s="11" t="str">
        <f aca="false">CHOOSE(WEEKDAY($A106,2),"Mon","Tue","Wed","Thu","Fri","Sat","Sun")</f>
        <v>Wed</v>
      </c>
      <c r="C106" s="12"/>
      <c r="D106" s="12"/>
      <c r="E106" s="13" t="str">
        <f aca="false">IF($C106="","",$C106-N($D106))</f>
        <v/>
      </c>
      <c r="F106" s="13" t="str">
        <f aca="false">IF($C106="","",$C106-MAX(0,N($D106)-BreakAllow*$C106))</f>
        <v/>
      </c>
      <c r="G106" s="12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5" t="str">
        <f aca="false">IF(COUNT(H106:S106)=0,"",SUM(H106:S106))</f>
        <v/>
      </c>
      <c r="U106" s="16" t="str">
        <f aca="false">IF($C106="","",IFERROR(INDEX(RateValues,MATCH(SUMPRODUCT(MAX((RateDates&lt;=$A106)*RateDates)),RateDates,0)),0))</f>
        <v/>
      </c>
      <c r="V106" s="17" t="str">
        <f aca="false">IF($C106="","",$F106*$U106)</f>
        <v/>
      </c>
      <c r="W106" s="18" t="n">
        <f aca="false">$A106-WEEKDAY($A106,2)+1</f>
        <v>46384</v>
      </c>
      <c r="X106" s="19" t="str">
        <f aca="false">IF(AND($C106="",T106=""),"",IF(AND(N($C106)&gt;0,N(T106)=0),"nobody marked present",IF(N($D106)&gt;N($C106),"more broken than moulded",IF(AND($C106="",N(T106)&gt;0),"attendance marked but no blocks entered",IF(AND(N($C106)&gt;0,N(U106)=0),"no pay rate for this date - see Settings",IF(SUMPRODUCT((H106:S106&lt;&gt;"")*(H$4:S$4=""))&gt;0,"attendance in an empty worker slot",""))))))</f>
        <v/>
      </c>
      <c r="Y106" s="20"/>
    </row>
    <row r="107" customFormat="false" ht="15" hidden="false" customHeight="false" outlineLevel="0" collapsed="false">
      <c r="A107" s="10" t="n">
        <v>46387</v>
      </c>
      <c r="B107" s="11" t="str">
        <f aca="false">CHOOSE(WEEKDAY($A107,2),"Mon","Tue","Wed","Thu","Fri","Sat","Sun")</f>
        <v>Thu</v>
      </c>
      <c r="C107" s="12"/>
      <c r="D107" s="12"/>
      <c r="E107" s="13" t="str">
        <f aca="false">IF($C107="","",$C107-N($D107))</f>
        <v/>
      </c>
      <c r="F107" s="13" t="str">
        <f aca="false">IF($C107="","",$C107-MAX(0,N($D107)-BreakAllow*$C107))</f>
        <v/>
      </c>
      <c r="G107" s="12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5" t="str">
        <f aca="false">IF(COUNT(H107:S107)=0,"",SUM(H107:S107))</f>
        <v/>
      </c>
      <c r="U107" s="16" t="str">
        <f aca="false">IF($C107="","",IFERROR(INDEX(RateValues,MATCH(SUMPRODUCT(MAX((RateDates&lt;=$A107)*RateDates)),RateDates,0)),0))</f>
        <v/>
      </c>
      <c r="V107" s="17" t="str">
        <f aca="false">IF($C107="","",$F107*$U107)</f>
        <v/>
      </c>
      <c r="W107" s="18" t="n">
        <f aca="false">$A107-WEEKDAY($A107,2)+1</f>
        <v>46384</v>
      </c>
      <c r="X107" s="19" t="str">
        <f aca="false">IF(AND($C107="",T107=""),"",IF(AND(N($C107)&gt;0,N(T107)=0),"nobody marked present",IF(N($D107)&gt;N($C107),"more broken than moulded",IF(AND($C107="",N(T107)&gt;0),"attendance marked but no blocks entered",IF(AND(N($C107)&gt;0,N(U107)=0),"no pay rate for this date - see Settings",IF(SUMPRODUCT((H107:S107&lt;&gt;"")*(H$4:S$4=""))&gt;0,"attendance in an empty worker slot",""))))))</f>
        <v/>
      </c>
      <c r="Y107" s="20"/>
    </row>
    <row r="108" customFormat="false" ht="15" hidden="false" customHeight="false" outlineLevel="0" collapsed="false">
      <c r="A108" s="10" t="n">
        <v>46388</v>
      </c>
      <c r="B108" s="11" t="str">
        <f aca="false">CHOOSE(WEEKDAY($A108,2),"Mon","Tue","Wed","Thu","Fri","Sat","Sun")</f>
        <v>Fri</v>
      </c>
      <c r="C108" s="12"/>
      <c r="D108" s="12"/>
      <c r="E108" s="13" t="str">
        <f aca="false">IF($C108="","",$C108-N($D108))</f>
        <v/>
      </c>
      <c r="F108" s="13" t="str">
        <f aca="false">IF($C108="","",$C108-MAX(0,N($D108)-BreakAllow*$C108))</f>
        <v/>
      </c>
      <c r="G108" s="12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5" t="str">
        <f aca="false">IF(COUNT(H108:S108)=0,"",SUM(H108:S108))</f>
        <v/>
      </c>
      <c r="U108" s="16" t="str">
        <f aca="false">IF($C108="","",IFERROR(INDEX(RateValues,MATCH(SUMPRODUCT(MAX((RateDates&lt;=$A108)*RateDates)),RateDates,0)),0))</f>
        <v/>
      </c>
      <c r="V108" s="17" t="str">
        <f aca="false">IF($C108="","",$F108*$U108)</f>
        <v/>
      </c>
      <c r="W108" s="18" t="n">
        <f aca="false">$A108-WEEKDAY($A108,2)+1</f>
        <v>46384</v>
      </c>
      <c r="X108" s="19" t="str">
        <f aca="false">IF(AND($C108="",T108=""),"",IF(AND(N($C108)&gt;0,N(T108)=0),"nobody marked present",IF(N($D108)&gt;N($C108),"more broken than moulded",IF(AND($C108="",N(T108)&gt;0),"attendance marked but no blocks entered",IF(AND(N($C108)&gt;0,N(U108)=0),"no pay rate for this date - see Settings",IF(SUMPRODUCT((H108:S108&lt;&gt;"")*(H$4:S$4=""))&gt;0,"attendance in an empty worker slot",""))))))</f>
        <v/>
      </c>
      <c r="Y108" s="20"/>
    </row>
    <row r="109" customFormat="false" ht="15" hidden="false" customHeight="false" outlineLevel="0" collapsed="false">
      <c r="A109" s="10" t="n">
        <v>46389</v>
      </c>
      <c r="B109" s="11" t="str">
        <f aca="false">CHOOSE(WEEKDAY($A109,2),"Mon","Tue","Wed","Thu","Fri","Sat","Sun")</f>
        <v>Sat</v>
      </c>
      <c r="C109" s="12"/>
      <c r="D109" s="12"/>
      <c r="E109" s="13" t="str">
        <f aca="false">IF($C109="","",$C109-N($D109))</f>
        <v/>
      </c>
      <c r="F109" s="13" t="str">
        <f aca="false">IF($C109="","",$C109-MAX(0,N($D109)-BreakAllow*$C109))</f>
        <v/>
      </c>
      <c r="G109" s="12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5" t="str">
        <f aca="false">IF(COUNT(H109:S109)=0,"",SUM(H109:S109))</f>
        <v/>
      </c>
      <c r="U109" s="16" t="str">
        <f aca="false">IF($C109="","",IFERROR(INDEX(RateValues,MATCH(SUMPRODUCT(MAX((RateDates&lt;=$A109)*RateDates)),RateDates,0)),0))</f>
        <v/>
      </c>
      <c r="V109" s="17" t="str">
        <f aca="false">IF($C109="","",$F109*$U109)</f>
        <v/>
      </c>
      <c r="W109" s="18" t="n">
        <f aca="false">$A109-WEEKDAY($A109,2)+1</f>
        <v>46384</v>
      </c>
      <c r="X109" s="19" t="str">
        <f aca="false">IF(AND($C109="",T109=""),"",IF(AND(N($C109)&gt;0,N(T109)=0),"nobody marked present",IF(N($D109)&gt;N($C109),"more broken than moulded",IF(AND($C109="",N(T109)&gt;0),"attendance marked but no blocks entered",IF(AND(N($C109)&gt;0,N(U109)=0),"no pay rate for this date - see Settings",IF(SUMPRODUCT((H109:S109&lt;&gt;"")*(H$4:S$4=""))&gt;0,"attendance in an empty worker slot",""))))))</f>
        <v/>
      </c>
      <c r="Y109" s="20"/>
    </row>
    <row r="110" customFormat="false" ht="15" hidden="false" customHeight="false" outlineLevel="0" collapsed="false">
      <c r="A110" s="21" t="n">
        <v>46390</v>
      </c>
      <c r="B110" s="22" t="str">
        <f aca="false">CHOOSE(WEEKDAY($A110,2),"Mon","Tue","Wed","Thu","Fri","Sat","Sun")</f>
        <v>Sun</v>
      </c>
      <c r="C110" s="12"/>
      <c r="D110" s="12"/>
      <c r="E110" s="13" t="str">
        <f aca="false">IF($C110="","",$C110-N($D110))</f>
        <v/>
      </c>
      <c r="F110" s="13" t="str">
        <f aca="false">IF($C110="","",$C110-MAX(0,N($D110)-BreakAllow*$C110))</f>
        <v/>
      </c>
      <c r="G110" s="12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5" t="str">
        <f aca="false">IF(COUNT(H110:S110)=0,"",SUM(H110:S110))</f>
        <v/>
      </c>
      <c r="U110" s="16" t="str">
        <f aca="false">IF($C110="","",IFERROR(INDEX(RateValues,MATCH(SUMPRODUCT(MAX((RateDates&lt;=$A110)*RateDates)),RateDates,0)),0))</f>
        <v/>
      </c>
      <c r="V110" s="17" t="str">
        <f aca="false">IF($C110="","",$F110*$U110)</f>
        <v/>
      </c>
      <c r="W110" s="18" t="n">
        <f aca="false">$A110-WEEKDAY($A110,2)+1</f>
        <v>46384</v>
      </c>
      <c r="X110" s="19" t="str">
        <f aca="false">IF(AND($C110="",T110=""),"",IF(AND(N($C110)&gt;0,N(T110)=0),"nobody marked present",IF(N($D110)&gt;N($C110),"more broken than moulded",IF(AND($C110="",N(T110)&gt;0),"attendance marked but no blocks entered",IF(AND(N($C110)&gt;0,N(U110)=0),"no pay rate for this date - see Settings",IF(SUMPRODUCT((H110:S110&lt;&gt;"")*(H$4:S$4=""))&gt;0,"attendance in an empty worker slot",""))))))</f>
        <v/>
      </c>
      <c r="Y110" s="20"/>
    </row>
    <row r="111" customFormat="false" ht="15" hidden="false" customHeight="false" outlineLevel="0" collapsed="false">
      <c r="A111" s="10" t="n">
        <v>46391</v>
      </c>
      <c r="B111" s="11" t="str">
        <f aca="false">CHOOSE(WEEKDAY($A111,2),"Mon","Tue","Wed","Thu","Fri","Sat","Sun")</f>
        <v>Mon</v>
      </c>
      <c r="C111" s="12"/>
      <c r="D111" s="12"/>
      <c r="E111" s="13" t="str">
        <f aca="false">IF($C111="","",$C111-N($D111))</f>
        <v/>
      </c>
      <c r="F111" s="13" t="str">
        <f aca="false">IF($C111="","",$C111-MAX(0,N($D111)-BreakAllow*$C111))</f>
        <v/>
      </c>
      <c r="G111" s="12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5" t="str">
        <f aca="false">IF(COUNT(H111:S111)=0,"",SUM(H111:S111))</f>
        <v/>
      </c>
      <c r="U111" s="16" t="str">
        <f aca="false">IF($C111="","",IFERROR(INDEX(RateValues,MATCH(SUMPRODUCT(MAX((RateDates&lt;=$A111)*RateDates)),RateDates,0)),0))</f>
        <v/>
      </c>
      <c r="V111" s="17" t="str">
        <f aca="false">IF($C111="","",$F111*$U111)</f>
        <v/>
      </c>
      <c r="W111" s="18" t="n">
        <f aca="false">$A111-WEEKDAY($A111,2)+1</f>
        <v>46391</v>
      </c>
      <c r="X111" s="19" t="str">
        <f aca="false">IF(AND($C111="",T111=""),"",IF(AND(N($C111)&gt;0,N(T111)=0),"nobody marked present",IF(N($D111)&gt;N($C111),"more broken than moulded",IF(AND($C111="",N(T111)&gt;0),"attendance marked but no blocks entered",IF(AND(N($C111)&gt;0,N(U111)=0),"no pay rate for this date - see Settings",IF(SUMPRODUCT((H111:S111&lt;&gt;"")*(H$4:S$4=""))&gt;0,"attendance in an empty worker slot",""))))))</f>
        <v/>
      </c>
      <c r="Y111" s="20"/>
    </row>
    <row r="112" customFormat="false" ht="15" hidden="false" customHeight="false" outlineLevel="0" collapsed="false">
      <c r="A112" s="10" t="n">
        <v>46392</v>
      </c>
      <c r="B112" s="11" t="str">
        <f aca="false">CHOOSE(WEEKDAY($A112,2),"Mon","Tue","Wed","Thu","Fri","Sat","Sun")</f>
        <v>Tue</v>
      </c>
      <c r="C112" s="12"/>
      <c r="D112" s="12"/>
      <c r="E112" s="13" t="str">
        <f aca="false">IF($C112="","",$C112-N($D112))</f>
        <v/>
      </c>
      <c r="F112" s="13" t="str">
        <f aca="false">IF($C112="","",$C112-MAX(0,N($D112)-BreakAllow*$C112))</f>
        <v/>
      </c>
      <c r="G112" s="12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5" t="str">
        <f aca="false">IF(COUNT(H112:S112)=0,"",SUM(H112:S112))</f>
        <v/>
      </c>
      <c r="U112" s="16" t="str">
        <f aca="false">IF($C112="","",IFERROR(INDEX(RateValues,MATCH(SUMPRODUCT(MAX((RateDates&lt;=$A112)*RateDates)),RateDates,0)),0))</f>
        <v/>
      </c>
      <c r="V112" s="17" t="str">
        <f aca="false">IF($C112="","",$F112*$U112)</f>
        <v/>
      </c>
      <c r="W112" s="18" t="n">
        <f aca="false">$A112-WEEKDAY($A112,2)+1</f>
        <v>46391</v>
      </c>
      <c r="X112" s="19" t="str">
        <f aca="false">IF(AND($C112="",T112=""),"",IF(AND(N($C112)&gt;0,N(T112)=0),"nobody marked present",IF(N($D112)&gt;N($C112),"more broken than moulded",IF(AND($C112="",N(T112)&gt;0),"attendance marked but no blocks entered",IF(AND(N($C112)&gt;0,N(U112)=0),"no pay rate for this date - see Settings",IF(SUMPRODUCT((H112:S112&lt;&gt;"")*(H$4:S$4=""))&gt;0,"attendance in an empty worker slot",""))))))</f>
        <v/>
      </c>
      <c r="Y112" s="20"/>
    </row>
    <row r="113" customFormat="false" ht="15" hidden="false" customHeight="false" outlineLevel="0" collapsed="false">
      <c r="A113" s="10" t="n">
        <v>46393</v>
      </c>
      <c r="B113" s="11" t="str">
        <f aca="false">CHOOSE(WEEKDAY($A113,2),"Mon","Tue","Wed","Thu","Fri","Sat","Sun")</f>
        <v>Wed</v>
      </c>
      <c r="C113" s="12"/>
      <c r="D113" s="12"/>
      <c r="E113" s="13" t="str">
        <f aca="false">IF($C113="","",$C113-N($D113))</f>
        <v/>
      </c>
      <c r="F113" s="13" t="str">
        <f aca="false">IF($C113="","",$C113-MAX(0,N($D113)-BreakAllow*$C113))</f>
        <v/>
      </c>
      <c r="G113" s="12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5" t="str">
        <f aca="false">IF(COUNT(H113:S113)=0,"",SUM(H113:S113))</f>
        <v/>
      </c>
      <c r="U113" s="16" t="str">
        <f aca="false">IF($C113="","",IFERROR(INDEX(RateValues,MATCH(SUMPRODUCT(MAX((RateDates&lt;=$A113)*RateDates)),RateDates,0)),0))</f>
        <v/>
      </c>
      <c r="V113" s="17" t="str">
        <f aca="false">IF($C113="","",$F113*$U113)</f>
        <v/>
      </c>
      <c r="W113" s="18" t="n">
        <f aca="false">$A113-WEEKDAY($A113,2)+1</f>
        <v>46391</v>
      </c>
      <c r="X113" s="19" t="str">
        <f aca="false">IF(AND($C113="",T113=""),"",IF(AND(N($C113)&gt;0,N(T113)=0),"nobody marked present",IF(N($D113)&gt;N($C113),"more broken than moulded",IF(AND($C113="",N(T113)&gt;0),"attendance marked but no blocks entered",IF(AND(N($C113)&gt;0,N(U113)=0),"no pay rate for this date - see Settings",IF(SUMPRODUCT((H113:S113&lt;&gt;"")*(H$4:S$4=""))&gt;0,"attendance in an empty worker slot",""))))))</f>
        <v/>
      </c>
      <c r="Y113" s="20"/>
    </row>
    <row r="114" customFormat="false" ht="15" hidden="false" customHeight="false" outlineLevel="0" collapsed="false">
      <c r="A114" s="10" t="n">
        <v>46394</v>
      </c>
      <c r="B114" s="11" t="str">
        <f aca="false">CHOOSE(WEEKDAY($A114,2),"Mon","Tue","Wed","Thu","Fri","Sat","Sun")</f>
        <v>Thu</v>
      </c>
      <c r="C114" s="12"/>
      <c r="D114" s="12"/>
      <c r="E114" s="13" t="str">
        <f aca="false">IF($C114="","",$C114-N($D114))</f>
        <v/>
      </c>
      <c r="F114" s="13" t="str">
        <f aca="false">IF($C114="","",$C114-MAX(0,N($D114)-BreakAllow*$C114))</f>
        <v/>
      </c>
      <c r="G114" s="12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5" t="str">
        <f aca="false">IF(COUNT(H114:S114)=0,"",SUM(H114:S114))</f>
        <v/>
      </c>
      <c r="U114" s="16" t="str">
        <f aca="false">IF($C114="","",IFERROR(INDEX(RateValues,MATCH(SUMPRODUCT(MAX((RateDates&lt;=$A114)*RateDates)),RateDates,0)),0))</f>
        <v/>
      </c>
      <c r="V114" s="17" t="str">
        <f aca="false">IF($C114="","",$F114*$U114)</f>
        <v/>
      </c>
      <c r="W114" s="18" t="n">
        <f aca="false">$A114-WEEKDAY($A114,2)+1</f>
        <v>46391</v>
      </c>
      <c r="X114" s="19" t="str">
        <f aca="false">IF(AND($C114="",T114=""),"",IF(AND(N($C114)&gt;0,N(T114)=0),"nobody marked present",IF(N($D114)&gt;N($C114),"more broken than moulded",IF(AND($C114="",N(T114)&gt;0),"attendance marked but no blocks entered",IF(AND(N($C114)&gt;0,N(U114)=0),"no pay rate for this date - see Settings",IF(SUMPRODUCT((H114:S114&lt;&gt;"")*(H$4:S$4=""))&gt;0,"attendance in an empty worker slot",""))))))</f>
        <v/>
      </c>
      <c r="Y114" s="20"/>
    </row>
    <row r="115" customFormat="false" ht="15" hidden="false" customHeight="false" outlineLevel="0" collapsed="false">
      <c r="A115" s="10" t="n">
        <v>46395</v>
      </c>
      <c r="B115" s="11" t="str">
        <f aca="false">CHOOSE(WEEKDAY($A115,2),"Mon","Tue","Wed","Thu","Fri","Sat","Sun")</f>
        <v>Fri</v>
      </c>
      <c r="C115" s="12"/>
      <c r="D115" s="12"/>
      <c r="E115" s="13" t="str">
        <f aca="false">IF($C115="","",$C115-N($D115))</f>
        <v/>
      </c>
      <c r="F115" s="13" t="str">
        <f aca="false">IF($C115="","",$C115-MAX(0,N($D115)-BreakAllow*$C115))</f>
        <v/>
      </c>
      <c r="G115" s="12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5" t="str">
        <f aca="false">IF(COUNT(H115:S115)=0,"",SUM(H115:S115))</f>
        <v/>
      </c>
      <c r="U115" s="16" t="str">
        <f aca="false">IF($C115="","",IFERROR(INDEX(RateValues,MATCH(SUMPRODUCT(MAX((RateDates&lt;=$A115)*RateDates)),RateDates,0)),0))</f>
        <v/>
      </c>
      <c r="V115" s="17" t="str">
        <f aca="false">IF($C115="","",$F115*$U115)</f>
        <v/>
      </c>
      <c r="W115" s="18" t="n">
        <f aca="false">$A115-WEEKDAY($A115,2)+1</f>
        <v>46391</v>
      </c>
      <c r="X115" s="19" t="str">
        <f aca="false">IF(AND($C115="",T115=""),"",IF(AND(N($C115)&gt;0,N(T115)=0),"nobody marked present",IF(N($D115)&gt;N($C115),"more broken than moulded",IF(AND($C115="",N(T115)&gt;0),"attendance marked but no blocks entered",IF(AND(N($C115)&gt;0,N(U115)=0),"no pay rate for this date - see Settings",IF(SUMPRODUCT((H115:S115&lt;&gt;"")*(H$4:S$4=""))&gt;0,"attendance in an empty worker slot",""))))))</f>
        <v/>
      </c>
      <c r="Y115" s="20"/>
    </row>
    <row r="116" customFormat="false" ht="15" hidden="false" customHeight="false" outlineLevel="0" collapsed="false">
      <c r="A116" s="10" t="n">
        <v>46396</v>
      </c>
      <c r="B116" s="11" t="str">
        <f aca="false">CHOOSE(WEEKDAY($A116,2),"Mon","Tue","Wed","Thu","Fri","Sat","Sun")</f>
        <v>Sat</v>
      </c>
      <c r="C116" s="12"/>
      <c r="D116" s="12"/>
      <c r="E116" s="13" t="str">
        <f aca="false">IF($C116="","",$C116-N($D116))</f>
        <v/>
      </c>
      <c r="F116" s="13" t="str">
        <f aca="false">IF($C116="","",$C116-MAX(0,N($D116)-BreakAllow*$C116))</f>
        <v/>
      </c>
      <c r="G116" s="12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5" t="str">
        <f aca="false">IF(COUNT(H116:S116)=0,"",SUM(H116:S116))</f>
        <v/>
      </c>
      <c r="U116" s="16" t="str">
        <f aca="false">IF($C116="","",IFERROR(INDEX(RateValues,MATCH(SUMPRODUCT(MAX((RateDates&lt;=$A116)*RateDates)),RateDates,0)),0))</f>
        <v/>
      </c>
      <c r="V116" s="17" t="str">
        <f aca="false">IF($C116="","",$F116*$U116)</f>
        <v/>
      </c>
      <c r="W116" s="18" t="n">
        <f aca="false">$A116-WEEKDAY($A116,2)+1</f>
        <v>46391</v>
      </c>
      <c r="X116" s="19" t="str">
        <f aca="false">IF(AND($C116="",T116=""),"",IF(AND(N($C116)&gt;0,N(T116)=0),"nobody marked present",IF(N($D116)&gt;N($C116),"more broken than moulded",IF(AND($C116="",N(T116)&gt;0),"attendance marked but no blocks entered",IF(AND(N($C116)&gt;0,N(U116)=0),"no pay rate for this date - see Settings",IF(SUMPRODUCT((H116:S116&lt;&gt;"")*(H$4:S$4=""))&gt;0,"attendance in an empty worker slot",""))))))</f>
        <v/>
      </c>
      <c r="Y116" s="20"/>
    </row>
    <row r="117" customFormat="false" ht="15" hidden="false" customHeight="false" outlineLevel="0" collapsed="false">
      <c r="A117" s="21" t="n">
        <v>46397</v>
      </c>
      <c r="B117" s="22" t="str">
        <f aca="false">CHOOSE(WEEKDAY($A117,2),"Mon","Tue","Wed","Thu","Fri","Sat","Sun")</f>
        <v>Sun</v>
      </c>
      <c r="C117" s="12"/>
      <c r="D117" s="12"/>
      <c r="E117" s="13" t="str">
        <f aca="false">IF($C117="","",$C117-N($D117))</f>
        <v/>
      </c>
      <c r="F117" s="13" t="str">
        <f aca="false">IF($C117="","",$C117-MAX(0,N($D117)-BreakAllow*$C117))</f>
        <v/>
      </c>
      <c r="G117" s="12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5" t="str">
        <f aca="false">IF(COUNT(H117:S117)=0,"",SUM(H117:S117))</f>
        <v/>
      </c>
      <c r="U117" s="16" t="str">
        <f aca="false">IF($C117="","",IFERROR(INDEX(RateValues,MATCH(SUMPRODUCT(MAX((RateDates&lt;=$A117)*RateDates)),RateDates,0)),0))</f>
        <v/>
      </c>
      <c r="V117" s="17" t="str">
        <f aca="false">IF($C117="","",$F117*$U117)</f>
        <v/>
      </c>
      <c r="W117" s="18" t="n">
        <f aca="false">$A117-WEEKDAY($A117,2)+1</f>
        <v>46391</v>
      </c>
      <c r="X117" s="19" t="str">
        <f aca="false">IF(AND($C117="",T117=""),"",IF(AND(N($C117)&gt;0,N(T117)=0),"nobody marked present",IF(N($D117)&gt;N($C117),"more broken than moulded",IF(AND($C117="",N(T117)&gt;0),"attendance marked but no blocks entered",IF(AND(N($C117)&gt;0,N(U117)=0),"no pay rate for this date - see Settings",IF(SUMPRODUCT((H117:S117&lt;&gt;"")*(H$4:S$4=""))&gt;0,"attendance in an empty worker slot",""))))))</f>
        <v/>
      </c>
      <c r="Y117" s="20"/>
    </row>
    <row r="118" customFormat="false" ht="15" hidden="false" customHeight="false" outlineLevel="0" collapsed="false">
      <c r="A118" s="10" t="n">
        <v>46398</v>
      </c>
      <c r="B118" s="11" t="str">
        <f aca="false">CHOOSE(WEEKDAY($A118,2),"Mon","Tue","Wed","Thu","Fri","Sat","Sun")</f>
        <v>Mon</v>
      </c>
      <c r="C118" s="12"/>
      <c r="D118" s="12"/>
      <c r="E118" s="13" t="str">
        <f aca="false">IF($C118="","",$C118-N($D118))</f>
        <v/>
      </c>
      <c r="F118" s="13" t="str">
        <f aca="false">IF($C118="","",$C118-MAX(0,N($D118)-BreakAllow*$C118))</f>
        <v/>
      </c>
      <c r="G118" s="12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5" t="str">
        <f aca="false">IF(COUNT(H118:S118)=0,"",SUM(H118:S118))</f>
        <v/>
      </c>
      <c r="U118" s="16" t="str">
        <f aca="false">IF($C118="","",IFERROR(INDEX(RateValues,MATCH(SUMPRODUCT(MAX((RateDates&lt;=$A118)*RateDates)),RateDates,0)),0))</f>
        <v/>
      </c>
      <c r="V118" s="17" t="str">
        <f aca="false">IF($C118="","",$F118*$U118)</f>
        <v/>
      </c>
      <c r="W118" s="18" t="n">
        <f aca="false">$A118-WEEKDAY($A118,2)+1</f>
        <v>46398</v>
      </c>
      <c r="X118" s="19" t="str">
        <f aca="false">IF(AND($C118="",T118=""),"",IF(AND(N($C118)&gt;0,N(T118)=0),"nobody marked present",IF(N($D118)&gt;N($C118),"more broken than moulded",IF(AND($C118="",N(T118)&gt;0),"attendance marked but no blocks entered",IF(AND(N($C118)&gt;0,N(U118)=0),"no pay rate for this date - see Settings",IF(SUMPRODUCT((H118:S118&lt;&gt;"")*(H$4:S$4=""))&gt;0,"attendance in an empty worker slot",""))))))</f>
        <v/>
      </c>
      <c r="Y118" s="20"/>
    </row>
    <row r="119" customFormat="false" ht="15" hidden="false" customHeight="false" outlineLevel="0" collapsed="false">
      <c r="A119" s="10" t="n">
        <v>46399</v>
      </c>
      <c r="B119" s="11" t="str">
        <f aca="false">CHOOSE(WEEKDAY($A119,2),"Mon","Tue","Wed","Thu","Fri","Sat","Sun")</f>
        <v>Tue</v>
      </c>
      <c r="C119" s="12"/>
      <c r="D119" s="12"/>
      <c r="E119" s="13" t="str">
        <f aca="false">IF($C119="","",$C119-N($D119))</f>
        <v/>
      </c>
      <c r="F119" s="13" t="str">
        <f aca="false">IF($C119="","",$C119-MAX(0,N($D119)-BreakAllow*$C119))</f>
        <v/>
      </c>
      <c r="G119" s="12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5" t="str">
        <f aca="false">IF(COUNT(H119:S119)=0,"",SUM(H119:S119))</f>
        <v/>
      </c>
      <c r="U119" s="16" t="str">
        <f aca="false">IF($C119="","",IFERROR(INDEX(RateValues,MATCH(SUMPRODUCT(MAX((RateDates&lt;=$A119)*RateDates)),RateDates,0)),0))</f>
        <v/>
      </c>
      <c r="V119" s="17" t="str">
        <f aca="false">IF($C119="","",$F119*$U119)</f>
        <v/>
      </c>
      <c r="W119" s="18" t="n">
        <f aca="false">$A119-WEEKDAY($A119,2)+1</f>
        <v>46398</v>
      </c>
      <c r="X119" s="19" t="str">
        <f aca="false">IF(AND($C119="",T119=""),"",IF(AND(N($C119)&gt;0,N(T119)=0),"nobody marked present",IF(N($D119)&gt;N($C119),"more broken than moulded",IF(AND($C119="",N(T119)&gt;0),"attendance marked but no blocks entered",IF(AND(N($C119)&gt;0,N(U119)=0),"no pay rate for this date - see Settings",IF(SUMPRODUCT((H119:S119&lt;&gt;"")*(H$4:S$4=""))&gt;0,"attendance in an empty worker slot",""))))))</f>
        <v/>
      </c>
      <c r="Y119" s="20"/>
    </row>
    <row r="120" customFormat="false" ht="15" hidden="false" customHeight="false" outlineLevel="0" collapsed="false">
      <c r="A120" s="10" t="n">
        <v>46400</v>
      </c>
      <c r="B120" s="11" t="str">
        <f aca="false">CHOOSE(WEEKDAY($A120,2),"Mon","Tue","Wed","Thu","Fri","Sat","Sun")</f>
        <v>Wed</v>
      </c>
      <c r="C120" s="12"/>
      <c r="D120" s="12"/>
      <c r="E120" s="13" t="str">
        <f aca="false">IF($C120="","",$C120-N($D120))</f>
        <v/>
      </c>
      <c r="F120" s="13" t="str">
        <f aca="false">IF($C120="","",$C120-MAX(0,N($D120)-BreakAllow*$C120))</f>
        <v/>
      </c>
      <c r="G120" s="12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5" t="str">
        <f aca="false">IF(COUNT(H120:S120)=0,"",SUM(H120:S120))</f>
        <v/>
      </c>
      <c r="U120" s="16" t="str">
        <f aca="false">IF($C120="","",IFERROR(INDEX(RateValues,MATCH(SUMPRODUCT(MAX((RateDates&lt;=$A120)*RateDates)),RateDates,0)),0))</f>
        <v/>
      </c>
      <c r="V120" s="17" t="str">
        <f aca="false">IF($C120="","",$F120*$U120)</f>
        <v/>
      </c>
      <c r="W120" s="18" t="n">
        <f aca="false">$A120-WEEKDAY($A120,2)+1</f>
        <v>46398</v>
      </c>
      <c r="X120" s="19" t="str">
        <f aca="false">IF(AND($C120="",T120=""),"",IF(AND(N($C120)&gt;0,N(T120)=0),"nobody marked present",IF(N($D120)&gt;N($C120),"more broken than moulded",IF(AND($C120="",N(T120)&gt;0),"attendance marked but no blocks entered",IF(AND(N($C120)&gt;0,N(U120)=0),"no pay rate for this date - see Settings",IF(SUMPRODUCT((H120:S120&lt;&gt;"")*(H$4:S$4=""))&gt;0,"attendance in an empty worker slot",""))))))</f>
        <v/>
      </c>
      <c r="Y120" s="20"/>
    </row>
    <row r="121" customFormat="false" ht="15" hidden="false" customHeight="false" outlineLevel="0" collapsed="false">
      <c r="A121" s="10" t="n">
        <v>46401</v>
      </c>
      <c r="B121" s="11" t="str">
        <f aca="false">CHOOSE(WEEKDAY($A121,2),"Mon","Tue","Wed","Thu","Fri","Sat","Sun")</f>
        <v>Thu</v>
      </c>
      <c r="C121" s="12"/>
      <c r="D121" s="12"/>
      <c r="E121" s="13" t="str">
        <f aca="false">IF($C121="","",$C121-N($D121))</f>
        <v/>
      </c>
      <c r="F121" s="13" t="str">
        <f aca="false">IF($C121="","",$C121-MAX(0,N($D121)-BreakAllow*$C121))</f>
        <v/>
      </c>
      <c r="G121" s="12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5" t="str">
        <f aca="false">IF(COUNT(H121:S121)=0,"",SUM(H121:S121))</f>
        <v/>
      </c>
      <c r="U121" s="16" t="str">
        <f aca="false">IF($C121="","",IFERROR(INDEX(RateValues,MATCH(SUMPRODUCT(MAX((RateDates&lt;=$A121)*RateDates)),RateDates,0)),0))</f>
        <v/>
      </c>
      <c r="V121" s="17" t="str">
        <f aca="false">IF($C121="","",$F121*$U121)</f>
        <v/>
      </c>
      <c r="W121" s="18" t="n">
        <f aca="false">$A121-WEEKDAY($A121,2)+1</f>
        <v>46398</v>
      </c>
      <c r="X121" s="19" t="str">
        <f aca="false">IF(AND($C121="",T121=""),"",IF(AND(N($C121)&gt;0,N(T121)=0),"nobody marked present",IF(N($D121)&gt;N($C121),"more broken than moulded",IF(AND($C121="",N(T121)&gt;0),"attendance marked but no blocks entered",IF(AND(N($C121)&gt;0,N(U121)=0),"no pay rate for this date - see Settings",IF(SUMPRODUCT((H121:S121&lt;&gt;"")*(H$4:S$4=""))&gt;0,"attendance in an empty worker slot",""))))))</f>
        <v/>
      </c>
      <c r="Y121" s="20"/>
    </row>
    <row r="122" customFormat="false" ht="15" hidden="false" customHeight="false" outlineLevel="0" collapsed="false">
      <c r="A122" s="10" t="n">
        <v>46402</v>
      </c>
      <c r="B122" s="11" t="str">
        <f aca="false">CHOOSE(WEEKDAY($A122,2),"Mon","Tue","Wed","Thu","Fri","Sat","Sun")</f>
        <v>Fri</v>
      </c>
      <c r="C122" s="12"/>
      <c r="D122" s="12"/>
      <c r="E122" s="13" t="str">
        <f aca="false">IF($C122="","",$C122-N($D122))</f>
        <v/>
      </c>
      <c r="F122" s="13" t="str">
        <f aca="false">IF($C122="","",$C122-MAX(0,N($D122)-BreakAllow*$C122))</f>
        <v/>
      </c>
      <c r="G122" s="12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5" t="str">
        <f aca="false">IF(COUNT(H122:S122)=0,"",SUM(H122:S122))</f>
        <v/>
      </c>
      <c r="U122" s="16" t="str">
        <f aca="false">IF($C122="","",IFERROR(INDEX(RateValues,MATCH(SUMPRODUCT(MAX((RateDates&lt;=$A122)*RateDates)),RateDates,0)),0))</f>
        <v/>
      </c>
      <c r="V122" s="17" t="str">
        <f aca="false">IF($C122="","",$F122*$U122)</f>
        <v/>
      </c>
      <c r="W122" s="18" t="n">
        <f aca="false">$A122-WEEKDAY($A122,2)+1</f>
        <v>46398</v>
      </c>
      <c r="X122" s="19" t="str">
        <f aca="false">IF(AND($C122="",T122=""),"",IF(AND(N($C122)&gt;0,N(T122)=0),"nobody marked present",IF(N($D122)&gt;N($C122),"more broken than moulded",IF(AND($C122="",N(T122)&gt;0),"attendance marked but no blocks entered",IF(AND(N($C122)&gt;0,N(U122)=0),"no pay rate for this date - see Settings",IF(SUMPRODUCT((H122:S122&lt;&gt;"")*(H$4:S$4=""))&gt;0,"attendance in an empty worker slot",""))))))</f>
        <v/>
      </c>
      <c r="Y122" s="20"/>
    </row>
    <row r="123" customFormat="false" ht="15" hidden="false" customHeight="false" outlineLevel="0" collapsed="false">
      <c r="A123" s="10" t="n">
        <v>46403</v>
      </c>
      <c r="B123" s="11" t="str">
        <f aca="false">CHOOSE(WEEKDAY($A123,2),"Mon","Tue","Wed","Thu","Fri","Sat","Sun")</f>
        <v>Sat</v>
      </c>
      <c r="C123" s="12"/>
      <c r="D123" s="12"/>
      <c r="E123" s="13" t="str">
        <f aca="false">IF($C123="","",$C123-N($D123))</f>
        <v/>
      </c>
      <c r="F123" s="13" t="str">
        <f aca="false">IF($C123="","",$C123-MAX(0,N($D123)-BreakAllow*$C123))</f>
        <v/>
      </c>
      <c r="G123" s="12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5" t="str">
        <f aca="false">IF(COUNT(H123:S123)=0,"",SUM(H123:S123))</f>
        <v/>
      </c>
      <c r="U123" s="16" t="str">
        <f aca="false">IF($C123="","",IFERROR(INDEX(RateValues,MATCH(SUMPRODUCT(MAX((RateDates&lt;=$A123)*RateDates)),RateDates,0)),0))</f>
        <v/>
      </c>
      <c r="V123" s="17" t="str">
        <f aca="false">IF($C123="","",$F123*$U123)</f>
        <v/>
      </c>
      <c r="W123" s="18" t="n">
        <f aca="false">$A123-WEEKDAY($A123,2)+1</f>
        <v>46398</v>
      </c>
      <c r="X123" s="19" t="str">
        <f aca="false">IF(AND($C123="",T123=""),"",IF(AND(N($C123)&gt;0,N(T123)=0),"nobody marked present",IF(N($D123)&gt;N($C123),"more broken than moulded",IF(AND($C123="",N(T123)&gt;0),"attendance marked but no blocks entered",IF(AND(N($C123)&gt;0,N(U123)=0),"no pay rate for this date - see Settings",IF(SUMPRODUCT((H123:S123&lt;&gt;"")*(H$4:S$4=""))&gt;0,"attendance in an empty worker slot",""))))))</f>
        <v/>
      </c>
      <c r="Y123" s="20"/>
    </row>
    <row r="124" customFormat="false" ht="15" hidden="false" customHeight="false" outlineLevel="0" collapsed="false">
      <c r="A124" s="21" t="n">
        <v>46404</v>
      </c>
      <c r="B124" s="22" t="str">
        <f aca="false">CHOOSE(WEEKDAY($A124,2),"Mon","Tue","Wed","Thu","Fri","Sat","Sun")</f>
        <v>Sun</v>
      </c>
      <c r="C124" s="12"/>
      <c r="D124" s="12"/>
      <c r="E124" s="13" t="str">
        <f aca="false">IF($C124="","",$C124-N($D124))</f>
        <v/>
      </c>
      <c r="F124" s="13" t="str">
        <f aca="false">IF($C124="","",$C124-MAX(0,N($D124)-BreakAllow*$C124))</f>
        <v/>
      </c>
      <c r="G124" s="12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5" t="str">
        <f aca="false">IF(COUNT(H124:S124)=0,"",SUM(H124:S124))</f>
        <v/>
      </c>
      <c r="U124" s="16" t="str">
        <f aca="false">IF($C124="","",IFERROR(INDEX(RateValues,MATCH(SUMPRODUCT(MAX((RateDates&lt;=$A124)*RateDates)),RateDates,0)),0))</f>
        <v/>
      </c>
      <c r="V124" s="17" t="str">
        <f aca="false">IF($C124="","",$F124*$U124)</f>
        <v/>
      </c>
      <c r="W124" s="18" t="n">
        <f aca="false">$A124-WEEKDAY($A124,2)+1</f>
        <v>46398</v>
      </c>
      <c r="X124" s="19" t="str">
        <f aca="false">IF(AND($C124="",T124=""),"",IF(AND(N($C124)&gt;0,N(T124)=0),"nobody marked present",IF(N($D124)&gt;N($C124),"more broken than moulded",IF(AND($C124="",N(T124)&gt;0),"attendance marked but no blocks entered",IF(AND(N($C124)&gt;0,N(U124)=0),"no pay rate for this date - see Settings",IF(SUMPRODUCT((H124:S124&lt;&gt;"")*(H$4:S$4=""))&gt;0,"attendance in an empty worker slot",""))))))</f>
        <v/>
      </c>
      <c r="Y124" s="20"/>
    </row>
    <row r="125" customFormat="false" ht="15" hidden="false" customHeight="false" outlineLevel="0" collapsed="false">
      <c r="A125" s="10" t="n">
        <v>46405</v>
      </c>
      <c r="B125" s="11" t="str">
        <f aca="false">CHOOSE(WEEKDAY($A125,2),"Mon","Tue","Wed","Thu","Fri","Sat","Sun")</f>
        <v>Mon</v>
      </c>
      <c r="C125" s="12"/>
      <c r="D125" s="12"/>
      <c r="E125" s="13" t="str">
        <f aca="false">IF($C125="","",$C125-N($D125))</f>
        <v/>
      </c>
      <c r="F125" s="13" t="str">
        <f aca="false">IF($C125="","",$C125-MAX(0,N($D125)-BreakAllow*$C125))</f>
        <v/>
      </c>
      <c r="G125" s="12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5" t="str">
        <f aca="false">IF(COUNT(H125:S125)=0,"",SUM(H125:S125))</f>
        <v/>
      </c>
      <c r="U125" s="16" t="str">
        <f aca="false">IF($C125="","",IFERROR(INDEX(RateValues,MATCH(SUMPRODUCT(MAX((RateDates&lt;=$A125)*RateDates)),RateDates,0)),0))</f>
        <v/>
      </c>
      <c r="V125" s="17" t="str">
        <f aca="false">IF($C125="","",$F125*$U125)</f>
        <v/>
      </c>
      <c r="W125" s="18" t="n">
        <f aca="false">$A125-WEEKDAY($A125,2)+1</f>
        <v>46405</v>
      </c>
      <c r="X125" s="19" t="str">
        <f aca="false">IF(AND($C125="",T125=""),"",IF(AND(N($C125)&gt;0,N(T125)=0),"nobody marked present",IF(N($D125)&gt;N($C125),"more broken than moulded",IF(AND($C125="",N(T125)&gt;0),"attendance marked but no blocks entered",IF(AND(N($C125)&gt;0,N(U125)=0),"no pay rate for this date - see Settings",IF(SUMPRODUCT((H125:S125&lt;&gt;"")*(H$4:S$4=""))&gt;0,"attendance in an empty worker slot",""))))))</f>
        <v/>
      </c>
      <c r="Y125" s="20"/>
    </row>
    <row r="126" customFormat="false" ht="15" hidden="false" customHeight="false" outlineLevel="0" collapsed="false">
      <c r="A126" s="10" t="n">
        <v>46406</v>
      </c>
      <c r="B126" s="11" t="str">
        <f aca="false">CHOOSE(WEEKDAY($A126,2),"Mon","Tue","Wed","Thu","Fri","Sat","Sun")</f>
        <v>Tue</v>
      </c>
      <c r="C126" s="12"/>
      <c r="D126" s="12"/>
      <c r="E126" s="13" t="str">
        <f aca="false">IF($C126="","",$C126-N($D126))</f>
        <v/>
      </c>
      <c r="F126" s="13" t="str">
        <f aca="false">IF($C126="","",$C126-MAX(0,N($D126)-BreakAllow*$C126))</f>
        <v/>
      </c>
      <c r="G126" s="12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5" t="str">
        <f aca="false">IF(COUNT(H126:S126)=0,"",SUM(H126:S126))</f>
        <v/>
      </c>
      <c r="U126" s="16" t="str">
        <f aca="false">IF($C126="","",IFERROR(INDEX(RateValues,MATCH(SUMPRODUCT(MAX((RateDates&lt;=$A126)*RateDates)),RateDates,0)),0))</f>
        <v/>
      </c>
      <c r="V126" s="17" t="str">
        <f aca="false">IF($C126="","",$F126*$U126)</f>
        <v/>
      </c>
      <c r="W126" s="18" t="n">
        <f aca="false">$A126-WEEKDAY($A126,2)+1</f>
        <v>46405</v>
      </c>
      <c r="X126" s="19" t="str">
        <f aca="false">IF(AND($C126="",T126=""),"",IF(AND(N($C126)&gt;0,N(T126)=0),"nobody marked present",IF(N($D126)&gt;N($C126),"more broken than moulded",IF(AND($C126="",N(T126)&gt;0),"attendance marked but no blocks entered",IF(AND(N($C126)&gt;0,N(U126)=0),"no pay rate for this date - see Settings",IF(SUMPRODUCT((H126:S126&lt;&gt;"")*(H$4:S$4=""))&gt;0,"attendance in an empty worker slot",""))))))</f>
        <v/>
      </c>
      <c r="Y126" s="20"/>
    </row>
    <row r="127" customFormat="false" ht="15" hidden="false" customHeight="false" outlineLevel="0" collapsed="false">
      <c r="A127" s="10" t="n">
        <v>46407</v>
      </c>
      <c r="B127" s="11" t="str">
        <f aca="false">CHOOSE(WEEKDAY($A127,2),"Mon","Tue","Wed","Thu","Fri","Sat","Sun")</f>
        <v>Wed</v>
      </c>
      <c r="C127" s="12"/>
      <c r="D127" s="12"/>
      <c r="E127" s="13" t="str">
        <f aca="false">IF($C127="","",$C127-N($D127))</f>
        <v/>
      </c>
      <c r="F127" s="13" t="str">
        <f aca="false">IF($C127="","",$C127-MAX(0,N($D127)-BreakAllow*$C127))</f>
        <v/>
      </c>
      <c r="G127" s="12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5" t="str">
        <f aca="false">IF(COUNT(H127:S127)=0,"",SUM(H127:S127))</f>
        <v/>
      </c>
      <c r="U127" s="16" t="str">
        <f aca="false">IF($C127="","",IFERROR(INDEX(RateValues,MATCH(SUMPRODUCT(MAX((RateDates&lt;=$A127)*RateDates)),RateDates,0)),0))</f>
        <v/>
      </c>
      <c r="V127" s="17" t="str">
        <f aca="false">IF($C127="","",$F127*$U127)</f>
        <v/>
      </c>
      <c r="W127" s="18" t="n">
        <f aca="false">$A127-WEEKDAY($A127,2)+1</f>
        <v>46405</v>
      </c>
      <c r="X127" s="19" t="str">
        <f aca="false">IF(AND($C127="",T127=""),"",IF(AND(N($C127)&gt;0,N(T127)=0),"nobody marked present",IF(N($D127)&gt;N($C127),"more broken than moulded",IF(AND($C127="",N(T127)&gt;0),"attendance marked but no blocks entered",IF(AND(N($C127)&gt;0,N(U127)=0),"no pay rate for this date - see Settings",IF(SUMPRODUCT((H127:S127&lt;&gt;"")*(H$4:S$4=""))&gt;0,"attendance in an empty worker slot",""))))))</f>
        <v/>
      </c>
      <c r="Y127" s="20"/>
    </row>
    <row r="128" customFormat="false" ht="15" hidden="false" customHeight="false" outlineLevel="0" collapsed="false">
      <c r="A128" s="10" t="n">
        <v>46408</v>
      </c>
      <c r="B128" s="11" t="str">
        <f aca="false">CHOOSE(WEEKDAY($A128,2),"Mon","Tue","Wed","Thu","Fri","Sat","Sun")</f>
        <v>Thu</v>
      </c>
      <c r="C128" s="12"/>
      <c r="D128" s="12"/>
      <c r="E128" s="13" t="str">
        <f aca="false">IF($C128="","",$C128-N($D128))</f>
        <v/>
      </c>
      <c r="F128" s="13" t="str">
        <f aca="false">IF($C128="","",$C128-MAX(0,N($D128)-BreakAllow*$C128))</f>
        <v/>
      </c>
      <c r="G128" s="12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5" t="str">
        <f aca="false">IF(COUNT(H128:S128)=0,"",SUM(H128:S128))</f>
        <v/>
      </c>
      <c r="U128" s="16" t="str">
        <f aca="false">IF($C128="","",IFERROR(INDEX(RateValues,MATCH(SUMPRODUCT(MAX((RateDates&lt;=$A128)*RateDates)),RateDates,0)),0))</f>
        <v/>
      </c>
      <c r="V128" s="17" t="str">
        <f aca="false">IF($C128="","",$F128*$U128)</f>
        <v/>
      </c>
      <c r="W128" s="18" t="n">
        <f aca="false">$A128-WEEKDAY($A128,2)+1</f>
        <v>46405</v>
      </c>
      <c r="X128" s="19" t="str">
        <f aca="false">IF(AND($C128="",T128=""),"",IF(AND(N($C128)&gt;0,N(T128)=0),"nobody marked present",IF(N($D128)&gt;N($C128),"more broken than moulded",IF(AND($C128="",N(T128)&gt;0),"attendance marked but no blocks entered",IF(AND(N($C128)&gt;0,N(U128)=0),"no pay rate for this date - see Settings",IF(SUMPRODUCT((H128:S128&lt;&gt;"")*(H$4:S$4=""))&gt;0,"attendance in an empty worker slot",""))))))</f>
        <v/>
      </c>
      <c r="Y128" s="20"/>
    </row>
    <row r="129" customFormat="false" ht="15" hidden="false" customHeight="false" outlineLevel="0" collapsed="false">
      <c r="A129" s="10" t="n">
        <v>46409</v>
      </c>
      <c r="B129" s="11" t="str">
        <f aca="false">CHOOSE(WEEKDAY($A129,2),"Mon","Tue","Wed","Thu","Fri","Sat","Sun")</f>
        <v>Fri</v>
      </c>
      <c r="C129" s="12"/>
      <c r="D129" s="12"/>
      <c r="E129" s="13" t="str">
        <f aca="false">IF($C129="","",$C129-N($D129))</f>
        <v/>
      </c>
      <c r="F129" s="13" t="str">
        <f aca="false">IF($C129="","",$C129-MAX(0,N($D129)-BreakAllow*$C129))</f>
        <v/>
      </c>
      <c r="G129" s="12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 t="str">
        <f aca="false">IF(COUNT(H129:S129)=0,"",SUM(H129:S129))</f>
        <v/>
      </c>
      <c r="U129" s="16" t="str">
        <f aca="false">IF($C129="","",IFERROR(INDEX(RateValues,MATCH(SUMPRODUCT(MAX((RateDates&lt;=$A129)*RateDates)),RateDates,0)),0))</f>
        <v/>
      </c>
      <c r="V129" s="17" t="str">
        <f aca="false">IF($C129="","",$F129*$U129)</f>
        <v/>
      </c>
      <c r="W129" s="18" t="n">
        <f aca="false">$A129-WEEKDAY($A129,2)+1</f>
        <v>46405</v>
      </c>
      <c r="X129" s="19" t="str">
        <f aca="false">IF(AND($C129="",T129=""),"",IF(AND(N($C129)&gt;0,N(T129)=0),"nobody marked present",IF(N($D129)&gt;N($C129),"more broken than moulded",IF(AND($C129="",N(T129)&gt;0),"attendance marked but no blocks entered",IF(AND(N($C129)&gt;0,N(U129)=0),"no pay rate for this date - see Settings",IF(SUMPRODUCT((H129:S129&lt;&gt;"")*(H$4:S$4=""))&gt;0,"attendance in an empty worker slot",""))))))</f>
        <v/>
      </c>
      <c r="Y129" s="20"/>
    </row>
    <row r="130" customFormat="false" ht="15" hidden="false" customHeight="false" outlineLevel="0" collapsed="false">
      <c r="A130" s="10" t="n">
        <v>46410</v>
      </c>
      <c r="B130" s="11" t="str">
        <f aca="false">CHOOSE(WEEKDAY($A130,2),"Mon","Tue","Wed","Thu","Fri","Sat","Sun")</f>
        <v>Sat</v>
      </c>
      <c r="C130" s="12"/>
      <c r="D130" s="12"/>
      <c r="E130" s="13" t="str">
        <f aca="false">IF($C130="","",$C130-N($D130))</f>
        <v/>
      </c>
      <c r="F130" s="13" t="str">
        <f aca="false">IF($C130="","",$C130-MAX(0,N($D130)-BreakAllow*$C130))</f>
        <v/>
      </c>
      <c r="G130" s="12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5" t="str">
        <f aca="false">IF(COUNT(H130:S130)=0,"",SUM(H130:S130))</f>
        <v/>
      </c>
      <c r="U130" s="16" t="str">
        <f aca="false">IF($C130="","",IFERROR(INDEX(RateValues,MATCH(SUMPRODUCT(MAX((RateDates&lt;=$A130)*RateDates)),RateDates,0)),0))</f>
        <v/>
      </c>
      <c r="V130" s="17" t="str">
        <f aca="false">IF($C130="","",$F130*$U130)</f>
        <v/>
      </c>
      <c r="W130" s="18" t="n">
        <f aca="false">$A130-WEEKDAY($A130,2)+1</f>
        <v>46405</v>
      </c>
      <c r="X130" s="19" t="str">
        <f aca="false">IF(AND($C130="",T130=""),"",IF(AND(N($C130)&gt;0,N(T130)=0),"nobody marked present",IF(N($D130)&gt;N($C130),"more broken than moulded",IF(AND($C130="",N(T130)&gt;0),"attendance marked but no blocks entered",IF(AND(N($C130)&gt;0,N(U130)=0),"no pay rate for this date - see Settings",IF(SUMPRODUCT((H130:S130&lt;&gt;"")*(H$4:S$4=""))&gt;0,"attendance in an empty worker slot",""))))))</f>
        <v/>
      </c>
      <c r="Y130" s="20"/>
    </row>
    <row r="131" customFormat="false" ht="15" hidden="false" customHeight="false" outlineLevel="0" collapsed="false">
      <c r="A131" s="21" t="n">
        <v>46411</v>
      </c>
      <c r="B131" s="22" t="str">
        <f aca="false">CHOOSE(WEEKDAY($A131,2),"Mon","Tue","Wed","Thu","Fri","Sat","Sun")</f>
        <v>Sun</v>
      </c>
      <c r="C131" s="12"/>
      <c r="D131" s="12"/>
      <c r="E131" s="13" t="str">
        <f aca="false">IF($C131="","",$C131-N($D131))</f>
        <v/>
      </c>
      <c r="F131" s="13" t="str">
        <f aca="false">IF($C131="","",$C131-MAX(0,N($D131)-BreakAllow*$C131))</f>
        <v/>
      </c>
      <c r="G131" s="12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5" t="str">
        <f aca="false">IF(COUNT(H131:S131)=0,"",SUM(H131:S131))</f>
        <v/>
      </c>
      <c r="U131" s="16" t="str">
        <f aca="false">IF($C131="","",IFERROR(INDEX(RateValues,MATCH(SUMPRODUCT(MAX((RateDates&lt;=$A131)*RateDates)),RateDates,0)),0))</f>
        <v/>
      </c>
      <c r="V131" s="17" t="str">
        <f aca="false">IF($C131="","",$F131*$U131)</f>
        <v/>
      </c>
      <c r="W131" s="18" t="n">
        <f aca="false">$A131-WEEKDAY($A131,2)+1</f>
        <v>46405</v>
      </c>
      <c r="X131" s="19" t="str">
        <f aca="false">IF(AND($C131="",T131=""),"",IF(AND(N($C131)&gt;0,N(T131)=0),"nobody marked present",IF(N($D131)&gt;N($C131),"more broken than moulded",IF(AND($C131="",N(T131)&gt;0),"attendance marked but no blocks entered",IF(AND(N($C131)&gt;0,N(U131)=0),"no pay rate for this date - see Settings",IF(SUMPRODUCT((H131:S131&lt;&gt;"")*(H$4:S$4=""))&gt;0,"attendance in an empty worker slot",""))))))</f>
        <v/>
      </c>
      <c r="Y131" s="20"/>
    </row>
    <row r="132" customFormat="false" ht="15" hidden="false" customHeight="false" outlineLevel="0" collapsed="false">
      <c r="A132" s="10" t="n">
        <v>46412</v>
      </c>
      <c r="B132" s="11" t="str">
        <f aca="false">CHOOSE(WEEKDAY($A132,2),"Mon","Tue","Wed","Thu","Fri","Sat","Sun")</f>
        <v>Mon</v>
      </c>
      <c r="C132" s="12"/>
      <c r="D132" s="12"/>
      <c r="E132" s="13" t="str">
        <f aca="false">IF($C132="","",$C132-N($D132))</f>
        <v/>
      </c>
      <c r="F132" s="13" t="str">
        <f aca="false">IF($C132="","",$C132-MAX(0,N($D132)-BreakAllow*$C132))</f>
        <v/>
      </c>
      <c r="G132" s="12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5" t="str">
        <f aca="false">IF(COUNT(H132:S132)=0,"",SUM(H132:S132))</f>
        <v/>
      </c>
      <c r="U132" s="16" t="str">
        <f aca="false">IF($C132="","",IFERROR(INDEX(RateValues,MATCH(SUMPRODUCT(MAX((RateDates&lt;=$A132)*RateDates)),RateDates,0)),0))</f>
        <v/>
      </c>
      <c r="V132" s="17" t="str">
        <f aca="false">IF($C132="","",$F132*$U132)</f>
        <v/>
      </c>
      <c r="W132" s="18" t="n">
        <f aca="false">$A132-WEEKDAY($A132,2)+1</f>
        <v>46412</v>
      </c>
      <c r="X132" s="19" t="str">
        <f aca="false">IF(AND($C132="",T132=""),"",IF(AND(N($C132)&gt;0,N(T132)=0),"nobody marked present",IF(N($D132)&gt;N($C132),"more broken than moulded",IF(AND($C132="",N(T132)&gt;0),"attendance marked but no blocks entered",IF(AND(N($C132)&gt;0,N(U132)=0),"no pay rate for this date - see Settings",IF(SUMPRODUCT((H132:S132&lt;&gt;"")*(H$4:S$4=""))&gt;0,"attendance in an empty worker slot",""))))))</f>
        <v/>
      </c>
      <c r="Y132" s="20"/>
    </row>
    <row r="133" customFormat="false" ht="15" hidden="false" customHeight="false" outlineLevel="0" collapsed="false">
      <c r="A133" s="10" t="n">
        <v>46413</v>
      </c>
      <c r="B133" s="11" t="str">
        <f aca="false">CHOOSE(WEEKDAY($A133,2),"Mon","Tue","Wed","Thu","Fri","Sat","Sun")</f>
        <v>Tue</v>
      </c>
      <c r="C133" s="12"/>
      <c r="D133" s="12"/>
      <c r="E133" s="13" t="str">
        <f aca="false">IF($C133="","",$C133-N($D133))</f>
        <v/>
      </c>
      <c r="F133" s="13" t="str">
        <f aca="false">IF($C133="","",$C133-MAX(0,N($D133)-BreakAllow*$C133))</f>
        <v/>
      </c>
      <c r="G133" s="12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5" t="str">
        <f aca="false">IF(COUNT(H133:S133)=0,"",SUM(H133:S133))</f>
        <v/>
      </c>
      <c r="U133" s="16" t="str">
        <f aca="false">IF($C133="","",IFERROR(INDEX(RateValues,MATCH(SUMPRODUCT(MAX((RateDates&lt;=$A133)*RateDates)),RateDates,0)),0))</f>
        <v/>
      </c>
      <c r="V133" s="17" t="str">
        <f aca="false">IF($C133="","",$F133*$U133)</f>
        <v/>
      </c>
      <c r="W133" s="18" t="n">
        <f aca="false">$A133-WEEKDAY($A133,2)+1</f>
        <v>46412</v>
      </c>
      <c r="X133" s="19" t="str">
        <f aca="false">IF(AND($C133="",T133=""),"",IF(AND(N($C133)&gt;0,N(T133)=0),"nobody marked present",IF(N($D133)&gt;N($C133),"more broken than moulded",IF(AND($C133="",N(T133)&gt;0),"attendance marked but no blocks entered",IF(AND(N($C133)&gt;0,N(U133)=0),"no pay rate for this date - see Settings",IF(SUMPRODUCT((H133:S133&lt;&gt;"")*(H$4:S$4=""))&gt;0,"attendance in an empty worker slot",""))))))</f>
        <v/>
      </c>
      <c r="Y133" s="20"/>
    </row>
    <row r="134" customFormat="false" ht="15" hidden="false" customHeight="false" outlineLevel="0" collapsed="false">
      <c r="A134" s="10" t="n">
        <v>46414</v>
      </c>
      <c r="B134" s="11" t="str">
        <f aca="false">CHOOSE(WEEKDAY($A134,2),"Mon","Tue","Wed","Thu","Fri","Sat","Sun")</f>
        <v>Wed</v>
      </c>
      <c r="C134" s="12"/>
      <c r="D134" s="12"/>
      <c r="E134" s="13" t="str">
        <f aca="false">IF($C134="","",$C134-N($D134))</f>
        <v/>
      </c>
      <c r="F134" s="13" t="str">
        <f aca="false">IF($C134="","",$C134-MAX(0,N($D134)-BreakAllow*$C134))</f>
        <v/>
      </c>
      <c r="G134" s="12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5" t="str">
        <f aca="false">IF(COUNT(H134:S134)=0,"",SUM(H134:S134))</f>
        <v/>
      </c>
      <c r="U134" s="16" t="str">
        <f aca="false">IF($C134="","",IFERROR(INDEX(RateValues,MATCH(SUMPRODUCT(MAX((RateDates&lt;=$A134)*RateDates)),RateDates,0)),0))</f>
        <v/>
      </c>
      <c r="V134" s="17" t="str">
        <f aca="false">IF($C134="","",$F134*$U134)</f>
        <v/>
      </c>
      <c r="W134" s="18" t="n">
        <f aca="false">$A134-WEEKDAY($A134,2)+1</f>
        <v>46412</v>
      </c>
      <c r="X134" s="19" t="str">
        <f aca="false">IF(AND($C134="",T134=""),"",IF(AND(N($C134)&gt;0,N(T134)=0),"nobody marked present",IF(N($D134)&gt;N($C134),"more broken than moulded",IF(AND($C134="",N(T134)&gt;0),"attendance marked but no blocks entered",IF(AND(N($C134)&gt;0,N(U134)=0),"no pay rate for this date - see Settings",IF(SUMPRODUCT((H134:S134&lt;&gt;"")*(H$4:S$4=""))&gt;0,"attendance in an empty worker slot",""))))))</f>
        <v/>
      </c>
      <c r="Y134" s="20"/>
    </row>
    <row r="135" customFormat="false" ht="15" hidden="false" customHeight="false" outlineLevel="0" collapsed="false">
      <c r="A135" s="10" t="n">
        <v>46415</v>
      </c>
      <c r="B135" s="11" t="str">
        <f aca="false">CHOOSE(WEEKDAY($A135,2),"Mon","Tue","Wed","Thu","Fri","Sat","Sun")</f>
        <v>Thu</v>
      </c>
      <c r="C135" s="12"/>
      <c r="D135" s="12"/>
      <c r="E135" s="13" t="str">
        <f aca="false">IF($C135="","",$C135-N($D135))</f>
        <v/>
      </c>
      <c r="F135" s="13" t="str">
        <f aca="false">IF($C135="","",$C135-MAX(0,N($D135)-BreakAllow*$C135))</f>
        <v/>
      </c>
      <c r="G135" s="12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5" t="str">
        <f aca="false">IF(COUNT(H135:S135)=0,"",SUM(H135:S135))</f>
        <v/>
      </c>
      <c r="U135" s="16" t="str">
        <f aca="false">IF($C135="","",IFERROR(INDEX(RateValues,MATCH(SUMPRODUCT(MAX((RateDates&lt;=$A135)*RateDates)),RateDates,0)),0))</f>
        <v/>
      </c>
      <c r="V135" s="17" t="str">
        <f aca="false">IF($C135="","",$F135*$U135)</f>
        <v/>
      </c>
      <c r="W135" s="18" t="n">
        <f aca="false">$A135-WEEKDAY($A135,2)+1</f>
        <v>46412</v>
      </c>
      <c r="X135" s="19" t="str">
        <f aca="false">IF(AND($C135="",T135=""),"",IF(AND(N($C135)&gt;0,N(T135)=0),"nobody marked present",IF(N($D135)&gt;N($C135),"more broken than moulded",IF(AND($C135="",N(T135)&gt;0),"attendance marked but no blocks entered",IF(AND(N($C135)&gt;0,N(U135)=0),"no pay rate for this date - see Settings",IF(SUMPRODUCT((H135:S135&lt;&gt;"")*(H$4:S$4=""))&gt;0,"attendance in an empty worker slot",""))))))</f>
        <v/>
      </c>
      <c r="Y135" s="20"/>
    </row>
    <row r="136" customFormat="false" ht="15" hidden="false" customHeight="false" outlineLevel="0" collapsed="false">
      <c r="A136" s="10" t="n">
        <v>46416</v>
      </c>
      <c r="B136" s="11" t="str">
        <f aca="false">CHOOSE(WEEKDAY($A136,2),"Mon","Tue","Wed","Thu","Fri","Sat","Sun")</f>
        <v>Fri</v>
      </c>
      <c r="C136" s="12"/>
      <c r="D136" s="12"/>
      <c r="E136" s="13" t="str">
        <f aca="false">IF($C136="","",$C136-N($D136))</f>
        <v/>
      </c>
      <c r="F136" s="13" t="str">
        <f aca="false">IF($C136="","",$C136-MAX(0,N($D136)-BreakAllow*$C136))</f>
        <v/>
      </c>
      <c r="G136" s="12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5" t="str">
        <f aca="false">IF(COUNT(H136:S136)=0,"",SUM(H136:S136))</f>
        <v/>
      </c>
      <c r="U136" s="16" t="str">
        <f aca="false">IF($C136="","",IFERROR(INDEX(RateValues,MATCH(SUMPRODUCT(MAX((RateDates&lt;=$A136)*RateDates)),RateDates,0)),0))</f>
        <v/>
      </c>
      <c r="V136" s="17" t="str">
        <f aca="false">IF($C136="","",$F136*$U136)</f>
        <v/>
      </c>
      <c r="W136" s="18" t="n">
        <f aca="false">$A136-WEEKDAY($A136,2)+1</f>
        <v>46412</v>
      </c>
      <c r="X136" s="19" t="str">
        <f aca="false">IF(AND($C136="",T136=""),"",IF(AND(N($C136)&gt;0,N(T136)=0),"nobody marked present",IF(N($D136)&gt;N($C136),"more broken than moulded",IF(AND($C136="",N(T136)&gt;0),"attendance marked but no blocks entered",IF(AND(N($C136)&gt;0,N(U136)=0),"no pay rate for this date - see Settings",IF(SUMPRODUCT((H136:S136&lt;&gt;"")*(H$4:S$4=""))&gt;0,"attendance in an empty worker slot",""))))))</f>
        <v/>
      </c>
      <c r="Y136" s="20"/>
    </row>
    <row r="137" customFormat="false" ht="15" hidden="false" customHeight="false" outlineLevel="0" collapsed="false">
      <c r="A137" s="10" t="n">
        <v>46417</v>
      </c>
      <c r="B137" s="11" t="str">
        <f aca="false">CHOOSE(WEEKDAY($A137,2),"Mon","Tue","Wed","Thu","Fri","Sat","Sun")</f>
        <v>Sat</v>
      </c>
      <c r="C137" s="12"/>
      <c r="D137" s="12"/>
      <c r="E137" s="13" t="str">
        <f aca="false">IF($C137="","",$C137-N($D137))</f>
        <v/>
      </c>
      <c r="F137" s="13" t="str">
        <f aca="false">IF($C137="","",$C137-MAX(0,N($D137)-BreakAllow*$C137))</f>
        <v/>
      </c>
      <c r="G137" s="12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5" t="str">
        <f aca="false">IF(COUNT(H137:S137)=0,"",SUM(H137:S137))</f>
        <v/>
      </c>
      <c r="U137" s="16" t="str">
        <f aca="false">IF($C137="","",IFERROR(INDEX(RateValues,MATCH(SUMPRODUCT(MAX((RateDates&lt;=$A137)*RateDates)),RateDates,0)),0))</f>
        <v/>
      </c>
      <c r="V137" s="17" t="str">
        <f aca="false">IF($C137="","",$F137*$U137)</f>
        <v/>
      </c>
      <c r="W137" s="18" t="n">
        <f aca="false">$A137-WEEKDAY($A137,2)+1</f>
        <v>46412</v>
      </c>
      <c r="X137" s="19" t="str">
        <f aca="false">IF(AND($C137="",T137=""),"",IF(AND(N($C137)&gt;0,N(T137)=0),"nobody marked present",IF(N($D137)&gt;N($C137),"more broken than moulded",IF(AND($C137="",N(T137)&gt;0),"attendance marked but no blocks entered",IF(AND(N($C137)&gt;0,N(U137)=0),"no pay rate for this date - see Settings",IF(SUMPRODUCT((H137:S137&lt;&gt;"")*(H$4:S$4=""))&gt;0,"attendance in an empty worker slot",""))))))</f>
        <v/>
      </c>
      <c r="Y137" s="20"/>
    </row>
    <row r="138" customFormat="false" ht="15" hidden="false" customHeight="false" outlineLevel="0" collapsed="false">
      <c r="A138" s="21" t="n">
        <v>46418</v>
      </c>
      <c r="B138" s="22" t="str">
        <f aca="false">CHOOSE(WEEKDAY($A138,2),"Mon","Tue","Wed","Thu","Fri","Sat","Sun")</f>
        <v>Sun</v>
      </c>
      <c r="C138" s="12"/>
      <c r="D138" s="12"/>
      <c r="E138" s="13" t="str">
        <f aca="false">IF($C138="","",$C138-N($D138))</f>
        <v/>
      </c>
      <c r="F138" s="13" t="str">
        <f aca="false">IF($C138="","",$C138-MAX(0,N($D138)-BreakAllow*$C138))</f>
        <v/>
      </c>
      <c r="G138" s="12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5" t="str">
        <f aca="false">IF(COUNT(H138:S138)=0,"",SUM(H138:S138))</f>
        <v/>
      </c>
      <c r="U138" s="16" t="str">
        <f aca="false">IF($C138="","",IFERROR(INDEX(RateValues,MATCH(SUMPRODUCT(MAX((RateDates&lt;=$A138)*RateDates)),RateDates,0)),0))</f>
        <v/>
      </c>
      <c r="V138" s="17" t="str">
        <f aca="false">IF($C138="","",$F138*$U138)</f>
        <v/>
      </c>
      <c r="W138" s="18" t="n">
        <f aca="false">$A138-WEEKDAY($A138,2)+1</f>
        <v>46412</v>
      </c>
      <c r="X138" s="19" t="str">
        <f aca="false">IF(AND($C138="",T138=""),"",IF(AND(N($C138)&gt;0,N(T138)=0),"nobody marked present",IF(N($D138)&gt;N($C138),"more broken than moulded",IF(AND($C138="",N(T138)&gt;0),"attendance marked but no blocks entered",IF(AND(N($C138)&gt;0,N(U138)=0),"no pay rate for this date - see Settings",IF(SUMPRODUCT((H138:S138&lt;&gt;"")*(H$4:S$4=""))&gt;0,"attendance in an empty worker slot",""))))))</f>
        <v/>
      </c>
      <c r="Y138" s="20"/>
    </row>
    <row r="139" customFormat="false" ht="15" hidden="false" customHeight="false" outlineLevel="0" collapsed="false">
      <c r="A139" s="10" t="n">
        <v>46419</v>
      </c>
      <c r="B139" s="11" t="str">
        <f aca="false">CHOOSE(WEEKDAY($A139,2),"Mon","Tue","Wed","Thu","Fri","Sat","Sun")</f>
        <v>Mon</v>
      </c>
      <c r="C139" s="12"/>
      <c r="D139" s="12"/>
      <c r="E139" s="13" t="str">
        <f aca="false">IF($C139="","",$C139-N($D139))</f>
        <v/>
      </c>
      <c r="F139" s="13" t="str">
        <f aca="false">IF($C139="","",$C139-MAX(0,N($D139)-BreakAllow*$C139))</f>
        <v/>
      </c>
      <c r="G139" s="12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5" t="str">
        <f aca="false">IF(COUNT(H139:S139)=0,"",SUM(H139:S139))</f>
        <v/>
      </c>
      <c r="U139" s="16" t="str">
        <f aca="false">IF($C139="","",IFERROR(INDEX(RateValues,MATCH(SUMPRODUCT(MAX((RateDates&lt;=$A139)*RateDates)),RateDates,0)),0))</f>
        <v/>
      </c>
      <c r="V139" s="17" t="str">
        <f aca="false">IF($C139="","",$F139*$U139)</f>
        <v/>
      </c>
      <c r="W139" s="18" t="n">
        <f aca="false">$A139-WEEKDAY($A139,2)+1</f>
        <v>46419</v>
      </c>
      <c r="X139" s="19" t="str">
        <f aca="false">IF(AND($C139="",T139=""),"",IF(AND(N($C139)&gt;0,N(T139)=0),"nobody marked present",IF(N($D139)&gt;N($C139),"more broken than moulded",IF(AND($C139="",N(T139)&gt;0),"attendance marked but no blocks entered",IF(AND(N($C139)&gt;0,N(U139)=0),"no pay rate for this date - see Settings",IF(SUMPRODUCT((H139:S139&lt;&gt;"")*(H$4:S$4=""))&gt;0,"attendance in an empty worker slot",""))))))</f>
        <v/>
      </c>
      <c r="Y139" s="20"/>
    </row>
    <row r="140" customFormat="false" ht="15" hidden="false" customHeight="false" outlineLevel="0" collapsed="false">
      <c r="A140" s="10" t="n">
        <v>46420</v>
      </c>
      <c r="B140" s="11" t="str">
        <f aca="false">CHOOSE(WEEKDAY($A140,2),"Mon","Tue","Wed","Thu","Fri","Sat","Sun")</f>
        <v>Tue</v>
      </c>
      <c r="C140" s="12"/>
      <c r="D140" s="12"/>
      <c r="E140" s="13" t="str">
        <f aca="false">IF($C140="","",$C140-N($D140))</f>
        <v/>
      </c>
      <c r="F140" s="13" t="str">
        <f aca="false">IF($C140="","",$C140-MAX(0,N($D140)-BreakAllow*$C140))</f>
        <v/>
      </c>
      <c r="G140" s="12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5" t="str">
        <f aca="false">IF(COUNT(H140:S140)=0,"",SUM(H140:S140))</f>
        <v/>
      </c>
      <c r="U140" s="16" t="str">
        <f aca="false">IF($C140="","",IFERROR(INDEX(RateValues,MATCH(SUMPRODUCT(MAX((RateDates&lt;=$A140)*RateDates)),RateDates,0)),0))</f>
        <v/>
      </c>
      <c r="V140" s="17" t="str">
        <f aca="false">IF($C140="","",$F140*$U140)</f>
        <v/>
      </c>
      <c r="W140" s="18" t="n">
        <f aca="false">$A140-WEEKDAY($A140,2)+1</f>
        <v>46419</v>
      </c>
      <c r="X140" s="19" t="str">
        <f aca="false">IF(AND($C140="",T140=""),"",IF(AND(N($C140)&gt;0,N(T140)=0),"nobody marked present",IF(N($D140)&gt;N($C140),"more broken than moulded",IF(AND($C140="",N(T140)&gt;0),"attendance marked but no blocks entered",IF(AND(N($C140)&gt;0,N(U140)=0),"no pay rate for this date - see Settings",IF(SUMPRODUCT((H140:S140&lt;&gt;"")*(H$4:S$4=""))&gt;0,"attendance in an empty worker slot",""))))))</f>
        <v/>
      </c>
      <c r="Y140" s="20"/>
    </row>
    <row r="141" customFormat="false" ht="15" hidden="false" customHeight="false" outlineLevel="0" collapsed="false">
      <c r="A141" s="10" t="n">
        <v>46421</v>
      </c>
      <c r="B141" s="11" t="str">
        <f aca="false">CHOOSE(WEEKDAY($A141,2),"Mon","Tue","Wed","Thu","Fri","Sat","Sun")</f>
        <v>Wed</v>
      </c>
      <c r="C141" s="12"/>
      <c r="D141" s="12"/>
      <c r="E141" s="13" t="str">
        <f aca="false">IF($C141="","",$C141-N($D141))</f>
        <v/>
      </c>
      <c r="F141" s="13" t="str">
        <f aca="false">IF($C141="","",$C141-MAX(0,N($D141)-BreakAllow*$C141))</f>
        <v/>
      </c>
      <c r="G141" s="12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5" t="str">
        <f aca="false">IF(COUNT(H141:S141)=0,"",SUM(H141:S141))</f>
        <v/>
      </c>
      <c r="U141" s="16" t="str">
        <f aca="false">IF($C141="","",IFERROR(INDEX(RateValues,MATCH(SUMPRODUCT(MAX((RateDates&lt;=$A141)*RateDates)),RateDates,0)),0))</f>
        <v/>
      </c>
      <c r="V141" s="17" t="str">
        <f aca="false">IF($C141="","",$F141*$U141)</f>
        <v/>
      </c>
      <c r="W141" s="18" t="n">
        <f aca="false">$A141-WEEKDAY($A141,2)+1</f>
        <v>46419</v>
      </c>
      <c r="X141" s="19" t="str">
        <f aca="false">IF(AND($C141="",T141=""),"",IF(AND(N($C141)&gt;0,N(T141)=0),"nobody marked present",IF(N($D141)&gt;N($C141),"more broken than moulded",IF(AND($C141="",N(T141)&gt;0),"attendance marked but no blocks entered",IF(AND(N($C141)&gt;0,N(U141)=0),"no pay rate for this date - see Settings",IF(SUMPRODUCT((H141:S141&lt;&gt;"")*(H$4:S$4=""))&gt;0,"attendance in an empty worker slot",""))))))</f>
        <v/>
      </c>
      <c r="Y141" s="20"/>
    </row>
    <row r="142" customFormat="false" ht="15" hidden="false" customHeight="false" outlineLevel="0" collapsed="false">
      <c r="A142" s="10" t="n">
        <v>46422</v>
      </c>
      <c r="B142" s="11" t="str">
        <f aca="false">CHOOSE(WEEKDAY($A142,2),"Mon","Tue","Wed","Thu","Fri","Sat","Sun")</f>
        <v>Thu</v>
      </c>
      <c r="C142" s="12"/>
      <c r="D142" s="12"/>
      <c r="E142" s="13" t="str">
        <f aca="false">IF($C142="","",$C142-N($D142))</f>
        <v/>
      </c>
      <c r="F142" s="13" t="str">
        <f aca="false">IF($C142="","",$C142-MAX(0,N($D142)-BreakAllow*$C142))</f>
        <v/>
      </c>
      <c r="G142" s="12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5" t="str">
        <f aca="false">IF(COUNT(H142:S142)=0,"",SUM(H142:S142))</f>
        <v/>
      </c>
      <c r="U142" s="16" t="str">
        <f aca="false">IF($C142="","",IFERROR(INDEX(RateValues,MATCH(SUMPRODUCT(MAX((RateDates&lt;=$A142)*RateDates)),RateDates,0)),0))</f>
        <v/>
      </c>
      <c r="V142" s="17" t="str">
        <f aca="false">IF($C142="","",$F142*$U142)</f>
        <v/>
      </c>
      <c r="W142" s="18" t="n">
        <f aca="false">$A142-WEEKDAY($A142,2)+1</f>
        <v>46419</v>
      </c>
      <c r="X142" s="19" t="str">
        <f aca="false">IF(AND($C142="",T142=""),"",IF(AND(N($C142)&gt;0,N(T142)=0),"nobody marked present",IF(N($D142)&gt;N($C142),"more broken than moulded",IF(AND($C142="",N(T142)&gt;0),"attendance marked but no blocks entered",IF(AND(N($C142)&gt;0,N(U142)=0),"no pay rate for this date - see Settings",IF(SUMPRODUCT((H142:S142&lt;&gt;"")*(H$4:S$4=""))&gt;0,"attendance in an empty worker slot",""))))))</f>
        <v/>
      </c>
      <c r="Y142" s="20"/>
    </row>
    <row r="143" customFormat="false" ht="15" hidden="false" customHeight="false" outlineLevel="0" collapsed="false">
      <c r="A143" s="10" t="n">
        <v>46423</v>
      </c>
      <c r="B143" s="11" t="str">
        <f aca="false">CHOOSE(WEEKDAY($A143,2),"Mon","Tue","Wed","Thu","Fri","Sat","Sun")</f>
        <v>Fri</v>
      </c>
      <c r="C143" s="12"/>
      <c r="D143" s="12"/>
      <c r="E143" s="13" t="str">
        <f aca="false">IF($C143="","",$C143-N($D143))</f>
        <v/>
      </c>
      <c r="F143" s="13" t="str">
        <f aca="false">IF($C143="","",$C143-MAX(0,N($D143)-BreakAllow*$C143))</f>
        <v/>
      </c>
      <c r="G143" s="12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5" t="str">
        <f aca="false">IF(COUNT(H143:S143)=0,"",SUM(H143:S143))</f>
        <v/>
      </c>
      <c r="U143" s="16" t="str">
        <f aca="false">IF($C143="","",IFERROR(INDEX(RateValues,MATCH(SUMPRODUCT(MAX((RateDates&lt;=$A143)*RateDates)),RateDates,0)),0))</f>
        <v/>
      </c>
      <c r="V143" s="17" t="str">
        <f aca="false">IF($C143="","",$F143*$U143)</f>
        <v/>
      </c>
      <c r="W143" s="18" t="n">
        <f aca="false">$A143-WEEKDAY($A143,2)+1</f>
        <v>46419</v>
      </c>
      <c r="X143" s="19" t="str">
        <f aca="false">IF(AND($C143="",T143=""),"",IF(AND(N($C143)&gt;0,N(T143)=0),"nobody marked present",IF(N($D143)&gt;N($C143),"more broken than moulded",IF(AND($C143="",N(T143)&gt;0),"attendance marked but no blocks entered",IF(AND(N($C143)&gt;0,N(U143)=0),"no pay rate for this date - see Settings",IF(SUMPRODUCT((H143:S143&lt;&gt;"")*(H$4:S$4=""))&gt;0,"attendance in an empty worker slot",""))))))</f>
        <v/>
      </c>
      <c r="Y143" s="20"/>
    </row>
    <row r="144" customFormat="false" ht="15" hidden="false" customHeight="false" outlineLevel="0" collapsed="false">
      <c r="A144" s="10" t="n">
        <v>46424</v>
      </c>
      <c r="B144" s="11" t="str">
        <f aca="false">CHOOSE(WEEKDAY($A144,2),"Mon","Tue","Wed","Thu","Fri","Sat","Sun")</f>
        <v>Sat</v>
      </c>
      <c r="C144" s="12"/>
      <c r="D144" s="12"/>
      <c r="E144" s="13" t="str">
        <f aca="false">IF($C144="","",$C144-N($D144))</f>
        <v/>
      </c>
      <c r="F144" s="13" t="str">
        <f aca="false">IF($C144="","",$C144-MAX(0,N($D144)-BreakAllow*$C144))</f>
        <v/>
      </c>
      <c r="G144" s="12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5" t="str">
        <f aca="false">IF(COUNT(H144:S144)=0,"",SUM(H144:S144))</f>
        <v/>
      </c>
      <c r="U144" s="16" t="str">
        <f aca="false">IF($C144="","",IFERROR(INDEX(RateValues,MATCH(SUMPRODUCT(MAX((RateDates&lt;=$A144)*RateDates)),RateDates,0)),0))</f>
        <v/>
      </c>
      <c r="V144" s="17" t="str">
        <f aca="false">IF($C144="","",$F144*$U144)</f>
        <v/>
      </c>
      <c r="W144" s="18" t="n">
        <f aca="false">$A144-WEEKDAY($A144,2)+1</f>
        <v>46419</v>
      </c>
      <c r="X144" s="19" t="str">
        <f aca="false">IF(AND($C144="",T144=""),"",IF(AND(N($C144)&gt;0,N(T144)=0),"nobody marked present",IF(N($D144)&gt;N($C144),"more broken than moulded",IF(AND($C144="",N(T144)&gt;0),"attendance marked but no blocks entered",IF(AND(N($C144)&gt;0,N(U144)=0),"no pay rate for this date - see Settings",IF(SUMPRODUCT((H144:S144&lt;&gt;"")*(H$4:S$4=""))&gt;0,"attendance in an empty worker slot",""))))))</f>
        <v/>
      </c>
      <c r="Y144" s="20"/>
    </row>
    <row r="145" customFormat="false" ht="15" hidden="false" customHeight="false" outlineLevel="0" collapsed="false">
      <c r="A145" s="21" t="n">
        <v>46425</v>
      </c>
      <c r="B145" s="22" t="str">
        <f aca="false">CHOOSE(WEEKDAY($A145,2),"Mon","Tue","Wed","Thu","Fri","Sat","Sun")</f>
        <v>Sun</v>
      </c>
      <c r="C145" s="12"/>
      <c r="D145" s="12"/>
      <c r="E145" s="13" t="str">
        <f aca="false">IF($C145="","",$C145-N($D145))</f>
        <v/>
      </c>
      <c r="F145" s="13" t="str">
        <f aca="false">IF($C145="","",$C145-MAX(0,N($D145)-BreakAllow*$C145))</f>
        <v/>
      </c>
      <c r="G145" s="12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5" t="str">
        <f aca="false">IF(COUNT(H145:S145)=0,"",SUM(H145:S145))</f>
        <v/>
      </c>
      <c r="U145" s="16" t="str">
        <f aca="false">IF($C145="","",IFERROR(INDEX(RateValues,MATCH(SUMPRODUCT(MAX((RateDates&lt;=$A145)*RateDates)),RateDates,0)),0))</f>
        <v/>
      </c>
      <c r="V145" s="17" t="str">
        <f aca="false">IF($C145="","",$F145*$U145)</f>
        <v/>
      </c>
      <c r="W145" s="18" t="n">
        <f aca="false">$A145-WEEKDAY($A145,2)+1</f>
        <v>46419</v>
      </c>
      <c r="X145" s="19" t="str">
        <f aca="false">IF(AND($C145="",T145=""),"",IF(AND(N($C145)&gt;0,N(T145)=0),"nobody marked present",IF(N($D145)&gt;N($C145),"more broken than moulded",IF(AND($C145="",N(T145)&gt;0),"attendance marked but no blocks entered",IF(AND(N($C145)&gt;0,N(U145)=0),"no pay rate for this date - see Settings",IF(SUMPRODUCT((H145:S145&lt;&gt;"")*(H$4:S$4=""))&gt;0,"attendance in an empty worker slot",""))))))</f>
        <v/>
      </c>
      <c r="Y145" s="20"/>
    </row>
    <row r="146" customFormat="false" ht="15" hidden="false" customHeight="false" outlineLevel="0" collapsed="false">
      <c r="A146" s="10" t="n">
        <v>46426</v>
      </c>
      <c r="B146" s="11" t="str">
        <f aca="false">CHOOSE(WEEKDAY($A146,2),"Mon","Tue","Wed","Thu","Fri","Sat","Sun")</f>
        <v>Mon</v>
      </c>
      <c r="C146" s="12"/>
      <c r="D146" s="12"/>
      <c r="E146" s="13" t="str">
        <f aca="false">IF($C146="","",$C146-N($D146))</f>
        <v/>
      </c>
      <c r="F146" s="13" t="str">
        <f aca="false">IF($C146="","",$C146-MAX(0,N($D146)-BreakAllow*$C146))</f>
        <v/>
      </c>
      <c r="G146" s="12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5" t="str">
        <f aca="false">IF(COUNT(H146:S146)=0,"",SUM(H146:S146))</f>
        <v/>
      </c>
      <c r="U146" s="16" t="str">
        <f aca="false">IF($C146="","",IFERROR(INDEX(RateValues,MATCH(SUMPRODUCT(MAX((RateDates&lt;=$A146)*RateDates)),RateDates,0)),0))</f>
        <v/>
      </c>
      <c r="V146" s="17" t="str">
        <f aca="false">IF($C146="","",$F146*$U146)</f>
        <v/>
      </c>
      <c r="W146" s="18" t="n">
        <f aca="false">$A146-WEEKDAY($A146,2)+1</f>
        <v>46426</v>
      </c>
      <c r="X146" s="19" t="str">
        <f aca="false">IF(AND($C146="",T146=""),"",IF(AND(N($C146)&gt;0,N(T146)=0),"nobody marked present",IF(N($D146)&gt;N($C146),"more broken than moulded",IF(AND($C146="",N(T146)&gt;0),"attendance marked but no blocks entered",IF(AND(N($C146)&gt;0,N(U146)=0),"no pay rate for this date - see Settings",IF(SUMPRODUCT((H146:S146&lt;&gt;"")*(H$4:S$4=""))&gt;0,"attendance in an empty worker slot",""))))))</f>
        <v/>
      </c>
      <c r="Y146" s="20"/>
    </row>
    <row r="147" customFormat="false" ht="15" hidden="false" customHeight="false" outlineLevel="0" collapsed="false">
      <c r="A147" s="10" t="n">
        <v>46427</v>
      </c>
      <c r="B147" s="11" t="str">
        <f aca="false">CHOOSE(WEEKDAY($A147,2),"Mon","Tue","Wed","Thu","Fri","Sat","Sun")</f>
        <v>Tue</v>
      </c>
      <c r="C147" s="12"/>
      <c r="D147" s="12"/>
      <c r="E147" s="13" t="str">
        <f aca="false">IF($C147="","",$C147-N($D147))</f>
        <v/>
      </c>
      <c r="F147" s="13" t="str">
        <f aca="false">IF($C147="","",$C147-MAX(0,N($D147)-BreakAllow*$C147))</f>
        <v/>
      </c>
      <c r="G147" s="12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5" t="str">
        <f aca="false">IF(COUNT(H147:S147)=0,"",SUM(H147:S147))</f>
        <v/>
      </c>
      <c r="U147" s="16" t="str">
        <f aca="false">IF($C147="","",IFERROR(INDEX(RateValues,MATCH(SUMPRODUCT(MAX((RateDates&lt;=$A147)*RateDates)),RateDates,0)),0))</f>
        <v/>
      </c>
      <c r="V147" s="17" t="str">
        <f aca="false">IF($C147="","",$F147*$U147)</f>
        <v/>
      </c>
      <c r="W147" s="18" t="n">
        <f aca="false">$A147-WEEKDAY($A147,2)+1</f>
        <v>46426</v>
      </c>
      <c r="X147" s="19" t="str">
        <f aca="false">IF(AND($C147="",T147=""),"",IF(AND(N($C147)&gt;0,N(T147)=0),"nobody marked present",IF(N($D147)&gt;N($C147),"more broken than moulded",IF(AND($C147="",N(T147)&gt;0),"attendance marked but no blocks entered",IF(AND(N($C147)&gt;0,N(U147)=0),"no pay rate for this date - see Settings",IF(SUMPRODUCT((H147:S147&lt;&gt;"")*(H$4:S$4=""))&gt;0,"attendance in an empty worker slot",""))))))</f>
        <v/>
      </c>
      <c r="Y147" s="20"/>
    </row>
    <row r="148" customFormat="false" ht="15" hidden="false" customHeight="false" outlineLevel="0" collapsed="false">
      <c r="A148" s="10" t="n">
        <v>46428</v>
      </c>
      <c r="B148" s="11" t="str">
        <f aca="false">CHOOSE(WEEKDAY($A148,2),"Mon","Tue","Wed","Thu","Fri","Sat","Sun")</f>
        <v>Wed</v>
      </c>
      <c r="C148" s="12"/>
      <c r="D148" s="12"/>
      <c r="E148" s="13" t="str">
        <f aca="false">IF($C148="","",$C148-N($D148))</f>
        <v/>
      </c>
      <c r="F148" s="13" t="str">
        <f aca="false">IF($C148="","",$C148-MAX(0,N($D148)-BreakAllow*$C148))</f>
        <v/>
      </c>
      <c r="G148" s="12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5" t="str">
        <f aca="false">IF(COUNT(H148:S148)=0,"",SUM(H148:S148))</f>
        <v/>
      </c>
      <c r="U148" s="16" t="str">
        <f aca="false">IF($C148="","",IFERROR(INDEX(RateValues,MATCH(SUMPRODUCT(MAX((RateDates&lt;=$A148)*RateDates)),RateDates,0)),0))</f>
        <v/>
      </c>
      <c r="V148" s="17" t="str">
        <f aca="false">IF($C148="","",$F148*$U148)</f>
        <v/>
      </c>
      <c r="W148" s="18" t="n">
        <f aca="false">$A148-WEEKDAY($A148,2)+1</f>
        <v>46426</v>
      </c>
      <c r="X148" s="19" t="str">
        <f aca="false">IF(AND($C148="",T148=""),"",IF(AND(N($C148)&gt;0,N(T148)=0),"nobody marked present",IF(N($D148)&gt;N($C148),"more broken than moulded",IF(AND($C148="",N(T148)&gt;0),"attendance marked but no blocks entered",IF(AND(N($C148)&gt;0,N(U148)=0),"no pay rate for this date - see Settings",IF(SUMPRODUCT((H148:S148&lt;&gt;"")*(H$4:S$4=""))&gt;0,"attendance in an empty worker slot",""))))))</f>
        <v/>
      </c>
      <c r="Y148" s="20"/>
    </row>
    <row r="149" customFormat="false" ht="15" hidden="false" customHeight="false" outlineLevel="0" collapsed="false">
      <c r="A149" s="10" t="n">
        <v>46429</v>
      </c>
      <c r="B149" s="11" t="str">
        <f aca="false">CHOOSE(WEEKDAY($A149,2),"Mon","Tue","Wed","Thu","Fri","Sat","Sun")</f>
        <v>Thu</v>
      </c>
      <c r="C149" s="12"/>
      <c r="D149" s="12"/>
      <c r="E149" s="13" t="str">
        <f aca="false">IF($C149="","",$C149-N($D149))</f>
        <v/>
      </c>
      <c r="F149" s="13" t="str">
        <f aca="false">IF($C149="","",$C149-MAX(0,N($D149)-BreakAllow*$C149))</f>
        <v/>
      </c>
      <c r="G149" s="12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5" t="str">
        <f aca="false">IF(COUNT(H149:S149)=0,"",SUM(H149:S149))</f>
        <v/>
      </c>
      <c r="U149" s="16" t="str">
        <f aca="false">IF($C149="","",IFERROR(INDEX(RateValues,MATCH(SUMPRODUCT(MAX((RateDates&lt;=$A149)*RateDates)),RateDates,0)),0))</f>
        <v/>
      </c>
      <c r="V149" s="17" t="str">
        <f aca="false">IF($C149="","",$F149*$U149)</f>
        <v/>
      </c>
      <c r="W149" s="18" t="n">
        <f aca="false">$A149-WEEKDAY($A149,2)+1</f>
        <v>46426</v>
      </c>
      <c r="X149" s="19" t="str">
        <f aca="false">IF(AND($C149="",T149=""),"",IF(AND(N($C149)&gt;0,N(T149)=0),"nobody marked present",IF(N($D149)&gt;N($C149),"more broken than moulded",IF(AND($C149="",N(T149)&gt;0),"attendance marked but no blocks entered",IF(AND(N($C149)&gt;0,N(U149)=0),"no pay rate for this date - see Settings",IF(SUMPRODUCT((H149:S149&lt;&gt;"")*(H$4:S$4=""))&gt;0,"attendance in an empty worker slot",""))))))</f>
        <v/>
      </c>
      <c r="Y149" s="20"/>
    </row>
    <row r="150" customFormat="false" ht="15" hidden="false" customHeight="false" outlineLevel="0" collapsed="false">
      <c r="A150" s="10" t="n">
        <v>46430</v>
      </c>
      <c r="B150" s="11" t="str">
        <f aca="false">CHOOSE(WEEKDAY($A150,2),"Mon","Tue","Wed","Thu","Fri","Sat","Sun")</f>
        <v>Fri</v>
      </c>
      <c r="C150" s="12"/>
      <c r="D150" s="12"/>
      <c r="E150" s="13" t="str">
        <f aca="false">IF($C150="","",$C150-N($D150))</f>
        <v/>
      </c>
      <c r="F150" s="13" t="str">
        <f aca="false">IF($C150="","",$C150-MAX(0,N($D150)-BreakAllow*$C150))</f>
        <v/>
      </c>
      <c r="G150" s="12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5" t="str">
        <f aca="false">IF(COUNT(H150:S150)=0,"",SUM(H150:S150))</f>
        <v/>
      </c>
      <c r="U150" s="16" t="str">
        <f aca="false">IF($C150="","",IFERROR(INDEX(RateValues,MATCH(SUMPRODUCT(MAX((RateDates&lt;=$A150)*RateDates)),RateDates,0)),0))</f>
        <v/>
      </c>
      <c r="V150" s="17" t="str">
        <f aca="false">IF($C150="","",$F150*$U150)</f>
        <v/>
      </c>
      <c r="W150" s="18" t="n">
        <f aca="false">$A150-WEEKDAY($A150,2)+1</f>
        <v>46426</v>
      </c>
      <c r="X150" s="19" t="str">
        <f aca="false">IF(AND($C150="",T150=""),"",IF(AND(N($C150)&gt;0,N(T150)=0),"nobody marked present",IF(N($D150)&gt;N($C150),"more broken than moulded",IF(AND($C150="",N(T150)&gt;0),"attendance marked but no blocks entered",IF(AND(N($C150)&gt;0,N(U150)=0),"no pay rate for this date - see Settings",IF(SUMPRODUCT((H150:S150&lt;&gt;"")*(H$4:S$4=""))&gt;0,"attendance in an empty worker slot",""))))))</f>
        <v/>
      </c>
      <c r="Y150" s="20"/>
    </row>
    <row r="151" customFormat="false" ht="15" hidden="false" customHeight="false" outlineLevel="0" collapsed="false">
      <c r="A151" s="10" t="n">
        <v>46431</v>
      </c>
      <c r="B151" s="11" t="str">
        <f aca="false">CHOOSE(WEEKDAY($A151,2),"Mon","Tue","Wed","Thu","Fri","Sat","Sun")</f>
        <v>Sat</v>
      </c>
      <c r="C151" s="12"/>
      <c r="D151" s="12"/>
      <c r="E151" s="13" t="str">
        <f aca="false">IF($C151="","",$C151-N($D151))</f>
        <v/>
      </c>
      <c r="F151" s="13" t="str">
        <f aca="false">IF($C151="","",$C151-MAX(0,N($D151)-BreakAllow*$C151))</f>
        <v/>
      </c>
      <c r="G151" s="12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5" t="str">
        <f aca="false">IF(COUNT(H151:S151)=0,"",SUM(H151:S151))</f>
        <v/>
      </c>
      <c r="U151" s="16" t="str">
        <f aca="false">IF($C151="","",IFERROR(INDEX(RateValues,MATCH(SUMPRODUCT(MAX((RateDates&lt;=$A151)*RateDates)),RateDates,0)),0))</f>
        <v/>
      </c>
      <c r="V151" s="17" t="str">
        <f aca="false">IF($C151="","",$F151*$U151)</f>
        <v/>
      </c>
      <c r="W151" s="18" t="n">
        <f aca="false">$A151-WEEKDAY($A151,2)+1</f>
        <v>46426</v>
      </c>
      <c r="X151" s="19" t="str">
        <f aca="false">IF(AND($C151="",T151=""),"",IF(AND(N($C151)&gt;0,N(T151)=0),"nobody marked present",IF(N($D151)&gt;N($C151),"more broken than moulded",IF(AND($C151="",N(T151)&gt;0),"attendance marked but no blocks entered",IF(AND(N($C151)&gt;0,N(U151)=0),"no pay rate for this date - see Settings",IF(SUMPRODUCT((H151:S151&lt;&gt;"")*(H$4:S$4=""))&gt;0,"attendance in an empty worker slot",""))))))</f>
        <v/>
      </c>
      <c r="Y151" s="20"/>
    </row>
    <row r="152" customFormat="false" ht="15" hidden="false" customHeight="false" outlineLevel="0" collapsed="false">
      <c r="A152" s="21" t="n">
        <v>46432</v>
      </c>
      <c r="B152" s="22" t="str">
        <f aca="false">CHOOSE(WEEKDAY($A152,2),"Mon","Tue","Wed","Thu","Fri","Sat","Sun")</f>
        <v>Sun</v>
      </c>
      <c r="C152" s="12"/>
      <c r="D152" s="12"/>
      <c r="E152" s="13" t="str">
        <f aca="false">IF($C152="","",$C152-N($D152))</f>
        <v/>
      </c>
      <c r="F152" s="13" t="str">
        <f aca="false">IF($C152="","",$C152-MAX(0,N($D152)-BreakAllow*$C152))</f>
        <v/>
      </c>
      <c r="G152" s="12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5" t="str">
        <f aca="false">IF(COUNT(H152:S152)=0,"",SUM(H152:S152))</f>
        <v/>
      </c>
      <c r="U152" s="16" t="str">
        <f aca="false">IF($C152="","",IFERROR(INDEX(RateValues,MATCH(SUMPRODUCT(MAX((RateDates&lt;=$A152)*RateDates)),RateDates,0)),0))</f>
        <v/>
      </c>
      <c r="V152" s="17" t="str">
        <f aca="false">IF($C152="","",$F152*$U152)</f>
        <v/>
      </c>
      <c r="W152" s="18" t="n">
        <f aca="false">$A152-WEEKDAY($A152,2)+1</f>
        <v>46426</v>
      </c>
      <c r="X152" s="19" t="str">
        <f aca="false">IF(AND($C152="",T152=""),"",IF(AND(N($C152)&gt;0,N(T152)=0),"nobody marked present",IF(N($D152)&gt;N($C152),"more broken than moulded",IF(AND($C152="",N(T152)&gt;0),"attendance marked but no blocks entered",IF(AND(N($C152)&gt;0,N(U152)=0),"no pay rate for this date - see Settings",IF(SUMPRODUCT((H152:S152&lt;&gt;"")*(H$4:S$4=""))&gt;0,"attendance in an empty worker slot",""))))))</f>
        <v/>
      </c>
      <c r="Y152" s="20"/>
    </row>
    <row r="153" customFormat="false" ht="15" hidden="false" customHeight="false" outlineLevel="0" collapsed="false">
      <c r="A153" s="10" t="n">
        <v>46433</v>
      </c>
      <c r="B153" s="11" t="str">
        <f aca="false">CHOOSE(WEEKDAY($A153,2),"Mon","Tue","Wed","Thu","Fri","Sat","Sun")</f>
        <v>Mon</v>
      </c>
      <c r="C153" s="12"/>
      <c r="D153" s="12"/>
      <c r="E153" s="13" t="str">
        <f aca="false">IF($C153="","",$C153-N($D153))</f>
        <v/>
      </c>
      <c r="F153" s="13" t="str">
        <f aca="false">IF($C153="","",$C153-MAX(0,N($D153)-BreakAllow*$C153))</f>
        <v/>
      </c>
      <c r="G153" s="12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5" t="str">
        <f aca="false">IF(COUNT(H153:S153)=0,"",SUM(H153:S153))</f>
        <v/>
      </c>
      <c r="U153" s="16" t="str">
        <f aca="false">IF($C153="","",IFERROR(INDEX(RateValues,MATCH(SUMPRODUCT(MAX((RateDates&lt;=$A153)*RateDates)),RateDates,0)),0))</f>
        <v/>
      </c>
      <c r="V153" s="17" t="str">
        <f aca="false">IF($C153="","",$F153*$U153)</f>
        <v/>
      </c>
      <c r="W153" s="18" t="n">
        <f aca="false">$A153-WEEKDAY($A153,2)+1</f>
        <v>46433</v>
      </c>
      <c r="X153" s="19" t="str">
        <f aca="false">IF(AND($C153="",T153=""),"",IF(AND(N($C153)&gt;0,N(T153)=0),"nobody marked present",IF(N($D153)&gt;N($C153),"more broken than moulded",IF(AND($C153="",N(T153)&gt;0),"attendance marked but no blocks entered",IF(AND(N($C153)&gt;0,N(U153)=0),"no pay rate for this date - see Settings",IF(SUMPRODUCT((H153:S153&lt;&gt;"")*(H$4:S$4=""))&gt;0,"attendance in an empty worker slot",""))))))</f>
        <v/>
      </c>
      <c r="Y153" s="20"/>
    </row>
    <row r="154" customFormat="false" ht="15" hidden="false" customHeight="false" outlineLevel="0" collapsed="false">
      <c r="A154" s="10" t="n">
        <v>46434</v>
      </c>
      <c r="B154" s="11" t="str">
        <f aca="false">CHOOSE(WEEKDAY($A154,2),"Mon","Tue","Wed","Thu","Fri","Sat","Sun")</f>
        <v>Tue</v>
      </c>
      <c r="C154" s="12"/>
      <c r="D154" s="12"/>
      <c r="E154" s="13" t="str">
        <f aca="false">IF($C154="","",$C154-N($D154))</f>
        <v/>
      </c>
      <c r="F154" s="13" t="str">
        <f aca="false">IF($C154="","",$C154-MAX(0,N($D154)-BreakAllow*$C154))</f>
        <v/>
      </c>
      <c r="G154" s="12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5" t="str">
        <f aca="false">IF(COUNT(H154:S154)=0,"",SUM(H154:S154))</f>
        <v/>
      </c>
      <c r="U154" s="16" t="str">
        <f aca="false">IF($C154="","",IFERROR(INDEX(RateValues,MATCH(SUMPRODUCT(MAX((RateDates&lt;=$A154)*RateDates)),RateDates,0)),0))</f>
        <v/>
      </c>
      <c r="V154" s="17" t="str">
        <f aca="false">IF($C154="","",$F154*$U154)</f>
        <v/>
      </c>
      <c r="W154" s="18" t="n">
        <f aca="false">$A154-WEEKDAY($A154,2)+1</f>
        <v>46433</v>
      </c>
      <c r="X154" s="19" t="str">
        <f aca="false">IF(AND($C154="",T154=""),"",IF(AND(N($C154)&gt;0,N(T154)=0),"nobody marked present",IF(N($D154)&gt;N($C154),"more broken than moulded",IF(AND($C154="",N(T154)&gt;0),"attendance marked but no blocks entered",IF(AND(N($C154)&gt;0,N(U154)=0),"no pay rate for this date - see Settings",IF(SUMPRODUCT((H154:S154&lt;&gt;"")*(H$4:S$4=""))&gt;0,"attendance in an empty worker slot",""))))))</f>
        <v/>
      </c>
      <c r="Y154" s="20"/>
    </row>
    <row r="155" customFormat="false" ht="15" hidden="false" customHeight="false" outlineLevel="0" collapsed="false">
      <c r="A155" s="10" t="n">
        <v>46435</v>
      </c>
      <c r="B155" s="11" t="str">
        <f aca="false">CHOOSE(WEEKDAY($A155,2),"Mon","Tue","Wed","Thu","Fri","Sat","Sun")</f>
        <v>Wed</v>
      </c>
      <c r="C155" s="12"/>
      <c r="D155" s="12"/>
      <c r="E155" s="13" t="str">
        <f aca="false">IF($C155="","",$C155-N($D155))</f>
        <v/>
      </c>
      <c r="F155" s="13" t="str">
        <f aca="false">IF($C155="","",$C155-MAX(0,N($D155)-BreakAllow*$C155))</f>
        <v/>
      </c>
      <c r="G155" s="12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5" t="str">
        <f aca="false">IF(COUNT(H155:S155)=0,"",SUM(H155:S155))</f>
        <v/>
      </c>
      <c r="U155" s="16" t="str">
        <f aca="false">IF($C155="","",IFERROR(INDEX(RateValues,MATCH(SUMPRODUCT(MAX((RateDates&lt;=$A155)*RateDates)),RateDates,0)),0))</f>
        <v/>
      </c>
      <c r="V155" s="17" t="str">
        <f aca="false">IF($C155="","",$F155*$U155)</f>
        <v/>
      </c>
      <c r="W155" s="18" t="n">
        <f aca="false">$A155-WEEKDAY($A155,2)+1</f>
        <v>46433</v>
      </c>
      <c r="X155" s="19" t="str">
        <f aca="false">IF(AND($C155="",T155=""),"",IF(AND(N($C155)&gt;0,N(T155)=0),"nobody marked present",IF(N($D155)&gt;N($C155),"more broken than moulded",IF(AND($C155="",N(T155)&gt;0),"attendance marked but no blocks entered",IF(AND(N($C155)&gt;0,N(U155)=0),"no pay rate for this date - see Settings",IF(SUMPRODUCT((H155:S155&lt;&gt;"")*(H$4:S$4=""))&gt;0,"attendance in an empty worker slot",""))))))</f>
        <v/>
      </c>
      <c r="Y155" s="20"/>
    </row>
    <row r="156" customFormat="false" ht="15" hidden="false" customHeight="false" outlineLevel="0" collapsed="false">
      <c r="A156" s="10" t="n">
        <v>46436</v>
      </c>
      <c r="B156" s="11" t="str">
        <f aca="false">CHOOSE(WEEKDAY($A156,2),"Mon","Tue","Wed","Thu","Fri","Sat","Sun")</f>
        <v>Thu</v>
      </c>
      <c r="C156" s="12"/>
      <c r="D156" s="12"/>
      <c r="E156" s="13" t="str">
        <f aca="false">IF($C156="","",$C156-N($D156))</f>
        <v/>
      </c>
      <c r="F156" s="13" t="str">
        <f aca="false">IF($C156="","",$C156-MAX(0,N($D156)-BreakAllow*$C156))</f>
        <v/>
      </c>
      <c r="G156" s="12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5" t="str">
        <f aca="false">IF(COUNT(H156:S156)=0,"",SUM(H156:S156))</f>
        <v/>
      </c>
      <c r="U156" s="16" t="str">
        <f aca="false">IF($C156="","",IFERROR(INDEX(RateValues,MATCH(SUMPRODUCT(MAX((RateDates&lt;=$A156)*RateDates)),RateDates,0)),0))</f>
        <v/>
      </c>
      <c r="V156" s="17" t="str">
        <f aca="false">IF($C156="","",$F156*$U156)</f>
        <v/>
      </c>
      <c r="W156" s="18" t="n">
        <f aca="false">$A156-WEEKDAY($A156,2)+1</f>
        <v>46433</v>
      </c>
      <c r="X156" s="19" t="str">
        <f aca="false">IF(AND($C156="",T156=""),"",IF(AND(N($C156)&gt;0,N(T156)=0),"nobody marked present",IF(N($D156)&gt;N($C156),"more broken than moulded",IF(AND($C156="",N(T156)&gt;0),"attendance marked but no blocks entered",IF(AND(N($C156)&gt;0,N(U156)=0),"no pay rate for this date - see Settings",IF(SUMPRODUCT((H156:S156&lt;&gt;"")*(H$4:S$4=""))&gt;0,"attendance in an empty worker slot",""))))))</f>
        <v/>
      </c>
      <c r="Y156" s="20"/>
    </row>
    <row r="157" customFormat="false" ht="15" hidden="false" customHeight="false" outlineLevel="0" collapsed="false">
      <c r="A157" s="10" t="n">
        <v>46437</v>
      </c>
      <c r="B157" s="11" t="str">
        <f aca="false">CHOOSE(WEEKDAY($A157,2),"Mon","Tue","Wed","Thu","Fri","Sat","Sun")</f>
        <v>Fri</v>
      </c>
      <c r="C157" s="12"/>
      <c r="D157" s="12"/>
      <c r="E157" s="13" t="str">
        <f aca="false">IF($C157="","",$C157-N($D157))</f>
        <v/>
      </c>
      <c r="F157" s="13" t="str">
        <f aca="false">IF($C157="","",$C157-MAX(0,N($D157)-BreakAllow*$C157))</f>
        <v/>
      </c>
      <c r="G157" s="12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5" t="str">
        <f aca="false">IF(COUNT(H157:S157)=0,"",SUM(H157:S157))</f>
        <v/>
      </c>
      <c r="U157" s="16" t="str">
        <f aca="false">IF($C157="","",IFERROR(INDEX(RateValues,MATCH(SUMPRODUCT(MAX((RateDates&lt;=$A157)*RateDates)),RateDates,0)),0))</f>
        <v/>
      </c>
      <c r="V157" s="17" t="str">
        <f aca="false">IF($C157="","",$F157*$U157)</f>
        <v/>
      </c>
      <c r="W157" s="18" t="n">
        <f aca="false">$A157-WEEKDAY($A157,2)+1</f>
        <v>46433</v>
      </c>
      <c r="X157" s="19" t="str">
        <f aca="false">IF(AND($C157="",T157=""),"",IF(AND(N($C157)&gt;0,N(T157)=0),"nobody marked present",IF(N($D157)&gt;N($C157),"more broken than moulded",IF(AND($C157="",N(T157)&gt;0),"attendance marked but no blocks entered",IF(AND(N($C157)&gt;0,N(U157)=0),"no pay rate for this date - see Settings",IF(SUMPRODUCT((H157:S157&lt;&gt;"")*(H$4:S$4=""))&gt;0,"attendance in an empty worker slot",""))))))</f>
        <v/>
      </c>
      <c r="Y157" s="20"/>
    </row>
    <row r="158" customFormat="false" ht="15" hidden="false" customHeight="false" outlineLevel="0" collapsed="false">
      <c r="A158" s="10" t="n">
        <v>46438</v>
      </c>
      <c r="B158" s="11" t="str">
        <f aca="false">CHOOSE(WEEKDAY($A158,2),"Mon","Tue","Wed","Thu","Fri","Sat","Sun")</f>
        <v>Sat</v>
      </c>
      <c r="C158" s="12"/>
      <c r="D158" s="12"/>
      <c r="E158" s="13" t="str">
        <f aca="false">IF($C158="","",$C158-N($D158))</f>
        <v/>
      </c>
      <c r="F158" s="13" t="str">
        <f aca="false">IF($C158="","",$C158-MAX(0,N($D158)-BreakAllow*$C158))</f>
        <v/>
      </c>
      <c r="G158" s="12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5" t="str">
        <f aca="false">IF(COUNT(H158:S158)=0,"",SUM(H158:S158))</f>
        <v/>
      </c>
      <c r="U158" s="16" t="str">
        <f aca="false">IF($C158="","",IFERROR(INDEX(RateValues,MATCH(SUMPRODUCT(MAX((RateDates&lt;=$A158)*RateDates)),RateDates,0)),0))</f>
        <v/>
      </c>
      <c r="V158" s="17" t="str">
        <f aca="false">IF($C158="","",$F158*$U158)</f>
        <v/>
      </c>
      <c r="W158" s="18" t="n">
        <f aca="false">$A158-WEEKDAY($A158,2)+1</f>
        <v>46433</v>
      </c>
      <c r="X158" s="19" t="str">
        <f aca="false">IF(AND($C158="",T158=""),"",IF(AND(N($C158)&gt;0,N(T158)=0),"nobody marked present",IF(N($D158)&gt;N($C158),"more broken than moulded",IF(AND($C158="",N(T158)&gt;0),"attendance marked but no blocks entered",IF(AND(N($C158)&gt;0,N(U158)=0),"no pay rate for this date - see Settings",IF(SUMPRODUCT((H158:S158&lt;&gt;"")*(H$4:S$4=""))&gt;0,"attendance in an empty worker slot",""))))))</f>
        <v/>
      </c>
      <c r="Y158" s="20"/>
    </row>
    <row r="159" customFormat="false" ht="15" hidden="false" customHeight="false" outlineLevel="0" collapsed="false">
      <c r="A159" s="21" t="n">
        <v>46439</v>
      </c>
      <c r="B159" s="22" t="str">
        <f aca="false">CHOOSE(WEEKDAY($A159,2),"Mon","Tue","Wed","Thu","Fri","Sat","Sun")</f>
        <v>Sun</v>
      </c>
      <c r="C159" s="12"/>
      <c r="D159" s="12"/>
      <c r="E159" s="13" t="str">
        <f aca="false">IF($C159="","",$C159-N($D159))</f>
        <v/>
      </c>
      <c r="F159" s="13" t="str">
        <f aca="false">IF($C159="","",$C159-MAX(0,N($D159)-BreakAllow*$C159))</f>
        <v/>
      </c>
      <c r="G159" s="12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5" t="str">
        <f aca="false">IF(COUNT(H159:S159)=0,"",SUM(H159:S159))</f>
        <v/>
      </c>
      <c r="U159" s="16" t="str">
        <f aca="false">IF($C159="","",IFERROR(INDEX(RateValues,MATCH(SUMPRODUCT(MAX((RateDates&lt;=$A159)*RateDates)),RateDates,0)),0))</f>
        <v/>
      </c>
      <c r="V159" s="17" t="str">
        <f aca="false">IF($C159="","",$F159*$U159)</f>
        <v/>
      </c>
      <c r="W159" s="18" t="n">
        <f aca="false">$A159-WEEKDAY($A159,2)+1</f>
        <v>46433</v>
      </c>
      <c r="X159" s="19" t="str">
        <f aca="false">IF(AND($C159="",T159=""),"",IF(AND(N($C159)&gt;0,N(T159)=0),"nobody marked present",IF(N($D159)&gt;N($C159),"more broken than moulded",IF(AND($C159="",N(T159)&gt;0),"attendance marked but no blocks entered",IF(AND(N($C159)&gt;0,N(U159)=0),"no pay rate for this date - see Settings",IF(SUMPRODUCT((H159:S159&lt;&gt;"")*(H$4:S$4=""))&gt;0,"attendance in an empty worker slot",""))))))</f>
        <v/>
      </c>
      <c r="Y159" s="20"/>
    </row>
    <row r="160" customFormat="false" ht="15" hidden="false" customHeight="false" outlineLevel="0" collapsed="false">
      <c r="A160" s="10" t="n">
        <v>46440</v>
      </c>
      <c r="B160" s="11" t="str">
        <f aca="false">CHOOSE(WEEKDAY($A160,2),"Mon","Tue","Wed","Thu","Fri","Sat","Sun")</f>
        <v>Mon</v>
      </c>
      <c r="C160" s="12"/>
      <c r="D160" s="12"/>
      <c r="E160" s="13" t="str">
        <f aca="false">IF($C160="","",$C160-N($D160))</f>
        <v/>
      </c>
      <c r="F160" s="13" t="str">
        <f aca="false">IF($C160="","",$C160-MAX(0,N($D160)-BreakAllow*$C160))</f>
        <v/>
      </c>
      <c r="G160" s="12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5" t="str">
        <f aca="false">IF(COUNT(H160:S160)=0,"",SUM(H160:S160))</f>
        <v/>
      </c>
      <c r="U160" s="16" t="str">
        <f aca="false">IF($C160="","",IFERROR(INDEX(RateValues,MATCH(SUMPRODUCT(MAX((RateDates&lt;=$A160)*RateDates)),RateDates,0)),0))</f>
        <v/>
      </c>
      <c r="V160" s="17" t="str">
        <f aca="false">IF($C160="","",$F160*$U160)</f>
        <v/>
      </c>
      <c r="W160" s="18" t="n">
        <f aca="false">$A160-WEEKDAY($A160,2)+1</f>
        <v>46440</v>
      </c>
      <c r="X160" s="19" t="str">
        <f aca="false">IF(AND($C160="",T160=""),"",IF(AND(N($C160)&gt;0,N(T160)=0),"nobody marked present",IF(N($D160)&gt;N($C160),"more broken than moulded",IF(AND($C160="",N(T160)&gt;0),"attendance marked but no blocks entered",IF(AND(N($C160)&gt;0,N(U160)=0),"no pay rate for this date - see Settings",IF(SUMPRODUCT((H160:S160&lt;&gt;"")*(H$4:S$4=""))&gt;0,"attendance in an empty worker slot",""))))))</f>
        <v/>
      </c>
      <c r="Y160" s="20"/>
    </row>
    <row r="161" customFormat="false" ht="15" hidden="false" customHeight="false" outlineLevel="0" collapsed="false">
      <c r="A161" s="10" t="n">
        <v>46441</v>
      </c>
      <c r="B161" s="11" t="str">
        <f aca="false">CHOOSE(WEEKDAY($A161,2),"Mon","Tue","Wed","Thu","Fri","Sat","Sun")</f>
        <v>Tue</v>
      </c>
      <c r="C161" s="12"/>
      <c r="D161" s="12"/>
      <c r="E161" s="13" t="str">
        <f aca="false">IF($C161="","",$C161-N($D161))</f>
        <v/>
      </c>
      <c r="F161" s="13" t="str">
        <f aca="false">IF($C161="","",$C161-MAX(0,N($D161)-BreakAllow*$C161))</f>
        <v/>
      </c>
      <c r="G161" s="12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5" t="str">
        <f aca="false">IF(COUNT(H161:S161)=0,"",SUM(H161:S161))</f>
        <v/>
      </c>
      <c r="U161" s="16" t="str">
        <f aca="false">IF($C161="","",IFERROR(INDEX(RateValues,MATCH(SUMPRODUCT(MAX((RateDates&lt;=$A161)*RateDates)),RateDates,0)),0))</f>
        <v/>
      </c>
      <c r="V161" s="17" t="str">
        <f aca="false">IF($C161="","",$F161*$U161)</f>
        <v/>
      </c>
      <c r="W161" s="18" t="n">
        <f aca="false">$A161-WEEKDAY($A161,2)+1</f>
        <v>46440</v>
      </c>
      <c r="X161" s="19" t="str">
        <f aca="false">IF(AND($C161="",T161=""),"",IF(AND(N($C161)&gt;0,N(T161)=0),"nobody marked present",IF(N($D161)&gt;N($C161),"more broken than moulded",IF(AND($C161="",N(T161)&gt;0),"attendance marked but no blocks entered",IF(AND(N($C161)&gt;0,N(U161)=0),"no pay rate for this date - see Settings",IF(SUMPRODUCT((H161:S161&lt;&gt;"")*(H$4:S$4=""))&gt;0,"attendance in an empty worker slot",""))))))</f>
        <v/>
      </c>
      <c r="Y161" s="20"/>
    </row>
    <row r="162" customFormat="false" ht="15" hidden="false" customHeight="false" outlineLevel="0" collapsed="false">
      <c r="A162" s="10" t="n">
        <v>46442</v>
      </c>
      <c r="B162" s="11" t="str">
        <f aca="false">CHOOSE(WEEKDAY($A162,2),"Mon","Tue","Wed","Thu","Fri","Sat","Sun")</f>
        <v>Wed</v>
      </c>
      <c r="C162" s="12"/>
      <c r="D162" s="12"/>
      <c r="E162" s="13" t="str">
        <f aca="false">IF($C162="","",$C162-N($D162))</f>
        <v/>
      </c>
      <c r="F162" s="13" t="str">
        <f aca="false">IF($C162="","",$C162-MAX(0,N($D162)-BreakAllow*$C162))</f>
        <v/>
      </c>
      <c r="G162" s="12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5" t="str">
        <f aca="false">IF(COUNT(H162:S162)=0,"",SUM(H162:S162))</f>
        <v/>
      </c>
      <c r="U162" s="16" t="str">
        <f aca="false">IF($C162="","",IFERROR(INDEX(RateValues,MATCH(SUMPRODUCT(MAX((RateDates&lt;=$A162)*RateDates)),RateDates,0)),0))</f>
        <v/>
      </c>
      <c r="V162" s="17" t="str">
        <f aca="false">IF($C162="","",$F162*$U162)</f>
        <v/>
      </c>
      <c r="W162" s="18" t="n">
        <f aca="false">$A162-WEEKDAY($A162,2)+1</f>
        <v>46440</v>
      </c>
      <c r="X162" s="19" t="str">
        <f aca="false">IF(AND($C162="",T162=""),"",IF(AND(N($C162)&gt;0,N(T162)=0),"nobody marked present",IF(N($D162)&gt;N($C162),"more broken than moulded",IF(AND($C162="",N(T162)&gt;0),"attendance marked but no blocks entered",IF(AND(N($C162)&gt;0,N(U162)=0),"no pay rate for this date - see Settings",IF(SUMPRODUCT((H162:S162&lt;&gt;"")*(H$4:S$4=""))&gt;0,"attendance in an empty worker slot",""))))))</f>
        <v/>
      </c>
      <c r="Y162" s="20"/>
    </row>
    <row r="163" customFormat="false" ht="15" hidden="false" customHeight="false" outlineLevel="0" collapsed="false">
      <c r="A163" s="10" t="n">
        <v>46443</v>
      </c>
      <c r="B163" s="11" t="str">
        <f aca="false">CHOOSE(WEEKDAY($A163,2),"Mon","Tue","Wed","Thu","Fri","Sat","Sun")</f>
        <v>Thu</v>
      </c>
      <c r="C163" s="12"/>
      <c r="D163" s="12"/>
      <c r="E163" s="13" t="str">
        <f aca="false">IF($C163="","",$C163-N($D163))</f>
        <v/>
      </c>
      <c r="F163" s="13" t="str">
        <f aca="false">IF($C163="","",$C163-MAX(0,N($D163)-BreakAllow*$C163))</f>
        <v/>
      </c>
      <c r="G163" s="12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5" t="str">
        <f aca="false">IF(COUNT(H163:S163)=0,"",SUM(H163:S163))</f>
        <v/>
      </c>
      <c r="U163" s="16" t="str">
        <f aca="false">IF($C163="","",IFERROR(INDEX(RateValues,MATCH(SUMPRODUCT(MAX((RateDates&lt;=$A163)*RateDates)),RateDates,0)),0))</f>
        <v/>
      </c>
      <c r="V163" s="17" t="str">
        <f aca="false">IF($C163="","",$F163*$U163)</f>
        <v/>
      </c>
      <c r="W163" s="18" t="n">
        <f aca="false">$A163-WEEKDAY($A163,2)+1</f>
        <v>46440</v>
      </c>
      <c r="X163" s="19" t="str">
        <f aca="false">IF(AND($C163="",T163=""),"",IF(AND(N($C163)&gt;0,N(T163)=0),"nobody marked present",IF(N($D163)&gt;N($C163),"more broken than moulded",IF(AND($C163="",N(T163)&gt;0),"attendance marked but no blocks entered",IF(AND(N($C163)&gt;0,N(U163)=0),"no pay rate for this date - see Settings",IF(SUMPRODUCT((H163:S163&lt;&gt;"")*(H$4:S$4=""))&gt;0,"attendance in an empty worker slot",""))))))</f>
        <v/>
      </c>
      <c r="Y163" s="20"/>
    </row>
    <row r="164" customFormat="false" ht="15" hidden="false" customHeight="false" outlineLevel="0" collapsed="false">
      <c r="A164" s="10" t="n">
        <v>46444</v>
      </c>
      <c r="B164" s="11" t="str">
        <f aca="false">CHOOSE(WEEKDAY($A164,2),"Mon","Tue","Wed","Thu","Fri","Sat","Sun")</f>
        <v>Fri</v>
      </c>
      <c r="C164" s="12"/>
      <c r="D164" s="12"/>
      <c r="E164" s="13" t="str">
        <f aca="false">IF($C164="","",$C164-N($D164))</f>
        <v/>
      </c>
      <c r="F164" s="13" t="str">
        <f aca="false">IF($C164="","",$C164-MAX(0,N($D164)-BreakAllow*$C164))</f>
        <v/>
      </c>
      <c r="G164" s="12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5" t="str">
        <f aca="false">IF(COUNT(H164:S164)=0,"",SUM(H164:S164))</f>
        <v/>
      </c>
      <c r="U164" s="16" t="str">
        <f aca="false">IF($C164="","",IFERROR(INDEX(RateValues,MATCH(SUMPRODUCT(MAX((RateDates&lt;=$A164)*RateDates)),RateDates,0)),0))</f>
        <v/>
      </c>
      <c r="V164" s="17" t="str">
        <f aca="false">IF($C164="","",$F164*$U164)</f>
        <v/>
      </c>
      <c r="W164" s="18" t="n">
        <f aca="false">$A164-WEEKDAY($A164,2)+1</f>
        <v>46440</v>
      </c>
      <c r="X164" s="19" t="str">
        <f aca="false">IF(AND($C164="",T164=""),"",IF(AND(N($C164)&gt;0,N(T164)=0),"nobody marked present",IF(N($D164)&gt;N($C164),"more broken than moulded",IF(AND($C164="",N(T164)&gt;0),"attendance marked but no blocks entered",IF(AND(N($C164)&gt;0,N(U164)=0),"no pay rate for this date - see Settings",IF(SUMPRODUCT((H164:S164&lt;&gt;"")*(H$4:S$4=""))&gt;0,"attendance in an empty worker slot",""))))))</f>
        <v/>
      </c>
      <c r="Y164" s="20"/>
    </row>
    <row r="165" customFormat="false" ht="15" hidden="false" customHeight="false" outlineLevel="0" collapsed="false">
      <c r="A165" s="10" t="n">
        <v>46445</v>
      </c>
      <c r="B165" s="11" t="str">
        <f aca="false">CHOOSE(WEEKDAY($A165,2),"Mon","Tue","Wed","Thu","Fri","Sat","Sun")</f>
        <v>Sat</v>
      </c>
      <c r="C165" s="12"/>
      <c r="D165" s="12"/>
      <c r="E165" s="13" t="str">
        <f aca="false">IF($C165="","",$C165-N($D165))</f>
        <v/>
      </c>
      <c r="F165" s="13" t="str">
        <f aca="false">IF($C165="","",$C165-MAX(0,N($D165)-BreakAllow*$C165))</f>
        <v/>
      </c>
      <c r="G165" s="12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5" t="str">
        <f aca="false">IF(COUNT(H165:S165)=0,"",SUM(H165:S165))</f>
        <v/>
      </c>
      <c r="U165" s="16" t="str">
        <f aca="false">IF($C165="","",IFERROR(INDEX(RateValues,MATCH(SUMPRODUCT(MAX((RateDates&lt;=$A165)*RateDates)),RateDates,0)),0))</f>
        <v/>
      </c>
      <c r="V165" s="17" t="str">
        <f aca="false">IF($C165="","",$F165*$U165)</f>
        <v/>
      </c>
      <c r="W165" s="18" t="n">
        <f aca="false">$A165-WEEKDAY($A165,2)+1</f>
        <v>46440</v>
      </c>
      <c r="X165" s="19" t="str">
        <f aca="false">IF(AND($C165="",T165=""),"",IF(AND(N($C165)&gt;0,N(T165)=0),"nobody marked present",IF(N($D165)&gt;N($C165),"more broken than moulded",IF(AND($C165="",N(T165)&gt;0),"attendance marked but no blocks entered",IF(AND(N($C165)&gt;0,N(U165)=0),"no pay rate for this date - see Settings",IF(SUMPRODUCT((H165:S165&lt;&gt;"")*(H$4:S$4=""))&gt;0,"attendance in an empty worker slot",""))))))</f>
        <v/>
      </c>
      <c r="Y165" s="20"/>
    </row>
    <row r="166" customFormat="false" ht="15" hidden="false" customHeight="false" outlineLevel="0" collapsed="false">
      <c r="A166" s="21" t="n">
        <v>46446</v>
      </c>
      <c r="B166" s="22" t="str">
        <f aca="false">CHOOSE(WEEKDAY($A166,2),"Mon","Tue","Wed","Thu","Fri","Sat","Sun")</f>
        <v>Sun</v>
      </c>
      <c r="C166" s="12"/>
      <c r="D166" s="12"/>
      <c r="E166" s="13" t="str">
        <f aca="false">IF($C166="","",$C166-N($D166))</f>
        <v/>
      </c>
      <c r="F166" s="13" t="str">
        <f aca="false">IF($C166="","",$C166-MAX(0,N($D166)-BreakAllow*$C166))</f>
        <v/>
      </c>
      <c r="G166" s="12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5" t="str">
        <f aca="false">IF(COUNT(H166:S166)=0,"",SUM(H166:S166))</f>
        <v/>
      </c>
      <c r="U166" s="16" t="str">
        <f aca="false">IF($C166="","",IFERROR(INDEX(RateValues,MATCH(SUMPRODUCT(MAX((RateDates&lt;=$A166)*RateDates)),RateDates,0)),0))</f>
        <v/>
      </c>
      <c r="V166" s="17" t="str">
        <f aca="false">IF($C166="","",$F166*$U166)</f>
        <v/>
      </c>
      <c r="W166" s="18" t="n">
        <f aca="false">$A166-WEEKDAY($A166,2)+1</f>
        <v>46440</v>
      </c>
      <c r="X166" s="19" t="str">
        <f aca="false">IF(AND($C166="",T166=""),"",IF(AND(N($C166)&gt;0,N(T166)=0),"nobody marked present",IF(N($D166)&gt;N($C166),"more broken than moulded",IF(AND($C166="",N(T166)&gt;0),"attendance marked but no blocks entered",IF(AND(N($C166)&gt;0,N(U166)=0),"no pay rate for this date - see Settings",IF(SUMPRODUCT((H166:S166&lt;&gt;"")*(H$4:S$4=""))&gt;0,"attendance in an empty worker slot",""))))))</f>
        <v/>
      </c>
      <c r="Y166" s="20"/>
    </row>
    <row r="167" customFormat="false" ht="15" hidden="false" customHeight="false" outlineLevel="0" collapsed="false">
      <c r="A167" s="10" t="n">
        <v>46447</v>
      </c>
      <c r="B167" s="11" t="str">
        <f aca="false">CHOOSE(WEEKDAY($A167,2),"Mon","Tue","Wed","Thu","Fri","Sat","Sun")</f>
        <v>Mon</v>
      </c>
      <c r="C167" s="12"/>
      <c r="D167" s="12"/>
      <c r="E167" s="13" t="str">
        <f aca="false">IF($C167="","",$C167-N($D167))</f>
        <v/>
      </c>
      <c r="F167" s="13" t="str">
        <f aca="false">IF($C167="","",$C167-MAX(0,N($D167)-BreakAllow*$C167))</f>
        <v/>
      </c>
      <c r="G167" s="12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5" t="str">
        <f aca="false">IF(COUNT(H167:S167)=0,"",SUM(H167:S167))</f>
        <v/>
      </c>
      <c r="U167" s="16" t="str">
        <f aca="false">IF($C167="","",IFERROR(INDEX(RateValues,MATCH(SUMPRODUCT(MAX((RateDates&lt;=$A167)*RateDates)),RateDates,0)),0))</f>
        <v/>
      </c>
      <c r="V167" s="17" t="str">
        <f aca="false">IF($C167="","",$F167*$U167)</f>
        <v/>
      </c>
      <c r="W167" s="18" t="n">
        <f aca="false">$A167-WEEKDAY($A167,2)+1</f>
        <v>46447</v>
      </c>
      <c r="X167" s="19" t="str">
        <f aca="false">IF(AND($C167="",T167=""),"",IF(AND(N($C167)&gt;0,N(T167)=0),"nobody marked present",IF(N($D167)&gt;N($C167),"more broken than moulded",IF(AND($C167="",N(T167)&gt;0),"attendance marked but no blocks entered",IF(AND(N($C167)&gt;0,N(U167)=0),"no pay rate for this date - see Settings",IF(SUMPRODUCT((H167:S167&lt;&gt;"")*(H$4:S$4=""))&gt;0,"attendance in an empty worker slot",""))))))</f>
        <v/>
      </c>
      <c r="Y167" s="20"/>
    </row>
    <row r="168" customFormat="false" ht="15" hidden="false" customHeight="false" outlineLevel="0" collapsed="false">
      <c r="A168" s="10" t="n">
        <v>46448</v>
      </c>
      <c r="B168" s="11" t="str">
        <f aca="false">CHOOSE(WEEKDAY($A168,2),"Mon","Tue","Wed","Thu","Fri","Sat","Sun")</f>
        <v>Tue</v>
      </c>
      <c r="C168" s="12"/>
      <c r="D168" s="12"/>
      <c r="E168" s="13" t="str">
        <f aca="false">IF($C168="","",$C168-N($D168))</f>
        <v/>
      </c>
      <c r="F168" s="13" t="str">
        <f aca="false">IF($C168="","",$C168-MAX(0,N($D168)-BreakAllow*$C168))</f>
        <v/>
      </c>
      <c r="G168" s="12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5" t="str">
        <f aca="false">IF(COUNT(H168:S168)=0,"",SUM(H168:S168))</f>
        <v/>
      </c>
      <c r="U168" s="16" t="str">
        <f aca="false">IF($C168="","",IFERROR(INDEX(RateValues,MATCH(SUMPRODUCT(MAX((RateDates&lt;=$A168)*RateDates)),RateDates,0)),0))</f>
        <v/>
      </c>
      <c r="V168" s="17" t="str">
        <f aca="false">IF($C168="","",$F168*$U168)</f>
        <v/>
      </c>
      <c r="W168" s="18" t="n">
        <f aca="false">$A168-WEEKDAY($A168,2)+1</f>
        <v>46447</v>
      </c>
      <c r="X168" s="19" t="str">
        <f aca="false">IF(AND($C168="",T168=""),"",IF(AND(N($C168)&gt;0,N(T168)=0),"nobody marked present",IF(N($D168)&gt;N($C168),"more broken than moulded",IF(AND($C168="",N(T168)&gt;0),"attendance marked but no blocks entered",IF(AND(N($C168)&gt;0,N(U168)=0),"no pay rate for this date - see Settings",IF(SUMPRODUCT((H168:S168&lt;&gt;"")*(H$4:S$4=""))&gt;0,"attendance in an empty worker slot",""))))))</f>
        <v/>
      </c>
      <c r="Y168" s="20"/>
    </row>
    <row r="169" customFormat="false" ht="15" hidden="false" customHeight="false" outlineLevel="0" collapsed="false">
      <c r="A169" s="10" t="n">
        <v>46449</v>
      </c>
      <c r="B169" s="11" t="str">
        <f aca="false">CHOOSE(WEEKDAY($A169,2),"Mon","Tue","Wed","Thu","Fri","Sat","Sun")</f>
        <v>Wed</v>
      </c>
      <c r="C169" s="12"/>
      <c r="D169" s="12"/>
      <c r="E169" s="13" t="str">
        <f aca="false">IF($C169="","",$C169-N($D169))</f>
        <v/>
      </c>
      <c r="F169" s="13" t="str">
        <f aca="false">IF($C169="","",$C169-MAX(0,N($D169)-BreakAllow*$C169))</f>
        <v/>
      </c>
      <c r="G169" s="12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5" t="str">
        <f aca="false">IF(COUNT(H169:S169)=0,"",SUM(H169:S169))</f>
        <v/>
      </c>
      <c r="U169" s="16" t="str">
        <f aca="false">IF($C169="","",IFERROR(INDEX(RateValues,MATCH(SUMPRODUCT(MAX((RateDates&lt;=$A169)*RateDates)),RateDates,0)),0))</f>
        <v/>
      </c>
      <c r="V169" s="17" t="str">
        <f aca="false">IF($C169="","",$F169*$U169)</f>
        <v/>
      </c>
      <c r="W169" s="18" t="n">
        <f aca="false">$A169-WEEKDAY($A169,2)+1</f>
        <v>46447</v>
      </c>
      <c r="X169" s="19" t="str">
        <f aca="false">IF(AND($C169="",T169=""),"",IF(AND(N($C169)&gt;0,N(T169)=0),"nobody marked present",IF(N($D169)&gt;N($C169),"more broken than moulded",IF(AND($C169="",N(T169)&gt;0),"attendance marked but no blocks entered",IF(AND(N($C169)&gt;0,N(U169)=0),"no pay rate for this date - see Settings",IF(SUMPRODUCT((H169:S169&lt;&gt;"")*(H$4:S$4=""))&gt;0,"attendance in an empty worker slot",""))))))</f>
        <v/>
      </c>
      <c r="Y169" s="20"/>
    </row>
    <row r="170" customFormat="false" ht="15" hidden="false" customHeight="false" outlineLevel="0" collapsed="false">
      <c r="A170" s="10" t="n">
        <v>46450</v>
      </c>
      <c r="B170" s="11" t="str">
        <f aca="false">CHOOSE(WEEKDAY($A170,2),"Mon","Tue","Wed","Thu","Fri","Sat","Sun")</f>
        <v>Thu</v>
      </c>
      <c r="C170" s="12"/>
      <c r="D170" s="12"/>
      <c r="E170" s="13" t="str">
        <f aca="false">IF($C170="","",$C170-N($D170))</f>
        <v/>
      </c>
      <c r="F170" s="13" t="str">
        <f aca="false">IF($C170="","",$C170-MAX(0,N($D170)-BreakAllow*$C170))</f>
        <v/>
      </c>
      <c r="G170" s="12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5" t="str">
        <f aca="false">IF(COUNT(H170:S170)=0,"",SUM(H170:S170))</f>
        <v/>
      </c>
      <c r="U170" s="16" t="str">
        <f aca="false">IF($C170="","",IFERROR(INDEX(RateValues,MATCH(SUMPRODUCT(MAX((RateDates&lt;=$A170)*RateDates)),RateDates,0)),0))</f>
        <v/>
      </c>
      <c r="V170" s="17" t="str">
        <f aca="false">IF($C170="","",$F170*$U170)</f>
        <v/>
      </c>
      <c r="W170" s="18" t="n">
        <f aca="false">$A170-WEEKDAY($A170,2)+1</f>
        <v>46447</v>
      </c>
      <c r="X170" s="19" t="str">
        <f aca="false">IF(AND($C170="",T170=""),"",IF(AND(N($C170)&gt;0,N(T170)=0),"nobody marked present",IF(N($D170)&gt;N($C170),"more broken than moulded",IF(AND($C170="",N(T170)&gt;0),"attendance marked but no blocks entered",IF(AND(N($C170)&gt;0,N(U170)=0),"no pay rate for this date - see Settings",IF(SUMPRODUCT((H170:S170&lt;&gt;"")*(H$4:S$4=""))&gt;0,"attendance in an empty worker slot",""))))))</f>
        <v/>
      </c>
      <c r="Y170" s="20"/>
    </row>
    <row r="171" customFormat="false" ht="15" hidden="false" customHeight="false" outlineLevel="0" collapsed="false">
      <c r="A171" s="10" t="n">
        <v>46451</v>
      </c>
      <c r="B171" s="11" t="str">
        <f aca="false">CHOOSE(WEEKDAY($A171,2),"Mon","Tue","Wed","Thu","Fri","Sat","Sun")</f>
        <v>Fri</v>
      </c>
      <c r="C171" s="12"/>
      <c r="D171" s="12"/>
      <c r="E171" s="13" t="str">
        <f aca="false">IF($C171="","",$C171-N($D171))</f>
        <v/>
      </c>
      <c r="F171" s="13" t="str">
        <f aca="false">IF($C171="","",$C171-MAX(0,N($D171)-BreakAllow*$C171))</f>
        <v/>
      </c>
      <c r="G171" s="12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5" t="str">
        <f aca="false">IF(COUNT(H171:S171)=0,"",SUM(H171:S171))</f>
        <v/>
      </c>
      <c r="U171" s="16" t="str">
        <f aca="false">IF($C171="","",IFERROR(INDEX(RateValues,MATCH(SUMPRODUCT(MAX((RateDates&lt;=$A171)*RateDates)),RateDates,0)),0))</f>
        <v/>
      </c>
      <c r="V171" s="17" t="str">
        <f aca="false">IF($C171="","",$F171*$U171)</f>
        <v/>
      </c>
      <c r="W171" s="18" t="n">
        <f aca="false">$A171-WEEKDAY($A171,2)+1</f>
        <v>46447</v>
      </c>
      <c r="X171" s="19" t="str">
        <f aca="false">IF(AND($C171="",T171=""),"",IF(AND(N($C171)&gt;0,N(T171)=0),"nobody marked present",IF(N($D171)&gt;N($C171),"more broken than moulded",IF(AND($C171="",N(T171)&gt;0),"attendance marked but no blocks entered",IF(AND(N($C171)&gt;0,N(U171)=0),"no pay rate for this date - see Settings",IF(SUMPRODUCT((H171:S171&lt;&gt;"")*(H$4:S$4=""))&gt;0,"attendance in an empty worker slot",""))))))</f>
        <v/>
      </c>
      <c r="Y171" s="20"/>
    </row>
    <row r="172" customFormat="false" ht="15" hidden="false" customHeight="false" outlineLevel="0" collapsed="false">
      <c r="A172" s="10" t="n">
        <v>46452</v>
      </c>
      <c r="B172" s="11" t="str">
        <f aca="false">CHOOSE(WEEKDAY($A172,2),"Mon","Tue","Wed","Thu","Fri","Sat","Sun")</f>
        <v>Sat</v>
      </c>
      <c r="C172" s="12"/>
      <c r="D172" s="12"/>
      <c r="E172" s="13" t="str">
        <f aca="false">IF($C172="","",$C172-N($D172))</f>
        <v/>
      </c>
      <c r="F172" s="13" t="str">
        <f aca="false">IF($C172="","",$C172-MAX(0,N($D172)-BreakAllow*$C172))</f>
        <v/>
      </c>
      <c r="G172" s="12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5" t="str">
        <f aca="false">IF(COUNT(H172:S172)=0,"",SUM(H172:S172))</f>
        <v/>
      </c>
      <c r="U172" s="16" t="str">
        <f aca="false">IF($C172="","",IFERROR(INDEX(RateValues,MATCH(SUMPRODUCT(MAX((RateDates&lt;=$A172)*RateDates)),RateDates,0)),0))</f>
        <v/>
      </c>
      <c r="V172" s="17" t="str">
        <f aca="false">IF($C172="","",$F172*$U172)</f>
        <v/>
      </c>
      <c r="W172" s="18" t="n">
        <f aca="false">$A172-WEEKDAY($A172,2)+1</f>
        <v>46447</v>
      </c>
      <c r="X172" s="19" t="str">
        <f aca="false">IF(AND($C172="",T172=""),"",IF(AND(N($C172)&gt;0,N(T172)=0),"nobody marked present",IF(N($D172)&gt;N($C172),"more broken than moulded",IF(AND($C172="",N(T172)&gt;0),"attendance marked but no blocks entered",IF(AND(N($C172)&gt;0,N(U172)=0),"no pay rate for this date - see Settings",IF(SUMPRODUCT((H172:S172&lt;&gt;"")*(H$4:S$4=""))&gt;0,"attendance in an empty worker slot",""))))))</f>
        <v/>
      </c>
      <c r="Y172" s="20"/>
    </row>
    <row r="173" customFormat="false" ht="15" hidden="false" customHeight="false" outlineLevel="0" collapsed="false">
      <c r="A173" s="21" t="n">
        <v>46453</v>
      </c>
      <c r="B173" s="22" t="str">
        <f aca="false">CHOOSE(WEEKDAY($A173,2),"Mon","Tue","Wed","Thu","Fri","Sat","Sun")</f>
        <v>Sun</v>
      </c>
      <c r="C173" s="12"/>
      <c r="D173" s="12"/>
      <c r="E173" s="13" t="str">
        <f aca="false">IF($C173="","",$C173-N($D173))</f>
        <v/>
      </c>
      <c r="F173" s="13" t="str">
        <f aca="false">IF($C173="","",$C173-MAX(0,N($D173)-BreakAllow*$C173))</f>
        <v/>
      </c>
      <c r="G173" s="12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5" t="str">
        <f aca="false">IF(COUNT(H173:S173)=0,"",SUM(H173:S173))</f>
        <v/>
      </c>
      <c r="U173" s="16" t="str">
        <f aca="false">IF($C173="","",IFERROR(INDEX(RateValues,MATCH(SUMPRODUCT(MAX((RateDates&lt;=$A173)*RateDates)),RateDates,0)),0))</f>
        <v/>
      </c>
      <c r="V173" s="17" t="str">
        <f aca="false">IF($C173="","",$F173*$U173)</f>
        <v/>
      </c>
      <c r="W173" s="18" t="n">
        <f aca="false">$A173-WEEKDAY($A173,2)+1</f>
        <v>46447</v>
      </c>
      <c r="X173" s="19" t="str">
        <f aca="false">IF(AND($C173="",T173=""),"",IF(AND(N($C173)&gt;0,N(T173)=0),"nobody marked present",IF(N($D173)&gt;N($C173),"more broken than moulded",IF(AND($C173="",N(T173)&gt;0),"attendance marked but no blocks entered",IF(AND(N($C173)&gt;0,N(U173)=0),"no pay rate for this date - see Settings",IF(SUMPRODUCT((H173:S173&lt;&gt;"")*(H$4:S$4=""))&gt;0,"attendance in an empty worker slot",""))))))</f>
        <v/>
      </c>
      <c r="Y173" s="20"/>
    </row>
    <row r="174" customFormat="false" ht="15" hidden="false" customHeight="false" outlineLevel="0" collapsed="false">
      <c r="A174" s="10" t="n">
        <v>46454</v>
      </c>
      <c r="B174" s="11" t="str">
        <f aca="false">CHOOSE(WEEKDAY($A174,2),"Mon","Tue","Wed","Thu","Fri","Sat","Sun")</f>
        <v>Mon</v>
      </c>
      <c r="C174" s="12"/>
      <c r="D174" s="12"/>
      <c r="E174" s="13" t="str">
        <f aca="false">IF($C174="","",$C174-N($D174))</f>
        <v/>
      </c>
      <c r="F174" s="13" t="str">
        <f aca="false">IF($C174="","",$C174-MAX(0,N($D174)-BreakAllow*$C174))</f>
        <v/>
      </c>
      <c r="G174" s="12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5" t="str">
        <f aca="false">IF(COUNT(H174:S174)=0,"",SUM(H174:S174))</f>
        <v/>
      </c>
      <c r="U174" s="16" t="str">
        <f aca="false">IF($C174="","",IFERROR(INDEX(RateValues,MATCH(SUMPRODUCT(MAX((RateDates&lt;=$A174)*RateDates)),RateDates,0)),0))</f>
        <v/>
      </c>
      <c r="V174" s="17" t="str">
        <f aca="false">IF($C174="","",$F174*$U174)</f>
        <v/>
      </c>
      <c r="W174" s="18" t="n">
        <f aca="false">$A174-WEEKDAY($A174,2)+1</f>
        <v>46454</v>
      </c>
      <c r="X174" s="19" t="str">
        <f aca="false">IF(AND($C174="",T174=""),"",IF(AND(N($C174)&gt;0,N(T174)=0),"nobody marked present",IF(N($D174)&gt;N($C174),"more broken than moulded",IF(AND($C174="",N(T174)&gt;0),"attendance marked but no blocks entered",IF(AND(N($C174)&gt;0,N(U174)=0),"no pay rate for this date - see Settings",IF(SUMPRODUCT((H174:S174&lt;&gt;"")*(H$4:S$4=""))&gt;0,"attendance in an empty worker slot",""))))))</f>
        <v/>
      </c>
      <c r="Y174" s="20"/>
    </row>
    <row r="175" customFormat="false" ht="15" hidden="false" customHeight="false" outlineLevel="0" collapsed="false">
      <c r="A175" s="10" t="n">
        <v>46455</v>
      </c>
      <c r="B175" s="11" t="str">
        <f aca="false">CHOOSE(WEEKDAY($A175,2),"Mon","Tue","Wed","Thu","Fri","Sat","Sun")</f>
        <v>Tue</v>
      </c>
      <c r="C175" s="12"/>
      <c r="D175" s="12"/>
      <c r="E175" s="13" t="str">
        <f aca="false">IF($C175="","",$C175-N($D175))</f>
        <v/>
      </c>
      <c r="F175" s="13" t="str">
        <f aca="false">IF($C175="","",$C175-MAX(0,N($D175)-BreakAllow*$C175))</f>
        <v/>
      </c>
      <c r="G175" s="12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5" t="str">
        <f aca="false">IF(COUNT(H175:S175)=0,"",SUM(H175:S175))</f>
        <v/>
      </c>
      <c r="U175" s="16" t="str">
        <f aca="false">IF($C175="","",IFERROR(INDEX(RateValues,MATCH(SUMPRODUCT(MAX((RateDates&lt;=$A175)*RateDates)),RateDates,0)),0))</f>
        <v/>
      </c>
      <c r="V175" s="17" t="str">
        <f aca="false">IF($C175="","",$F175*$U175)</f>
        <v/>
      </c>
      <c r="W175" s="18" t="n">
        <f aca="false">$A175-WEEKDAY($A175,2)+1</f>
        <v>46454</v>
      </c>
      <c r="X175" s="19" t="str">
        <f aca="false">IF(AND($C175="",T175=""),"",IF(AND(N($C175)&gt;0,N(T175)=0),"nobody marked present",IF(N($D175)&gt;N($C175),"more broken than moulded",IF(AND($C175="",N(T175)&gt;0),"attendance marked but no blocks entered",IF(AND(N($C175)&gt;0,N(U175)=0),"no pay rate for this date - see Settings",IF(SUMPRODUCT((H175:S175&lt;&gt;"")*(H$4:S$4=""))&gt;0,"attendance in an empty worker slot",""))))))</f>
        <v/>
      </c>
      <c r="Y175" s="20"/>
    </row>
    <row r="176" customFormat="false" ht="15" hidden="false" customHeight="false" outlineLevel="0" collapsed="false">
      <c r="A176" s="10" t="n">
        <v>46456</v>
      </c>
      <c r="B176" s="11" t="str">
        <f aca="false">CHOOSE(WEEKDAY($A176,2),"Mon","Tue","Wed","Thu","Fri","Sat","Sun")</f>
        <v>Wed</v>
      </c>
      <c r="C176" s="12"/>
      <c r="D176" s="12"/>
      <c r="E176" s="13" t="str">
        <f aca="false">IF($C176="","",$C176-N($D176))</f>
        <v/>
      </c>
      <c r="F176" s="13" t="str">
        <f aca="false">IF($C176="","",$C176-MAX(0,N($D176)-BreakAllow*$C176))</f>
        <v/>
      </c>
      <c r="G176" s="12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5" t="str">
        <f aca="false">IF(COUNT(H176:S176)=0,"",SUM(H176:S176))</f>
        <v/>
      </c>
      <c r="U176" s="16" t="str">
        <f aca="false">IF($C176="","",IFERROR(INDEX(RateValues,MATCH(SUMPRODUCT(MAX((RateDates&lt;=$A176)*RateDates)),RateDates,0)),0))</f>
        <v/>
      </c>
      <c r="V176" s="17" t="str">
        <f aca="false">IF($C176="","",$F176*$U176)</f>
        <v/>
      </c>
      <c r="W176" s="18" t="n">
        <f aca="false">$A176-WEEKDAY($A176,2)+1</f>
        <v>46454</v>
      </c>
      <c r="X176" s="19" t="str">
        <f aca="false">IF(AND($C176="",T176=""),"",IF(AND(N($C176)&gt;0,N(T176)=0),"nobody marked present",IF(N($D176)&gt;N($C176),"more broken than moulded",IF(AND($C176="",N(T176)&gt;0),"attendance marked but no blocks entered",IF(AND(N($C176)&gt;0,N(U176)=0),"no pay rate for this date - see Settings",IF(SUMPRODUCT((H176:S176&lt;&gt;"")*(H$4:S$4=""))&gt;0,"attendance in an empty worker slot",""))))))</f>
        <v/>
      </c>
      <c r="Y176" s="20"/>
    </row>
    <row r="177" customFormat="false" ht="15" hidden="false" customHeight="false" outlineLevel="0" collapsed="false">
      <c r="A177" s="10" t="n">
        <v>46457</v>
      </c>
      <c r="B177" s="11" t="str">
        <f aca="false">CHOOSE(WEEKDAY($A177,2),"Mon","Tue","Wed","Thu","Fri","Sat","Sun")</f>
        <v>Thu</v>
      </c>
      <c r="C177" s="12"/>
      <c r="D177" s="12"/>
      <c r="E177" s="13" t="str">
        <f aca="false">IF($C177="","",$C177-N($D177))</f>
        <v/>
      </c>
      <c r="F177" s="13" t="str">
        <f aca="false">IF($C177="","",$C177-MAX(0,N($D177)-BreakAllow*$C177))</f>
        <v/>
      </c>
      <c r="G177" s="12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5" t="str">
        <f aca="false">IF(COUNT(H177:S177)=0,"",SUM(H177:S177))</f>
        <v/>
      </c>
      <c r="U177" s="16" t="str">
        <f aca="false">IF($C177="","",IFERROR(INDEX(RateValues,MATCH(SUMPRODUCT(MAX((RateDates&lt;=$A177)*RateDates)),RateDates,0)),0))</f>
        <v/>
      </c>
      <c r="V177" s="17" t="str">
        <f aca="false">IF($C177="","",$F177*$U177)</f>
        <v/>
      </c>
      <c r="W177" s="18" t="n">
        <f aca="false">$A177-WEEKDAY($A177,2)+1</f>
        <v>46454</v>
      </c>
      <c r="X177" s="19" t="str">
        <f aca="false">IF(AND($C177="",T177=""),"",IF(AND(N($C177)&gt;0,N(T177)=0),"nobody marked present",IF(N($D177)&gt;N($C177),"more broken than moulded",IF(AND($C177="",N(T177)&gt;0),"attendance marked but no blocks entered",IF(AND(N($C177)&gt;0,N(U177)=0),"no pay rate for this date - see Settings",IF(SUMPRODUCT((H177:S177&lt;&gt;"")*(H$4:S$4=""))&gt;0,"attendance in an empty worker slot",""))))))</f>
        <v/>
      </c>
      <c r="Y177" s="20"/>
    </row>
    <row r="178" customFormat="false" ht="15" hidden="false" customHeight="false" outlineLevel="0" collapsed="false">
      <c r="A178" s="10" t="n">
        <v>46458</v>
      </c>
      <c r="B178" s="11" t="str">
        <f aca="false">CHOOSE(WEEKDAY($A178,2),"Mon","Tue","Wed","Thu","Fri","Sat","Sun")</f>
        <v>Fri</v>
      </c>
      <c r="C178" s="12"/>
      <c r="D178" s="12"/>
      <c r="E178" s="13" t="str">
        <f aca="false">IF($C178="","",$C178-N($D178))</f>
        <v/>
      </c>
      <c r="F178" s="13" t="str">
        <f aca="false">IF($C178="","",$C178-MAX(0,N($D178)-BreakAllow*$C178))</f>
        <v/>
      </c>
      <c r="G178" s="12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5" t="str">
        <f aca="false">IF(COUNT(H178:S178)=0,"",SUM(H178:S178))</f>
        <v/>
      </c>
      <c r="U178" s="16" t="str">
        <f aca="false">IF($C178="","",IFERROR(INDEX(RateValues,MATCH(SUMPRODUCT(MAX((RateDates&lt;=$A178)*RateDates)),RateDates,0)),0))</f>
        <v/>
      </c>
      <c r="V178" s="17" t="str">
        <f aca="false">IF($C178="","",$F178*$U178)</f>
        <v/>
      </c>
      <c r="W178" s="18" t="n">
        <f aca="false">$A178-WEEKDAY($A178,2)+1</f>
        <v>46454</v>
      </c>
      <c r="X178" s="19" t="str">
        <f aca="false">IF(AND($C178="",T178=""),"",IF(AND(N($C178)&gt;0,N(T178)=0),"nobody marked present",IF(N($D178)&gt;N($C178),"more broken than moulded",IF(AND($C178="",N(T178)&gt;0),"attendance marked but no blocks entered",IF(AND(N($C178)&gt;0,N(U178)=0),"no pay rate for this date - see Settings",IF(SUMPRODUCT((H178:S178&lt;&gt;"")*(H$4:S$4=""))&gt;0,"attendance in an empty worker slot",""))))))</f>
        <v/>
      </c>
      <c r="Y178" s="20"/>
    </row>
    <row r="179" customFormat="false" ht="15" hidden="false" customHeight="false" outlineLevel="0" collapsed="false">
      <c r="A179" s="10" t="n">
        <v>46459</v>
      </c>
      <c r="B179" s="11" t="str">
        <f aca="false">CHOOSE(WEEKDAY($A179,2),"Mon","Tue","Wed","Thu","Fri","Sat","Sun")</f>
        <v>Sat</v>
      </c>
      <c r="C179" s="12"/>
      <c r="D179" s="12"/>
      <c r="E179" s="13" t="str">
        <f aca="false">IF($C179="","",$C179-N($D179))</f>
        <v/>
      </c>
      <c r="F179" s="13" t="str">
        <f aca="false">IF($C179="","",$C179-MAX(0,N($D179)-BreakAllow*$C179))</f>
        <v/>
      </c>
      <c r="G179" s="12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5" t="str">
        <f aca="false">IF(COUNT(H179:S179)=0,"",SUM(H179:S179))</f>
        <v/>
      </c>
      <c r="U179" s="16" t="str">
        <f aca="false">IF($C179="","",IFERROR(INDEX(RateValues,MATCH(SUMPRODUCT(MAX((RateDates&lt;=$A179)*RateDates)),RateDates,0)),0))</f>
        <v/>
      </c>
      <c r="V179" s="17" t="str">
        <f aca="false">IF($C179="","",$F179*$U179)</f>
        <v/>
      </c>
      <c r="W179" s="18" t="n">
        <f aca="false">$A179-WEEKDAY($A179,2)+1</f>
        <v>46454</v>
      </c>
      <c r="X179" s="19" t="str">
        <f aca="false">IF(AND($C179="",T179=""),"",IF(AND(N($C179)&gt;0,N(T179)=0),"nobody marked present",IF(N($D179)&gt;N($C179),"more broken than moulded",IF(AND($C179="",N(T179)&gt;0),"attendance marked but no blocks entered",IF(AND(N($C179)&gt;0,N(U179)=0),"no pay rate for this date - see Settings",IF(SUMPRODUCT((H179:S179&lt;&gt;"")*(H$4:S$4=""))&gt;0,"attendance in an empty worker slot",""))))))</f>
        <v/>
      </c>
      <c r="Y179" s="20"/>
    </row>
    <row r="180" customFormat="false" ht="15" hidden="false" customHeight="false" outlineLevel="0" collapsed="false">
      <c r="A180" s="21" t="n">
        <v>46460</v>
      </c>
      <c r="B180" s="22" t="str">
        <f aca="false">CHOOSE(WEEKDAY($A180,2),"Mon","Tue","Wed","Thu","Fri","Sat","Sun")</f>
        <v>Sun</v>
      </c>
      <c r="C180" s="12"/>
      <c r="D180" s="12"/>
      <c r="E180" s="13" t="str">
        <f aca="false">IF($C180="","",$C180-N($D180))</f>
        <v/>
      </c>
      <c r="F180" s="13" t="str">
        <f aca="false">IF($C180="","",$C180-MAX(0,N($D180)-BreakAllow*$C180))</f>
        <v/>
      </c>
      <c r="G180" s="12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5" t="str">
        <f aca="false">IF(COUNT(H180:S180)=0,"",SUM(H180:S180))</f>
        <v/>
      </c>
      <c r="U180" s="16" t="str">
        <f aca="false">IF($C180="","",IFERROR(INDEX(RateValues,MATCH(SUMPRODUCT(MAX((RateDates&lt;=$A180)*RateDates)),RateDates,0)),0))</f>
        <v/>
      </c>
      <c r="V180" s="17" t="str">
        <f aca="false">IF($C180="","",$F180*$U180)</f>
        <v/>
      </c>
      <c r="W180" s="18" t="n">
        <f aca="false">$A180-WEEKDAY($A180,2)+1</f>
        <v>46454</v>
      </c>
      <c r="X180" s="19" t="str">
        <f aca="false">IF(AND($C180="",T180=""),"",IF(AND(N($C180)&gt;0,N(T180)=0),"nobody marked present",IF(N($D180)&gt;N($C180),"more broken than moulded",IF(AND($C180="",N(T180)&gt;0),"attendance marked but no blocks entered",IF(AND(N($C180)&gt;0,N(U180)=0),"no pay rate for this date - see Settings",IF(SUMPRODUCT((H180:S180&lt;&gt;"")*(H$4:S$4=""))&gt;0,"attendance in an empty worker slot",""))))))</f>
        <v/>
      </c>
      <c r="Y180" s="20"/>
    </row>
    <row r="181" customFormat="false" ht="15" hidden="false" customHeight="false" outlineLevel="0" collapsed="false">
      <c r="A181" s="10" t="n">
        <v>46461</v>
      </c>
      <c r="B181" s="11" t="str">
        <f aca="false">CHOOSE(WEEKDAY($A181,2),"Mon","Tue","Wed","Thu","Fri","Sat","Sun")</f>
        <v>Mon</v>
      </c>
      <c r="C181" s="12"/>
      <c r="D181" s="12"/>
      <c r="E181" s="13" t="str">
        <f aca="false">IF($C181="","",$C181-N($D181))</f>
        <v/>
      </c>
      <c r="F181" s="13" t="str">
        <f aca="false">IF($C181="","",$C181-MAX(0,N($D181)-BreakAllow*$C181))</f>
        <v/>
      </c>
      <c r="G181" s="12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5" t="str">
        <f aca="false">IF(COUNT(H181:S181)=0,"",SUM(H181:S181))</f>
        <v/>
      </c>
      <c r="U181" s="16" t="str">
        <f aca="false">IF($C181="","",IFERROR(INDEX(RateValues,MATCH(SUMPRODUCT(MAX((RateDates&lt;=$A181)*RateDates)),RateDates,0)),0))</f>
        <v/>
      </c>
      <c r="V181" s="17" t="str">
        <f aca="false">IF($C181="","",$F181*$U181)</f>
        <v/>
      </c>
      <c r="W181" s="18" t="n">
        <f aca="false">$A181-WEEKDAY($A181,2)+1</f>
        <v>46461</v>
      </c>
      <c r="X181" s="19" t="str">
        <f aca="false">IF(AND($C181="",T181=""),"",IF(AND(N($C181)&gt;0,N(T181)=0),"nobody marked present",IF(N($D181)&gt;N($C181),"more broken than moulded",IF(AND($C181="",N(T181)&gt;0),"attendance marked but no blocks entered",IF(AND(N($C181)&gt;0,N(U181)=0),"no pay rate for this date - see Settings",IF(SUMPRODUCT((H181:S181&lt;&gt;"")*(H$4:S$4=""))&gt;0,"attendance in an empty worker slot",""))))))</f>
        <v/>
      </c>
      <c r="Y181" s="20"/>
    </row>
    <row r="182" customFormat="false" ht="15" hidden="false" customHeight="false" outlineLevel="0" collapsed="false">
      <c r="A182" s="10" t="n">
        <v>46462</v>
      </c>
      <c r="B182" s="11" t="str">
        <f aca="false">CHOOSE(WEEKDAY($A182,2),"Mon","Tue","Wed","Thu","Fri","Sat","Sun")</f>
        <v>Tue</v>
      </c>
      <c r="C182" s="12"/>
      <c r="D182" s="12"/>
      <c r="E182" s="13" t="str">
        <f aca="false">IF($C182="","",$C182-N($D182))</f>
        <v/>
      </c>
      <c r="F182" s="13" t="str">
        <f aca="false">IF($C182="","",$C182-MAX(0,N($D182)-BreakAllow*$C182))</f>
        <v/>
      </c>
      <c r="G182" s="12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5" t="str">
        <f aca="false">IF(COUNT(H182:S182)=0,"",SUM(H182:S182))</f>
        <v/>
      </c>
      <c r="U182" s="16" t="str">
        <f aca="false">IF($C182="","",IFERROR(INDEX(RateValues,MATCH(SUMPRODUCT(MAX((RateDates&lt;=$A182)*RateDates)),RateDates,0)),0))</f>
        <v/>
      </c>
      <c r="V182" s="17" t="str">
        <f aca="false">IF($C182="","",$F182*$U182)</f>
        <v/>
      </c>
      <c r="W182" s="18" t="n">
        <f aca="false">$A182-WEEKDAY($A182,2)+1</f>
        <v>46461</v>
      </c>
      <c r="X182" s="19" t="str">
        <f aca="false">IF(AND($C182="",T182=""),"",IF(AND(N($C182)&gt;0,N(T182)=0),"nobody marked present",IF(N($D182)&gt;N($C182),"more broken than moulded",IF(AND($C182="",N(T182)&gt;0),"attendance marked but no blocks entered",IF(AND(N($C182)&gt;0,N(U182)=0),"no pay rate for this date - see Settings",IF(SUMPRODUCT((H182:S182&lt;&gt;"")*(H$4:S$4=""))&gt;0,"attendance in an empty worker slot",""))))))</f>
        <v/>
      </c>
      <c r="Y182" s="20"/>
    </row>
    <row r="183" customFormat="false" ht="15" hidden="false" customHeight="false" outlineLevel="0" collapsed="false">
      <c r="A183" s="10" t="n">
        <v>46463</v>
      </c>
      <c r="B183" s="11" t="str">
        <f aca="false">CHOOSE(WEEKDAY($A183,2),"Mon","Tue","Wed","Thu","Fri","Sat","Sun")</f>
        <v>Wed</v>
      </c>
      <c r="C183" s="12"/>
      <c r="D183" s="12"/>
      <c r="E183" s="13" t="str">
        <f aca="false">IF($C183="","",$C183-N($D183))</f>
        <v/>
      </c>
      <c r="F183" s="13" t="str">
        <f aca="false">IF($C183="","",$C183-MAX(0,N($D183)-BreakAllow*$C183))</f>
        <v/>
      </c>
      <c r="G183" s="12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5" t="str">
        <f aca="false">IF(COUNT(H183:S183)=0,"",SUM(H183:S183))</f>
        <v/>
      </c>
      <c r="U183" s="16" t="str">
        <f aca="false">IF($C183="","",IFERROR(INDEX(RateValues,MATCH(SUMPRODUCT(MAX((RateDates&lt;=$A183)*RateDates)),RateDates,0)),0))</f>
        <v/>
      </c>
      <c r="V183" s="17" t="str">
        <f aca="false">IF($C183="","",$F183*$U183)</f>
        <v/>
      </c>
      <c r="W183" s="18" t="n">
        <f aca="false">$A183-WEEKDAY($A183,2)+1</f>
        <v>46461</v>
      </c>
      <c r="X183" s="19" t="str">
        <f aca="false">IF(AND($C183="",T183=""),"",IF(AND(N($C183)&gt;0,N(T183)=0),"nobody marked present",IF(N($D183)&gt;N($C183),"more broken than moulded",IF(AND($C183="",N(T183)&gt;0),"attendance marked but no blocks entered",IF(AND(N($C183)&gt;0,N(U183)=0),"no pay rate for this date - see Settings",IF(SUMPRODUCT((H183:S183&lt;&gt;"")*(H$4:S$4=""))&gt;0,"attendance in an empty worker slot",""))))))</f>
        <v/>
      </c>
      <c r="Y183" s="20"/>
    </row>
    <row r="184" customFormat="false" ht="15" hidden="false" customHeight="false" outlineLevel="0" collapsed="false">
      <c r="A184" s="10" t="n">
        <v>46464</v>
      </c>
      <c r="B184" s="11" t="str">
        <f aca="false">CHOOSE(WEEKDAY($A184,2),"Mon","Tue","Wed","Thu","Fri","Sat","Sun")</f>
        <v>Thu</v>
      </c>
      <c r="C184" s="12"/>
      <c r="D184" s="12"/>
      <c r="E184" s="13" t="str">
        <f aca="false">IF($C184="","",$C184-N($D184))</f>
        <v/>
      </c>
      <c r="F184" s="13" t="str">
        <f aca="false">IF($C184="","",$C184-MAX(0,N($D184)-BreakAllow*$C184))</f>
        <v/>
      </c>
      <c r="G184" s="12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5" t="str">
        <f aca="false">IF(COUNT(H184:S184)=0,"",SUM(H184:S184))</f>
        <v/>
      </c>
      <c r="U184" s="16" t="str">
        <f aca="false">IF($C184="","",IFERROR(INDEX(RateValues,MATCH(SUMPRODUCT(MAX((RateDates&lt;=$A184)*RateDates)),RateDates,0)),0))</f>
        <v/>
      </c>
      <c r="V184" s="17" t="str">
        <f aca="false">IF($C184="","",$F184*$U184)</f>
        <v/>
      </c>
      <c r="W184" s="18" t="n">
        <f aca="false">$A184-WEEKDAY($A184,2)+1</f>
        <v>46461</v>
      </c>
      <c r="X184" s="19" t="str">
        <f aca="false">IF(AND($C184="",T184=""),"",IF(AND(N($C184)&gt;0,N(T184)=0),"nobody marked present",IF(N($D184)&gt;N($C184),"more broken than moulded",IF(AND($C184="",N(T184)&gt;0),"attendance marked but no blocks entered",IF(AND(N($C184)&gt;0,N(U184)=0),"no pay rate for this date - see Settings",IF(SUMPRODUCT((H184:S184&lt;&gt;"")*(H$4:S$4=""))&gt;0,"attendance in an empty worker slot",""))))))</f>
        <v/>
      </c>
      <c r="Y184" s="20"/>
    </row>
    <row r="185" customFormat="false" ht="15" hidden="false" customHeight="false" outlineLevel="0" collapsed="false">
      <c r="A185" s="10" t="n">
        <v>46465</v>
      </c>
      <c r="B185" s="11" t="str">
        <f aca="false">CHOOSE(WEEKDAY($A185,2),"Mon","Tue","Wed","Thu","Fri","Sat","Sun")</f>
        <v>Fri</v>
      </c>
      <c r="C185" s="12"/>
      <c r="D185" s="12"/>
      <c r="E185" s="13" t="str">
        <f aca="false">IF($C185="","",$C185-N($D185))</f>
        <v/>
      </c>
      <c r="F185" s="13" t="str">
        <f aca="false">IF($C185="","",$C185-MAX(0,N($D185)-BreakAllow*$C185))</f>
        <v/>
      </c>
      <c r="G185" s="12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5" t="str">
        <f aca="false">IF(COUNT(H185:S185)=0,"",SUM(H185:S185))</f>
        <v/>
      </c>
      <c r="U185" s="16" t="str">
        <f aca="false">IF($C185="","",IFERROR(INDEX(RateValues,MATCH(SUMPRODUCT(MAX((RateDates&lt;=$A185)*RateDates)),RateDates,0)),0))</f>
        <v/>
      </c>
      <c r="V185" s="17" t="str">
        <f aca="false">IF($C185="","",$F185*$U185)</f>
        <v/>
      </c>
      <c r="W185" s="18" t="n">
        <f aca="false">$A185-WEEKDAY($A185,2)+1</f>
        <v>46461</v>
      </c>
      <c r="X185" s="19" t="str">
        <f aca="false">IF(AND($C185="",T185=""),"",IF(AND(N($C185)&gt;0,N(T185)=0),"nobody marked present",IF(N($D185)&gt;N($C185),"more broken than moulded",IF(AND($C185="",N(T185)&gt;0),"attendance marked but no blocks entered",IF(AND(N($C185)&gt;0,N(U185)=0),"no pay rate for this date - see Settings",IF(SUMPRODUCT((H185:S185&lt;&gt;"")*(H$4:S$4=""))&gt;0,"attendance in an empty worker slot",""))))))</f>
        <v/>
      </c>
      <c r="Y185" s="20"/>
    </row>
    <row r="186" customFormat="false" ht="15" hidden="false" customHeight="false" outlineLevel="0" collapsed="false">
      <c r="A186" s="10" t="n">
        <v>46466</v>
      </c>
      <c r="B186" s="11" t="str">
        <f aca="false">CHOOSE(WEEKDAY($A186,2),"Mon","Tue","Wed","Thu","Fri","Sat","Sun")</f>
        <v>Sat</v>
      </c>
      <c r="C186" s="12"/>
      <c r="D186" s="12"/>
      <c r="E186" s="13" t="str">
        <f aca="false">IF($C186="","",$C186-N($D186))</f>
        <v/>
      </c>
      <c r="F186" s="13" t="str">
        <f aca="false">IF($C186="","",$C186-MAX(0,N($D186)-BreakAllow*$C186))</f>
        <v/>
      </c>
      <c r="G186" s="12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5" t="str">
        <f aca="false">IF(COUNT(H186:S186)=0,"",SUM(H186:S186))</f>
        <v/>
      </c>
      <c r="U186" s="16" t="str">
        <f aca="false">IF($C186="","",IFERROR(INDEX(RateValues,MATCH(SUMPRODUCT(MAX((RateDates&lt;=$A186)*RateDates)),RateDates,0)),0))</f>
        <v/>
      </c>
      <c r="V186" s="17" t="str">
        <f aca="false">IF($C186="","",$F186*$U186)</f>
        <v/>
      </c>
      <c r="W186" s="18" t="n">
        <f aca="false">$A186-WEEKDAY($A186,2)+1</f>
        <v>46461</v>
      </c>
      <c r="X186" s="19" t="str">
        <f aca="false">IF(AND($C186="",T186=""),"",IF(AND(N($C186)&gt;0,N(T186)=0),"nobody marked present",IF(N($D186)&gt;N($C186),"more broken than moulded",IF(AND($C186="",N(T186)&gt;0),"attendance marked but no blocks entered",IF(AND(N($C186)&gt;0,N(U186)=0),"no pay rate for this date - see Settings",IF(SUMPRODUCT((H186:S186&lt;&gt;"")*(H$4:S$4=""))&gt;0,"attendance in an empty worker slot",""))))))</f>
        <v/>
      </c>
      <c r="Y186" s="20"/>
    </row>
    <row r="187" customFormat="false" ht="15" hidden="false" customHeight="false" outlineLevel="0" collapsed="false">
      <c r="A187" s="21" t="n">
        <v>46467</v>
      </c>
      <c r="B187" s="22" t="str">
        <f aca="false">CHOOSE(WEEKDAY($A187,2),"Mon","Tue","Wed","Thu","Fri","Sat","Sun")</f>
        <v>Sun</v>
      </c>
      <c r="C187" s="12"/>
      <c r="D187" s="12"/>
      <c r="E187" s="13" t="str">
        <f aca="false">IF($C187="","",$C187-N($D187))</f>
        <v/>
      </c>
      <c r="F187" s="13" t="str">
        <f aca="false">IF($C187="","",$C187-MAX(0,N($D187)-BreakAllow*$C187))</f>
        <v/>
      </c>
      <c r="G187" s="12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5" t="str">
        <f aca="false">IF(COUNT(H187:S187)=0,"",SUM(H187:S187))</f>
        <v/>
      </c>
      <c r="U187" s="16" t="str">
        <f aca="false">IF($C187="","",IFERROR(INDEX(RateValues,MATCH(SUMPRODUCT(MAX((RateDates&lt;=$A187)*RateDates)),RateDates,0)),0))</f>
        <v/>
      </c>
      <c r="V187" s="17" t="str">
        <f aca="false">IF($C187="","",$F187*$U187)</f>
        <v/>
      </c>
      <c r="W187" s="18" t="n">
        <f aca="false">$A187-WEEKDAY($A187,2)+1</f>
        <v>46461</v>
      </c>
      <c r="X187" s="19" t="str">
        <f aca="false">IF(AND($C187="",T187=""),"",IF(AND(N($C187)&gt;0,N(T187)=0),"nobody marked present",IF(N($D187)&gt;N($C187),"more broken than moulded",IF(AND($C187="",N(T187)&gt;0),"attendance marked but no blocks entered",IF(AND(N($C187)&gt;0,N(U187)=0),"no pay rate for this date - see Settings",IF(SUMPRODUCT((H187:S187&lt;&gt;"")*(H$4:S$4=""))&gt;0,"attendance in an empty worker slot",""))))))</f>
        <v/>
      </c>
      <c r="Y187" s="20"/>
    </row>
    <row r="188" customFormat="false" ht="15" hidden="false" customHeight="false" outlineLevel="0" collapsed="false">
      <c r="A188" s="10" t="n">
        <v>46468</v>
      </c>
      <c r="B188" s="11" t="str">
        <f aca="false">CHOOSE(WEEKDAY($A188,2),"Mon","Tue","Wed","Thu","Fri","Sat","Sun")</f>
        <v>Mon</v>
      </c>
      <c r="C188" s="12"/>
      <c r="D188" s="12"/>
      <c r="E188" s="13" t="str">
        <f aca="false">IF($C188="","",$C188-N($D188))</f>
        <v/>
      </c>
      <c r="F188" s="13" t="str">
        <f aca="false">IF($C188="","",$C188-MAX(0,N($D188)-BreakAllow*$C188))</f>
        <v/>
      </c>
      <c r="G188" s="12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5" t="str">
        <f aca="false">IF(COUNT(H188:S188)=0,"",SUM(H188:S188))</f>
        <v/>
      </c>
      <c r="U188" s="16" t="str">
        <f aca="false">IF($C188="","",IFERROR(INDEX(RateValues,MATCH(SUMPRODUCT(MAX((RateDates&lt;=$A188)*RateDates)),RateDates,0)),0))</f>
        <v/>
      </c>
      <c r="V188" s="17" t="str">
        <f aca="false">IF($C188="","",$F188*$U188)</f>
        <v/>
      </c>
      <c r="W188" s="18" t="n">
        <f aca="false">$A188-WEEKDAY($A188,2)+1</f>
        <v>46468</v>
      </c>
      <c r="X188" s="19" t="str">
        <f aca="false">IF(AND($C188="",T188=""),"",IF(AND(N($C188)&gt;0,N(T188)=0),"nobody marked present",IF(N($D188)&gt;N($C188),"more broken than moulded",IF(AND($C188="",N(T188)&gt;0),"attendance marked but no blocks entered",IF(AND(N($C188)&gt;0,N(U188)=0),"no pay rate for this date - see Settings",IF(SUMPRODUCT((H188:S188&lt;&gt;"")*(H$4:S$4=""))&gt;0,"attendance in an empty worker slot",""))))))</f>
        <v/>
      </c>
      <c r="Y188" s="20"/>
    </row>
    <row r="189" customFormat="false" ht="15" hidden="false" customHeight="false" outlineLevel="0" collapsed="false">
      <c r="A189" s="10" t="n">
        <v>46469</v>
      </c>
      <c r="B189" s="11" t="str">
        <f aca="false">CHOOSE(WEEKDAY($A189,2),"Mon","Tue","Wed","Thu","Fri","Sat","Sun")</f>
        <v>Tue</v>
      </c>
      <c r="C189" s="12"/>
      <c r="D189" s="12"/>
      <c r="E189" s="13" t="str">
        <f aca="false">IF($C189="","",$C189-N($D189))</f>
        <v/>
      </c>
      <c r="F189" s="13" t="str">
        <f aca="false">IF($C189="","",$C189-MAX(0,N($D189)-BreakAllow*$C189))</f>
        <v/>
      </c>
      <c r="G189" s="12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5" t="str">
        <f aca="false">IF(COUNT(H189:S189)=0,"",SUM(H189:S189))</f>
        <v/>
      </c>
      <c r="U189" s="16" t="str">
        <f aca="false">IF($C189="","",IFERROR(INDEX(RateValues,MATCH(SUMPRODUCT(MAX((RateDates&lt;=$A189)*RateDates)),RateDates,0)),0))</f>
        <v/>
      </c>
      <c r="V189" s="17" t="str">
        <f aca="false">IF($C189="","",$F189*$U189)</f>
        <v/>
      </c>
      <c r="W189" s="18" t="n">
        <f aca="false">$A189-WEEKDAY($A189,2)+1</f>
        <v>46468</v>
      </c>
      <c r="X189" s="19" t="str">
        <f aca="false">IF(AND($C189="",T189=""),"",IF(AND(N($C189)&gt;0,N(T189)=0),"nobody marked present",IF(N($D189)&gt;N($C189),"more broken than moulded",IF(AND($C189="",N(T189)&gt;0),"attendance marked but no blocks entered",IF(AND(N($C189)&gt;0,N(U189)=0),"no pay rate for this date - see Settings",IF(SUMPRODUCT((H189:S189&lt;&gt;"")*(H$4:S$4=""))&gt;0,"attendance in an empty worker slot",""))))))</f>
        <v/>
      </c>
      <c r="Y189" s="20"/>
    </row>
    <row r="190" customFormat="false" ht="15" hidden="false" customHeight="false" outlineLevel="0" collapsed="false">
      <c r="A190" s="10" t="n">
        <v>46470</v>
      </c>
      <c r="B190" s="11" t="str">
        <f aca="false">CHOOSE(WEEKDAY($A190,2),"Mon","Tue","Wed","Thu","Fri","Sat","Sun")</f>
        <v>Wed</v>
      </c>
      <c r="C190" s="12"/>
      <c r="D190" s="12"/>
      <c r="E190" s="13" t="str">
        <f aca="false">IF($C190="","",$C190-N($D190))</f>
        <v/>
      </c>
      <c r="F190" s="13" t="str">
        <f aca="false">IF($C190="","",$C190-MAX(0,N($D190)-BreakAllow*$C190))</f>
        <v/>
      </c>
      <c r="G190" s="12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5" t="str">
        <f aca="false">IF(COUNT(H190:S190)=0,"",SUM(H190:S190))</f>
        <v/>
      </c>
      <c r="U190" s="16" t="str">
        <f aca="false">IF($C190="","",IFERROR(INDEX(RateValues,MATCH(SUMPRODUCT(MAX((RateDates&lt;=$A190)*RateDates)),RateDates,0)),0))</f>
        <v/>
      </c>
      <c r="V190" s="17" t="str">
        <f aca="false">IF($C190="","",$F190*$U190)</f>
        <v/>
      </c>
      <c r="W190" s="18" t="n">
        <f aca="false">$A190-WEEKDAY($A190,2)+1</f>
        <v>46468</v>
      </c>
      <c r="X190" s="19" t="str">
        <f aca="false">IF(AND($C190="",T190=""),"",IF(AND(N($C190)&gt;0,N(T190)=0),"nobody marked present",IF(N($D190)&gt;N($C190),"more broken than moulded",IF(AND($C190="",N(T190)&gt;0),"attendance marked but no blocks entered",IF(AND(N($C190)&gt;0,N(U190)=0),"no pay rate for this date - see Settings",IF(SUMPRODUCT((H190:S190&lt;&gt;"")*(H$4:S$4=""))&gt;0,"attendance in an empty worker slot",""))))))</f>
        <v/>
      </c>
      <c r="Y190" s="20"/>
    </row>
    <row r="191" customFormat="false" ht="15" hidden="false" customHeight="false" outlineLevel="0" collapsed="false">
      <c r="A191" s="10" t="n">
        <v>46471</v>
      </c>
      <c r="B191" s="11" t="str">
        <f aca="false">CHOOSE(WEEKDAY($A191,2),"Mon","Tue","Wed","Thu","Fri","Sat","Sun")</f>
        <v>Thu</v>
      </c>
      <c r="C191" s="12"/>
      <c r="D191" s="12"/>
      <c r="E191" s="13" t="str">
        <f aca="false">IF($C191="","",$C191-N($D191))</f>
        <v/>
      </c>
      <c r="F191" s="13" t="str">
        <f aca="false">IF($C191="","",$C191-MAX(0,N($D191)-BreakAllow*$C191))</f>
        <v/>
      </c>
      <c r="G191" s="12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5" t="str">
        <f aca="false">IF(COUNT(H191:S191)=0,"",SUM(H191:S191))</f>
        <v/>
      </c>
      <c r="U191" s="16" t="str">
        <f aca="false">IF($C191="","",IFERROR(INDEX(RateValues,MATCH(SUMPRODUCT(MAX((RateDates&lt;=$A191)*RateDates)),RateDates,0)),0))</f>
        <v/>
      </c>
      <c r="V191" s="17" t="str">
        <f aca="false">IF($C191="","",$F191*$U191)</f>
        <v/>
      </c>
      <c r="W191" s="18" t="n">
        <f aca="false">$A191-WEEKDAY($A191,2)+1</f>
        <v>46468</v>
      </c>
      <c r="X191" s="19" t="str">
        <f aca="false">IF(AND($C191="",T191=""),"",IF(AND(N($C191)&gt;0,N(T191)=0),"nobody marked present",IF(N($D191)&gt;N($C191),"more broken than moulded",IF(AND($C191="",N(T191)&gt;0),"attendance marked but no blocks entered",IF(AND(N($C191)&gt;0,N(U191)=0),"no pay rate for this date - see Settings",IF(SUMPRODUCT((H191:S191&lt;&gt;"")*(H$4:S$4=""))&gt;0,"attendance in an empty worker slot",""))))))</f>
        <v/>
      </c>
      <c r="Y191" s="20"/>
    </row>
    <row r="192" customFormat="false" ht="15" hidden="false" customHeight="false" outlineLevel="0" collapsed="false">
      <c r="A192" s="10" t="n">
        <v>46472</v>
      </c>
      <c r="B192" s="11" t="str">
        <f aca="false">CHOOSE(WEEKDAY($A192,2),"Mon","Tue","Wed","Thu","Fri","Sat","Sun")</f>
        <v>Fri</v>
      </c>
      <c r="C192" s="12"/>
      <c r="D192" s="12"/>
      <c r="E192" s="13" t="str">
        <f aca="false">IF($C192="","",$C192-N($D192))</f>
        <v/>
      </c>
      <c r="F192" s="13" t="str">
        <f aca="false">IF($C192="","",$C192-MAX(0,N($D192)-BreakAllow*$C192))</f>
        <v/>
      </c>
      <c r="G192" s="12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5" t="str">
        <f aca="false">IF(COUNT(H192:S192)=0,"",SUM(H192:S192))</f>
        <v/>
      </c>
      <c r="U192" s="16" t="str">
        <f aca="false">IF($C192="","",IFERROR(INDEX(RateValues,MATCH(SUMPRODUCT(MAX((RateDates&lt;=$A192)*RateDates)),RateDates,0)),0))</f>
        <v/>
      </c>
      <c r="V192" s="17" t="str">
        <f aca="false">IF($C192="","",$F192*$U192)</f>
        <v/>
      </c>
      <c r="W192" s="18" t="n">
        <f aca="false">$A192-WEEKDAY($A192,2)+1</f>
        <v>46468</v>
      </c>
      <c r="X192" s="19" t="str">
        <f aca="false">IF(AND($C192="",T192=""),"",IF(AND(N($C192)&gt;0,N(T192)=0),"nobody marked present",IF(N($D192)&gt;N($C192),"more broken than moulded",IF(AND($C192="",N(T192)&gt;0),"attendance marked but no blocks entered",IF(AND(N($C192)&gt;0,N(U192)=0),"no pay rate for this date - see Settings",IF(SUMPRODUCT((H192:S192&lt;&gt;"")*(H$4:S$4=""))&gt;0,"attendance in an empty worker slot",""))))))</f>
        <v/>
      </c>
      <c r="Y192" s="20"/>
    </row>
    <row r="193" customFormat="false" ht="15" hidden="false" customHeight="false" outlineLevel="0" collapsed="false">
      <c r="A193" s="10" t="n">
        <v>46473</v>
      </c>
      <c r="B193" s="11" t="str">
        <f aca="false">CHOOSE(WEEKDAY($A193,2),"Mon","Tue","Wed","Thu","Fri","Sat","Sun")</f>
        <v>Sat</v>
      </c>
      <c r="C193" s="12"/>
      <c r="D193" s="12"/>
      <c r="E193" s="13" t="str">
        <f aca="false">IF($C193="","",$C193-N($D193))</f>
        <v/>
      </c>
      <c r="F193" s="13" t="str">
        <f aca="false">IF($C193="","",$C193-MAX(0,N($D193)-BreakAllow*$C193))</f>
        <v/>
      </c>
      <c r="G193" s="12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5" t="str">
        <f aca="false">IF(COUNT(H193:S193)=0,"",SUM(H193:S193))</f>
        <v/>
      </c>
      <c r="U193" s="16" t="str">
        <f aca="false">IF($C193="","",IFERROR(INDEX(RateValues,MATCH(SUMPRODUCT(MAX((RateDates&lt;=$A193)*RateDates)),RateDates,0)),0))</f>
        <v/>
      </c>
      <c r="V193" s="17" t="str">
        <f aca="false">IF($C193="","",$F193*$U193)</f>
        <v/>
      </c>
      <c r="W193" s="18" t="n">
        <f aca="false">$A193-WEEKDAY($A193,2)+1</f>
        <v>46468</v>
      </c>
      <c r="X193" s="19" t="str">
        <f aca="false">IF(AND($C193="",T193=""),"",IF(AND(N($C193)&gt;0,N(T193)=0),"nobody marked present",IF(N($D193)&gt;N($C193),"more broken than moulded",IF(AND($C193="",N(T193)&gt;0),"attendance marked but no blocks entered",IF(AND(N($C193)&gt;0,N(U193)=0),"no pay rate for this date - see Settings",IF(SUMPRODUCT((H193:S193&lt;&gt;"")*(H$4:S$4=""))&gt;0,"attendance in an empty worker slot",""))))))</f>
        <v/>
      </c>
      <c r="Y193" s="20"/>
    </row>
    <row r="194" customFormat="false" ht="15" hidden="false" customHeight="false" outlineLevel="0" collapsed="false">
      <c r="A194" s="21" t="n">
        <v>46474</v>
      </c>
      <c r="B194" s="22" t="str">
        <f aca="false">CHOOSE(WEEKDAY($A194,2),"Mon","Tue","Wed","Thu","Fri","Sat","Sun")</f>
        <v>Sun</v>
      </c>
      <c r="C194" s="12"/>
      <c r="D194" s="12"/>
      <c r="E194" s="13" t="str">
        <f aca="false">IF($C194="","",$C194-N($D194))</f>
        <v/>
      </c>
      <c r="F194" s="13" t="str">
        <f aca="false">IF($C194="","",$C194-MAX(0,N($D194)-BreakAllow*$C194))</f>
        <v/>
      </c>
      <c r="G194" s="12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5" t="str">
        <f aca="false">IF(COUNT(H194:S194)=0,"",SUM(H194:S194))</f>
        <v/>
      </c>
      <c r="U194" s="16" t="str">
        <f aca="false">IF($C194="","",IFERROR(INDEX(RateValues,MATCH(SUMPRODUCT(MAX((RateDates&lt;=$A194)*RateDates)),RateDates,0)),0))</f>
        <v/>
      </c>
      <c r="V194" s="17" t="str">
        <f aca="false">IF($C194="","",$F194*$U194)</f>
        <v/>
      </c>
      <c r="W194" s="18" t="n">
        <f aca="false">$A194-WEEKDAY($A194,2)+1</f>
        <v>46468</v>
      </c>
      <c r="X194" s="19" t="str">
        <f aca="false">IF(AND($C194="",T194=""),"",IF(AND(N($C194)&gt;0,N(T194)=0),"nobody marked present",IF(N($D194)&gt;N($C194),"more broken than moulded",IF(AND($C194="",N(T194)&gt;0),"attendance marked but no blocks entered",IF(AND(N($C194)&gt;0,N(U194)=0),"no pay rate for this date - see Settings",IF(SUMPRODUCT((H194:S194&lt;&gt;"")*(H$4:S$4=""))&gt;0,"attendance in an empty worker slot",""))))))</f>
        <v/>
      </c>
      <c r="Y194" s="20"/>
    </row>
    <row r="195" customFormat="false" ht="15" hidden="false" customHeight="false" outlineLevel="0" collapsed="false">
      <c r="A195" s="10" t="n">
        <v>46475</v>
      </c>
      <c r="B195" s="11" t="str">
        <f aca="false">CHOOSE(WEEKDAY($A195,2),"Mon","Tue","Wed","Thu","Fri","Sat","Sun")</f>
        <v>Mon</v>
      </c>
      <c r="C195" s="12"/>
      <c r="D195" s="12"/>
      <c r="E195" s="13" t="str">
        <f aca="false">IF($C195="","",$C195-N($D195))</f>
        <v/>
      </c>
      <c r="F195" s="13" t="str">
        <f aca="false">IF($C195="","",$C195-MAX(0,N($D195)-BreakAllow*$C195))</f>
        <v/>
      </c>
      <c r="G195" s="12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5" t="str">
        <f aca="false">IF(COUNT(H195:S195)=0,"",SUM(H195:S195))</f>
        <v/>
      </c>
      <c r="U195" s="16" t="str">
        <f aca="false">IF($C195="","",IFERROR(INDEX(RateValues,MATCH(SUMPRODUCT(MAX((RateDates&lt;=$A195)*RateDates)),RateDates,0)),0))</f>
        <v/>
      </c>
      <c r="V195" s="17" t="str">
        <f aca="false">IF($C195="","",$F195*$U195)</f>
        <v/>
      </c>
      <c r="W195" s="18" t="n">
        <f aca="false">$A195-WEEKDAY($A195,2)+1</f>
        <v>46475</v>
      </c>
      <c r="X195" s="19" t="str">
        <f aca="false">IF(AND($C195="",T195=""),"",IF(AND(N($C195)&gt;0,N(T195)=0),"nobody marked present",IF(N($D195)&gt;N($C195),"more broken than moulded",IF(AND($C195="",N(T195)&gt;0),"attendance marked but no blocks entered",IF(AND(N($C195)&gt;0,N(U195)=0),"no pay rate for this date - see Settings",IF(SUMPRODUCT((H195:S195&lt;&gt;"")*(H$4:S$4=""))&gt;0,"attendance in an empty worker slot",""))))))</f>
        <v/>
      </c>
      <c r="Y195" s="20"/>
    </row>
    <row r="196" customFormat="false" ht="15" hidden="false" customHeight="false" outlineLevel="0" collapsed="false">
      <c r="A196" s="10" t="n">
        <v>46476</v>
      </c>
      <c r="B196" s="11" t="str">
        <f aca="false">CHOOSE(WEEKDAY($A196,2),"Mon","Tue","Wed","Thu","Fri","Sat","Sun")</f>
        <v>Tue</v>
      </c>
      <c r="C196" s="12"/>
      <c r="D196" s="12"/>
      <c r="E196" s="13" t="str">
        <f aca="false">IF($C196="","",$C196-N($D196))</f>
        <v/>
      </c>
      <c r="F196" s="13" t="str">
        <f aca="false">IF($C196="","",$C196-MAX(0,N($D196)-BreakAllow*$C196))</f>
        <v/>
      </c>
      <c r="G196" s="12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5" t="str">
        <f aca="false">IF(COUNT(H196:S196)=0,"",SUM(H196:S196))</f>
        <v/>
      </c>
      <c r="U196" s="16" t="str">
        <f aca="false">IF($C196="","",IFERROR(INDEX(RateValues,MATCH(SUMPRODUCT(MAX((RateDates&lt;=$A196)*RateDates)),RateDates,0)),0))</f>
        <v/>
      </c>
      <c r="V196" s="17" t="str">
        <f aca="false">IF($C196="","",$F196*$U196)</f>
        <v/>
      </c>
      <c r="W196" s="18" t="n">
        <f aca="false">$A196-WEEKDAY($A196,2)+1</f>
        <v>46475</v>
      </c>
      <c r="X196" s="19" t="str">
        <f aca="false">IF(AND($C196="",T196=""),"",IF(AND(N($C196)&gt;0,N(T196)=0),"nobody marked present",IF(N($D196)&gt;N($C196),"more broken than moulded",IF(AND($C196="",N(T196)&gt;0),"attendance marked but no blocks entered",IF(AND(N($C196)&gt;0,N(U196)=0),"no pay rate for this date - see Settings",IF(SUMPRODUCT((H196:S196&lt;&gt;"")*(H$4:S$4=""))&gt;0,"attendance in an empty worker slot",""))))))</f>
        <v/>
      </c>
      <c r="Y196" s="20"/>
    </row>
    <row r="197" customFormat="false" ht="15" hidden="false" customHeight="false" outlineLevel="0" collapsed="false">
      <c r="A197" s="10" t="n">
        <v>46477</v>
      </c>
      <c r="B197" s="11" t="str">
        <f aca="false">CHOOSE(WEEKDAY($A197,2),"Mon","Tue","Wed","Thu","Fri","Sat","Sun")</f>
        <v>Wed</v>
      </c>
      <c r="C197" s="12"/>
      <c r="D197" s="12"/>
      <c r="E197" s="13" t="str">
        <f aca="false">IF($C197="","",$C197-N($D197))</f>
        <v/>
      </c>
      <c r="F197" s="13" t="str">
        <f aca="false">IF($C197="","",$C197-MAX(0,N($D197)-BreakAllow*$C197))</f>
        <v/>
      </c>
      <c r="G197" s="12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5" t="str">
        <f aca="false">IF(COUNT(H197:S197)=0,"",SUM(H197:S197))</f>
        <v/>
      </c>
      <c r="U197" s="16" t="str">
        <f aca="false">IF($C197="","",IFERROR(INDEX(RateValues,MATCH(SUMPRODUCT(MAX((RateDates&lt;=$A197)*RateDates)),RateDates,0)),0))</f>
        <v/>
      </c>
      <c r="V197" s="17" t="str">
        <f aca="false">IF($C197="","",$F197*$U197)</f>
        <v/>
      </c>
      <c r="W197" s="18" t="n">
        <f aca="false">$A197-WEEKDAY($A197,2)+1</f>
        <v>46475</v>
      </c>
      <c r="X197" s="19" t="str">
        <f aca="false">IF(AND($C197="",T197=""),"",IF(AND(N($C197)&gt;0,N(T197)=0),"nobody marked present",IF(N($D197)&gt;N($C197),"more broken than moulded",IF(AND($C197="",N(T197)&gt;0),"attendance marked but no blocks entered",IF(AND(N($C197)&gt;0,N(U197)=0),"no pay rate for this date - see Settings",IF(SUMPRODUCT((H197:S197&lt;&gt;"")*(H$4:S$4=""))&gt;0,"attendance in an empty worker slot",""))))))</f>
        <v/>
      </c>
      <c r="Y197" s="20"/>
    </row>
    <row r="198" customFormat="false" ht="15" hidden="false" customHeight="false" outlineLevel="0" collapsed="false">
      <c r="A198" s="10" t="n">
        <v>46478</v>
      </c>
      <c r="B198" s="11" t="str">
        <f aca="false">CHOOSE(WEEKDAY($A198,2),"Mon","Tue","Wed","Thu","Fri","Sat","Sun")</f>
        <v>Thu</v>
      </c>
      <c r="C198" s="12"/>
      <c r="D198" s="12"/>
      <c r="E198" s="13" t="str">
        <f aca="false">IF($C198="","",$C198-N($D198))</f>
        <v/>
      </c>
      <c r="F198" s="13" t="str">
        <f aca="false">IF($C198="","",$C198-MAX(0,N($D198)-BreakAllow*$C198))</f>
        <v/>
      </c>
      <c r="G198" s="12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5" t="str">
        <f aca="false">IF(COUNT(H198:S198)=0,"",SUM(H198:S198))</f>
        <v/>
      </c>
      <c r="U198" s="16" t="str">
        <f aca="false">IF($C198="","",IFERROR(INDEX(RateValues,MATCH(SUMPRODUCT(MAX((RateDates&lt;=$A198)*RateDates)),RateDates,0)),0))</f>
        <v/>
      </c>
      <c r="V198" s="17" t="str">
        <f aca="false">IF($C198="","",$F198*$U198)</f>
        <v/>
      </c>
      <c r="W198" s="18" t="n">
        <f aca="false">$A198-WEEKDAY($A198,2)+1</f>
        <v>46475</v>
      </c>
      <c r="X198" s="19" t="str">
        <f aca="false">IF(AND($C198="",T198=""),"",IF(AND(N($C198)&gt;0,N(T198)=0),"nobody marked present",IF(N($D198)&gt;N($C198),"more broken than moulded",IF(AND($C198="",N(T198)&gt;0),"attendance marked but no blocks entered",IF(AND(N($C198)&gt;0,N(U198)=0),"no pay rate for this date - see Settings",IF(SUMPRODUCT((H198:S198&lt;&gt;"")*(H$4:S$4=""))&gt;0,"attendance in an empty worker slot",""))))))</f>
        <v/>
      </c>
      <c r="Y198" s="20"/>
    </row>
    <row r="199" customFormat="false" ht="15" hidden="false" customHeight="false" outlineLevel="0" collapsed="false">
      <c r="A199" s="10" t="n">
        <v>46479</v>
      </c>
      <c r="B199" s="11" t="str">
        <f aca="false">CHOOSE(WEEKDAY($A199,2),"Mon","Tue","Wed","Thu","Fri","Sat","Sun")</f>
        <v>Fri</v>
      </c>
      <c r="C199" s="12"/>
      <c r="D199" s="12"/>
      <c r="E199" s="13" t="str">
        <f aca="false">IF($C199="","",$C199-N($D199))</f>
        <v/>
      </c>
      <c r="F199" s="13" t="str">
        <f aca="false">IF($C199="","",$C199-MAX(0,N($D199)-BreakAllow*$C199))</f>
        <v/>
      </c>
      <c r="G199" s="12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5" t="str">
        <f aca="false">IF(COUNT(H199:S199)=0,"",SUM(H199:S199))</f>
        <v/>
      </c>
      <c r="U199" s="16" t="str">
        <f aca="false">IF($C199="","",IFERROR(INDEX(RateValues,MATCH(SUMPRODUCT(MAX((RateDates&lt;=$A199)*RateDates)),RateDates,0)),0))</f>
        <v/>
      </c>
      <c r="V199" s="17" t="str">
        <f aca="false">IF($C199="","",$F199*$U199)</f>
        <v/>
      </c>
      <c r="W199" s="18" t="n">
        <f aca="false">$A199-WEEKDAY($A199,2)+1</f>
        <v>46475</v>
      </c>
      <c r="X199" s="19" t="str">
        <f aca="false">IF(AND($C199="",T199=""),"",IF(AND(N($C199)&gt;0,N(T199)=0),"nobody marked present",IF(N($D199)&gt;N($C199),"more broken than moulded",IF(AND($C199="",N(T199)&gt;0),"attendance marked but no blocks entered",IF(AND(N($C199)&gt;0,N(U199)=0),"no pay rate for this date - see Settings",IF(SUMPRODUCT((H199:S199&lt;&gt;"")*(H$4:S$4=""))&gt;0,"attendance in an empty worker slot",""))))))</f>
        <v/>
      </c>
      <c r="Y199" s="20"/>
    </row>
    <row r="200" customFormat="false" ht="15" hidden="false" customHeight="false" outlineLevel="0" collapsed="false">
      <c r="A200" s="10" t="n">
        <v>46480</v>
      </c>
      <c r="B200" s="11" t="str">
        <f aca="false">CHOOSE(WEEKDAY($A200,2),"Mon","Tue","Wed","Thu","Fri","Sat","Sun")</f>
        <v>Sat</v>
      </c>
      <c r="C200" s="12"/>
      <c r="D200" s="12"/>
      <c r="E200" s="13" t="str">
        <f aca="false">IF($C200="","",$C200-N($D200))</f>
        <v/>
      </c>
      <c r="F200" s="13" t="str">
        <f aca="false">IF($C200="","",$C200-MAX(0,N($D200)-BreakAllow*$C200))</f>
        <v/>
      </c>
      <c r="G200" s="12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5" t="str">
        <f aca="false">IF(COUNT(H200:S200)=0,"",SUM(H200:S200))</f>
        <v/>
      </c>
      <c r="U200" s="16" t="str">
        <f aca="false">IF($C200="","",IFERROR(INDEX(RateValues,MATCH(SUMPRODUCT(MAX((RateDates&lt;=$A200)*RateDates)),RateDates,0)),0))</f>
        <v/>
      </c>
      <c r="V200" s="17" t="str">
        <f aca="false">IF($C200="","",$F200*$U200)</f>
        <v/>
      </c>
      <c r="W200" s="18" t="n">
        <f aca="false">$A200-WEEKDAY($A200,2)+1</f>
        <v>46475</v>
      </c>
      <c r="X200" s="19" t="str">
        <f aca="false">IF(AND($C200="",T200=""),"",IF(AND(N($C200)&gt;0,N(T200)=0),"nobody marked present",IF(N($D200)&gt;N($C200),"more broken than moulded",IF(AND($C200="",N(T200)&gt;0),"attendance marked but no blocks entered",IF(AND(N($C200)&gt;0,N(U200)=0),"no pay rate for this date - see Settings",IF(SUMPRODUCT((H200:S200&lt;&gt;"")*(H$4:S$4=""))&gt;0,"attendance in an empty worker slot",""))))))</f>
        <v/>
      </c>
      <c r="Y200" s="20"/>
    </row>
    <row r="201" customFormat="false" ht="15" hidden="false" customHeight="false" outlineLevel="0" collapsed="false">
      <c r="A201" s="21" t="n">
        <v>46481</v>
      </c>
      <c r="B201" s="22" t="str">
        <f aca="false">CHOOSE(WEEKDAY($A201,2),"Mon","Tue","Wed","Thu","Fri","Sat","Sun")</f>
        <v>Sun</v>
      </c>
      <c r="C201" s="12"/>
      <c r="D201" s="12"/>
      <c r="E201" s="13" t="str">
        <f aca="false">IF($C201="","",$C201-N($D201))</f>
        <v/>
      </c>
      <c r="F201" s="13" t="str">
        <f aca="false">IF($C201="","",$C201-MAX(0,N($D201)-BreakAllow*$C201))</f>
        <v/>
      </c>
      <c r="G201" s="12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5" t="str">
        <f aca="false">IF(COUNT(H201:S201)=0,"",SUM(H201:S201))</f>
        <v/>
      </c>
      <c r="U201" s="16" t="str">
        <f aca="false">IF($C201="","",IFERROR(INDEX(RateValues,MATCH(SUMPRODUCT(MAX((RateDates&lt;=$A201)*RateDates)),RateDates,0)),0))</f>
        <v/>
      </c>
      <c r="V201" s="17" t="str">
        <f aca="false">IF($C201="","",$F201*$U201)</f>
        <v/>
      </c>
      <c r="W201" s="18" t="n">
        <f aca="false">$A201-WEEKDAY($A201,2)+1</f>
        <v>46475</v>
      </c>
      <c r="X201" s="19" t="str">
        <f aca="false">IF(AND($C201="",T201=""),"",IF(AND(N($C201)&gt;0,N(T201)=0),"nobody marked present",IF(N($D201)&gt;N($C201),"more broken than moulded",IF(AND($C201="",N(T201)&gt;0),"attendance marked but no blocks entered",IF(AND(N($C201)&gt;0,N(U201)=0),"no pay rate for this date - see Settings",IF(SUMPRODUCT((H201:S201&lt;&gt;"")*(H$4:S$4=""))&gt;0,"attendance in an empty worker slot",""))))))</f>
        <v/>
      </c>
      <c r="Y201" s="20"/>
    </row>
    <row r="202" customFormat="false" ht="15" hidden="false" customHeight="false" outlineLevel="0" collapsed="false">
      <c r="A202" s="10" t="n">
        <v>46482</v>
      </c>
      <c r="B202" s="11" t="str">
        <f aca="false">CHOOSE(WEEKDAY($A202,2),"Mon","Tue","Wed","Thu","Fri","Sat","Sun")</f>
        <v>Mon</v>
      </c>
      <c r="C202" s="12"/>
      <c r="D202" s="12"/>
      <c r="E202" s="13" t="str">
        <f aca="false">IF($C202="","",$C202-N($D202))</f>
        <v/>
      </c>
      <c r="F202" s="13" t="str">
        <f aca="false">IF($C202="","",$C202-MAX(0,N($D202)-BreakAllow*$C202))</f>
        <v/>
      </c>
      <c r="G202" s="12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5" t="str">
        <f aca="false">IF(COUNT(H202:S202)=0,"",SUM(H202:S202))</f>
        <v/>
      </c>
      <c r="U202" s="16" t="str">
        <f aca="false">IF($C202="","",IFERROR(INDEX(RateValues,MATCH(SUMPRODUCT(MAX((RateDates&lt;=$A202)*RateDates)),RateDates,0)),0))</f>
        <v/>
      </c>
      <c r="V202" s="17" t="str">
        <f aca="false">IF($C202="","",$F202*$U202)</f>
        <v/>
      </c>
      <c r="W202" s="18" t="n">
        <f aca="false">$A202-WEEKDAY($A202,2)+1</f>
        <v>46482</v>
      </c>
      <c r="X202" s="19" t="str">
        <f aca="false">IF(AND($C202="",T202=""),"",IF(AND(N($C202)&gt;0,N(T202)=0),"nobody marked present",IF(N($D202)&gt;N($C202),"more broken than moulded",IF(AND($C202="",N(T202)&gt;0),"attendance marked but no blocks entered",IF(AND(N($C202)&gt;0,N(U202)=0),"no pay rate for this date - see Settings",IF(SUMPRODUCT((H202:S202&lt;&gt;"")*(H$4:S$4=""))&gt;0,"attendance in an empty worker slot",""))))))</f>
        <v/>
      </c>
      <c r="Y202" s="20"/>
    </row>
    <row r="203" customFormat="false" ht="15" hidden="false" customHeight="false" outlineLevel="0" collapsed="false">
      <c r="A203" s="10" t="n">
        <v>46483</v>
      </c>
      <c r="B203" s="11" t="str">
        <f aca="false">CHOOSE(WEEKDAY($A203,2),"Mon","Tue","Wed","Thu","Fri","Sat","Sun")</f>
        <v>Tue</v>
      </c>
      <c r="C203" s="12"/>
      <c r="D203" s="12"/>
      <c r="E203" s="13" t="str">
        <f aca="false">IF($C203="","",$C203-N($D203))</f>
        <v/>
      </c>
      <c r="F203" s="13" t="str">
        <f aca="false">IF($C203="","",$C203-MAX(0,N($D203)-BreakAllow*$C203))</f>
        <v/>
      </c>
      <c r="G203" s="12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5" t="str">
        <f aca="false">IF(COUNT(H203:S203)=0,"",SUM(H203:S203))</f>
        <v/>
      </c>
      <c r="U203" s="16" t="str">
        <f aca="false">IF($C203="","",IFERROR(INDEX(RateValues,MATCH(SUMPRODUCT(MAX((RateDates&lt;=$A203)*RateDates)),RateDates,0)),0))</f>
        <v/>
      </c>
      <c r="V203" s="17" t="str">
        <f aca="false">IF($C203="","",$F203*$U203)</f>
        <v/>
      </c>
      <c r="W203" s="18" t="n">
        <f aca="false">$A203-WEEKDAY($A203,2)+1</f>
        <v>46482</v>
      </c>
      <c r="X203" s="19" t="str">
        <f aca="false">IF(AND($C203="",T203=""),"",IF(AND(N($C203)&gt;0,N(T203)=0),"nobody marked present",IF(N($D203)&gt;N($C203),"more broken than moulded",IF(AND($C203="",N(T203)&gt;0),"attendance marked but no blocks entered",IF(AND(N($C203)&gt;0,N(U203)=0),"no pay rate for this date - see Settings",IF(SUMPRODUCT((H203:S203&lt;&gt;"")*(H$4:S$4=""))&gt;0,"attendance in an empty worker slot",""))))))</f>
        <v/>
      </c>
      <c r="Y203" s="20"/>
    </row>
    <row r="204" customFormat="false" ht="15" hidden="false" customHeight="false" outlineLevel="0" collapsed="false">
      <c r="A204" s="10" t="n">
        <v>46484</v>
      </c>
      <c r="B204" s="11" t="str">
        <f aca="false">CHOOSE(WEEKDAY($A204,2),"Mon","Tue","Wed","Thu","Fri","Sat","Sun")</f>
        <v>Wed</v>
      </c>
      <c r="C204" s="12"/>
      <c r="D204" s="12"/>
      <c r="E204" s="13" t="str">
        <f aca="false">IF($C204="","",$C204-N($D204))</f>
        <v/>
      </c>
      <c r="F204" s="13" t="str">
        <f aca="false">IF($C204="","",$C204-MAX(0,N($D204)-BreakAllow*$C204))</f>
        <v/>
      </c>
      <c r="G204" s="12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5" t="str">
        <f aca="false">IF(COUNT(H204:S204)=0,"",SUM(H204:S204))</f>
        <v/>
      </c>
      <c r="U204" s="16" t="str">
        <f aca="false">IF($C204="","",IFERROR(INDEX(RateValues,MATCH(SUMPRODUCT(MAX((RateDates&lt;=$A204)*RateDates)),RateDates,0)),0))</f>
        <v/>
      </c>
      <c r="V204" s="17" t="str">
        <f aca="false">IF($C204="","",$F204*$U204)</f>
        <v/>
      </c>
      <c r="W204" s="18" t="n">
        <f aca="false">$A204-WEEKDAY($A204,2)+1</f>
        <v>46482</v>
      </c>
      <c r="X204" s="19" t="str">
        <f aca="false">IF(AND($C204="",T204=""),"",IF(AND(N($C204)&gt;0,N(T204)=0),"nobody marked present",IF(N($D204)&gt;N($C204),"more broken than moulded",IF(AND($C204="",N(T204)&gt;0),"attendance marked but no blocks entered",IF(AND(N($C204)&gt;0,N(U204)=0),"no pay rate for this date - see Settings",IF(SUMPRODUCT((H204:S204&lt;&gt;"")*(H$4:S$4=""))&gt;0,"attendance in an empty worker slot",""))))))</f>
        <v/>
      </c>
      <c r="Y204" s="20"/>
    </row>
    <row r="205" customFormat="false" ht="15" hidden="false" customHeight="false" outlineLevel="0" collapsed="false">
      <c r="A205" s="10" t="n">
        <v>46485</v>
      </c>
      <c r="B205" s="11" t="str">
        <f aca="false">CHOOSE(WEEKDAY($A205,2),"Mon","Tue","Wed","Thu","Fri","Sat","Sun")</f>
        <v>Thu</v>
      </c>
      <c r="C205" s="12"/>
      <c r="D205" s="12"/>
      <c r="E205" s="13" t="str">
        <f aca="false">IF($C205="","",$C205-N($D205))</f>
        <v/>
      </c>
      <c r="F205" s="13" t="str">
        <f aca="false">IF($C205="","",$C205-MAX(0,N($D205)-BreakAllow*$C205))</f>
        <v/>
      </c>
      <c r="G205" s="12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5" t="str">
        <f aca="false">IF(COUNT(H205:S205)=0,"",SUM(H205:S205))</f>
        <v/>
      </c>
      <c r="U205" s="16" t="str">
        <f aca="false">IF($C205="","",IFERROR(INDEX(RateValues,MATCH(SUMPRODUCT(MAX((RateDates&lt;=$A205)*RateDates)),RateDates,0)),0))</f>
        <v/>
      </c>
      <c r="V205" s="17" t="str">
        <f aca="false">IF($C205="","",$F205*$U205)</f>
        <v/>
      </c>
      <c r="W205" s="18" t="n">
        <f aca="false">$A205-WEEKDAY($A205,2)+1</f>
        <v>46482</v>
      </c>
      <c r="X205" s="19" t="str">
        <f aca="false">IF(AND($C205="",T205=""),"",IF(AND(N($C205)&gt;0,N(T205)=0),"nobody marked present",IF(N($D205)&gt;N($C205),"more broken than moulded",IF(AND($C205="",N(T205)&gt;0),"attendance marked but no blocks entered",IF(AND(N($C205)&gt;0,N(U205)=0),"no pay rate for this date - see Settings",IF(SUMPRODUCT((H205:S205&lt;&gt;"")*(H$4:S$4=""))&gt;0,"attendance in an empty worker slot",""))))))</f>
        <v/>
      </c>
      <c r="Y205" s="20"/>
    </row>
    <row r="206" customFormat="false" ht="15" hidden="false" customHeight="false" outlineLevel="0" collapsed="false">
      <c r="A206" s="10" t="n">
        <v>46486</v>
      </c>
      <c r="B206" s="11" t="str">
        <f aca="false">CHOOSE(WEEKDAY($A206,2),"Mon","Tue","Wed","Thu","Fri","Sat","Sun")</f>
        <v>Fri</v>
      </c>
      <c r="C206" s="12"/>
      <c r="D206" s="12"/>
      <c r="E206" s="13" t="str">
        <f aca="false">IF($C206="","",$C206-N($D206))</f>
        <v/>
      </c>
      <c r="F206" s="13" t="str">
        <f aca="false">IF($C206="","",$C206-MAX(0,N($D206)-BreakAllow*$C206))</f>
        <v/>
      </c>
      <c r="G206" s="12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5" t="str">
        <f aca="false">IF(COUNT(H206:S206)=0,"",SUM(H206:S206))</f>
        <v/>
      </c>
      <c r="U206" s="16" t="str">
        <f aca="false">IF($C206="","",IFERROR(INDEX(RateValues,MATCH(SUMPRODUCT(MAX((RateDates&lt;=$A206)*RateDates)),RateDates,0)),0))</f>
        <v/>
      </c>
      <c r="V206" s="17" t="str">
        <f aca="false">IF($C206="","",$F206*$U206)</f>
        <v/>
      </c>
      <c r="W206" s="18" t="n">
        <f aca="false">$A206-WEEKDAY($A206,2)+1</f>
        <v>46482</v>
      </c>
      <c r="X206" s="19" t="str">
        <f aca="false">IF(AND($C206="",T206=""),"",IF(AND(N($C206)&gt;0,N(T206)=0),"nobody marked present",IF(N($D206)&gt;N($C206),"more broken than moulded",IF(AND($C206="",N(T206)&gt;0),"attendance marked but no blocks entered",IF(AND(N($C206)&gt;0,N(U206)=0),"no pay rate for this date - see Settings",IF(SUMPRODUCT((H206:S206&lt;&gt;"")*(H$4:S$4=""))&gt;0,"attendance in an empty worker slot",""))))))</f>
        <v/>
      </c>
      <c r="Y206" s="20"/>
    </row>
    <row r="207" customFormat="false" ht="15" hidden="false" customHeight="false" outlineLevel="0" collapsed="false">
      <c r="A207" s="10" t="n">
        <v>46487</v>
      </c>
      <c r="B207" s="11" t="str">
        <f aca="false">CHOOSE(WEEKDAY($A207,2),"Mon","Tue","Wed","Thu","Fri","Sat","Sun")</f>
        <v>Sat</v>
      </c>
      <c r="C207" s="12"/>
      <c r="D207" s="12"/>
      <c r="E207" s="13" t="str">
        <f aca="false">IF($C207="","",$C207-N($D207))</f>
        <v/>
      </c>
      <c r="F207" s="13" t="str">
        <f aca="false">IF($C207="","",$C207-MAX(0,N($D207)-BreakAllow*$C207))</f>
        <v/>
      </c>
      <c r="G207" s="12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5" t="str">
        <f aca="false">IF(COUNT(H207:S207)=0,"",SUM(H207:S207))</f>
        <v/>
      </c>
      <c r="U207" s="16" t="str">
        <f aca="false">IF($C207="","",IFERROR(INDEX(RateValues,MATCH(SUMPRODUCT(MAX((RateDates&lt;=$A207)*RateDates)),RateDates,0)),0))</f>
        <v/>
      </c>
      <c r="V207" s="17" t="str">
        <f aca="false">IF($C207="","",$F207*$U207)</f>
        <v/>
      </c>
      <c r="W207" s="18" t="n">
        <f aca="false">$A207-WEEKDAY($A207,2)+1</f>
        <v>46482</v>
      </c>
      <c r="X207" s="19" t="str">
        <f aca="false">IF(AND($C207="",T207=""),"",IF(AND(N($C207)&gt;0,N(T207)=0),"nobody marked present",IF(N($D207)&gt;N($C207),"more broken than moulded",IF(AND($C207="",N(T207)&gt;0),"attendance marked but no blocks entered",IF(AND(N($C207)&gt;0,N(U207)=0),"no pay rate for this date - see Settings",IF(SUMPRODUCT((H207:S207&lt;&gt;"")*(H$4:S$4=""))&gt;0,"attendance in an empty worker slot",""))))))</f>
        <v/>
      </c>
      <c r="Y207" s="20"/>
    </row>
    <row r="208" customFormat="false" ht="15" hidden="false" customHeight="false" outlineLevel="0" collapsed="false">
      <c r="A208" s="21" t="n">
        <v>46488</v>
      </c>
      <c r="B208" s="22" t="str">
        <f aca="false">CHOOSE(WEEKDAY($A208,2),"Mon","Tue","Wed","Thu","Fri","Sat","Sun")</f>
        <v>Sun</v>
      </c>
      <c r="C208" s="12"/>
      <c r="D208" s="12"/>
      <c r="E208" s="13" t="str">
        <f aca="false">IF($C208="","",$C208-N($D208))</f>
        <v/>
      </c>
      <c r="F208" s="13" t="str">
        <f aca="false">IF($C208="","",$C208-MAX(0,N($D208)-BreakAllow*$C208))</f>
        <v/>
      </c>
      <c r="G208" s="12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5" t="str">
        <f aca="false">IF(COUNT(H208:S208)=0,"",SUM(H208:S208))</f>
        <v/>
      </c>
      <c r="U208" s="16" t="str">
        <f aca="false">IF($C208="","",IFERROR(INDEX(RateValues,MATCH(SUMPRODUCT(MAX((RateDates&lt;=$A208)*RateDates)),RateDates,0)),0))</f>
        <v/>
      </c>
      <c r="V208" s="17" t="str">
        <f aca="false">IF($C208="","",$F208*$U208)</f>
        <v/>
      </c>
      <c r="W208" s="18" t="n">
        <f aca="false">$A208-WEEKDAY($A208,2)+1</f>
        <v>46482</v>
      </c>
      <c r="X208" s="19" t="str">
        <f aca="false">IF(AND($C208="",T208=""),"",IF(AND(N($C208)&gt;0,N(T208)=0),"nobody marked present",IF(N($D208)&gt;N($C208),"more broken than moulded",IF(AND($C208="",N(T208)&gt;0),"attendance marked but no blocks entered",IF(AND(N($C208)&gt;0,N(U208)=0),"no pay rate for this date - see Settings",IF(SUMPRODUCT((H208:S208&lt;&gt;"")*(H$4:S$4=""))&gt;0,"attendance in an empty worker slot",""))))))</f>
        <v/>
      </c>
      <c r="Y208" s="20"/>
    </row>
    <row r="209" customFormat="false" ht="15" hidden="false" customHeight="false" outlineLevel="0" collapsed="false">
      <c r="A209" s="10" t="n">
        <v>46489</v>
      </c>
      <c r="B209" s="11" t="str">
        <f aca="false">CHOOSE(WEEKDAY($A209,2),"Mon","Tue","Wed","Thu","Fri","Sat","Sun")</f>
        <v>Mon</v>
      </c>
      <c r="C209" s="12"/>
      <c r="D209" s="12"/>
      <c r="E209" s="13" t="str">
        <f aca="false">IF($C209="","",$C209-N($D209))</f>
        <v/>
      </c>
      <c r="F209" s="13" t="str">
        <f aca="false">IF($C209="","",$C209-MAX(0,N($D209)-BreakAllow*$C209))</f>
        <v/>
      </c>
      <c r="G209" s="12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5" t="str">
        <f aca="false">IF(COUNT(H209:S209)=0,"",SUM(H209:S209))</f>
        <v/>
      </c>
      <c r="U209" s="16" t="str">
        <f aca="false">IF($C209="","",IFERROR(INDEX(RateValues,MATCH(SUMPRODUCT(MAX((RateDates&lt;=$A209)*RateDates)),RateDates,0)),0))</f>
        <v/>
      </c>
      <c r="V209" s="17" t="str">
        <f aca="false">IF($C209="","",$F209*$U209)</f>
        <v/>
      </c>
      <c r="W209" s="18" t="n">
        <f aca="false">$A209-WEEKDAY($A209,2)+1</f>
        <v>46489</v>
      </c>
      <c r="X209" s="19" t="str">
        <f aca="false">IF(AND($C209="",T209=""),"",IF(AND(N($C209)&gt;0,N(T209)=0),"nobody marked present",IF(N($D209)&gt;N($C209),"more broken than moulded",IF(AND($C209="",N(T209)&gt;0),"attendance marked but no blocks entered",IF(AND(N($C209)&gt;0,N(U209)=0),"no pay rate for this date - see Settings",IF(SUMPRODUCT((H209:S209&lt;&gt;"")*(H$4:S$4=""))&gt;0,"attendance in an empty worker slot",""))))))</f>
        <v/>
      </c>
      <c r="Y209" s="20"/>
    </row>
    <row r="210" customFormat="false" ht="15" hidden="false" customHeight="false" outlineLevel="0" collapsed="false">
      <c r="A210" s="10" t="n">
        <v>46490</v>
      </c>
      <c r="B210" s="11" t="str">
        <f aca="false">CHOOSE(WEEKDAY($A210,2),"Mon","Tue","Wed","Thu","Fri","Sat","Sun")</f>
        <v>Tue</v>
      </c>
      <c r="C210" s="12"/>
      <c r="D210" s="12"/>
      <c r="E210" s="13" t="str">
        <f aca="false">IF($C210="","",$C210-N($D210))</f>
        <v/>
      </c>
      <c r="F210" s="13" t="str">
        <f aca="false">IF($C210="","",$C210-MAX(0,N($D210)-BreakAllow*$C210))</f>
        <v/>
      </c>
      <c r="G210" s="12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5" t="str">
        <f aca="false">IF(COUNT(H210:S210)=0,"",SUM(H210:S210))</f>
        <v/>
      </c>
      <c r="U210" s="16" t="str">
        <f aca="false">IF($C210="","",IFERROR(INDEX(RateValues,MATCH(SUMPRODUCT(MAX((RateDates&lt;=$A210)*RateDates)),RateDates,0)),0))</f>
        <v/>
      </c>
      <c r="V210" s="17" t="str">
        <f aca="false">IF($C210="","",$F210*$U210)</f>
        <v/>
      </c>
      <c r="W210" s="18" t="n">
        <f aca="false">$A210-WEEKDAY($A210,2)+1</f>
        <v>46489</v>
      </c>
      <c r="X210" s="19" t="str">
        <f aca="false">IF(AND($C210="",T210=""),"",IF(AND(N($C210)&gt;0,N(T210)=0),"nobody marked present",IF(N($D210)&gt;N($C210),"more broken than moulded",IF(AND($C210="",N(T210)&gt;0),"attendance marked but no blocks entered",IF(AND(N($C210)&gt;0,N(U210)=0),"no pay rate for this date - see Settings",IF(SUMPRODUCT((H210:S210&lt;&gt;"")*(H$4:S$4=""))&gt;0,"attendance in an empty worker slot",""))))))</f>
        <v/>
      </c>
      <c r="Y210" s="20"/>
    </row>
    <row r="211" customFormat="false" ht="15" hidden="false" customHeight="false" outlineLevel="0" collapsed="false">
      <c r="A211" s="10" t="n">
        <v>46491</v>
      </c>
      <c r="B211" s="11" t="str">
        <f aca="false">CHOOSE(WEEKDAY($A211,2),"Mon","Tue","Wed","Thu","Fri","Sat","Sun")</f>
        <v>Wed</v>
      </c>
      <c r="C211" s="12"/>
      <c r="D211" s="12"/>
      <c r="E211" s="13" t="str">
        <f aca="false">IF($C211="","",$C211-N($D211))</f>
        <v/>
      </c>
      <c r="F211" s="13" t="str">
        <f aca="false">IF($C211="","",$C211-MAX(0,N($D211)-BreakAllow*$C211))</f>
        <v/>
      </c>
      <c r="G211" s="12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5" t="str">
        <f aca="false">IF(COUNT(H211:S211)=0,"",SUM(H211:S211))</f>
        <v/>
      </c>
      <c r="U211" s="16" t="str">
        <f aca="false">IF($C211="","",IFERROR(INDEX(RateValues,MATCH(SUMPRODUCT(MAX((RateDates&lt;=$A211)*RateDates)),RateDates,0)),0))</f>
        <v/>
      </c>
      <c r="V211" s="17" t="str">
        <f aca="false">IF($C211="","",$F211*$U211)</f>
        <v/>
      </c>
      <c r="W211" s="18" t="n">
        <f aca="false">$A211-WEEKDAY($A211,2)+1</f>
        <v>46489</v>
      </c>
      <c r="X211" s="19" t="str">
        <f aca="false">IF(AND($C211="",T211=""),"",IF(AND(N($C211)&gt;0,N(T211)=0),"nobody marked present",IF(N($D211)&gt;N($C211),"more broken than moulded",IF(AND($C211="",N(T211)&gt;0),"attendance marked but no blocks entered",IF(AND(N($C211)&gt;0,N(U211)=0),"no pay rate for this date - see Settings",IF(SUMPRODUCT((H211:S211&lt;&gt;"")*(H$4:S$4=""))&gt;0,"attendance in an empty worker slot",""))))))</f>
        <v/>
      </c>
      <c r="Y211" s="20"/>
    </row>
    <row r="212" customFormat="false" ht="15" hidden="false" customHeight="false" outlineLevel="0" collapsed="false">
      <c r="A212" s="10" t="n">
        <v>46492</v>
      </c>
      <c r="B212" s="11" t="str">
        <f aca="false">CHOOSE(WEEKDAY($A212,2),"Mon","Tue","Wed","Thu","Fri","Sat","Sun")</f>
        <v>Thu</v>
      </c>
      <c r="C212" s="12"/>
      <c r="D212" s="12"/>
      <c r="E212" s="13" t="str">
        <f aca="false">IF($C212="","",$C212-N($D212))</f>
        <v/>
      </c>
      <c r="F212" s="13" t="str">
        <f aca="false">IF($C212="","",$C212-MAX(0,N($D212)-BreakAllow*$C212))</f>
        <v/>
      </c>
      <c r="G212" s="12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5" t="str">
        <f aca="false">IF(COUNT(H212:S212)=0,"",SUM(H212:S212))</f>
        <v/>
      </c>
      <c r="U212" s="16" t="str">
        <f aca="false">IF($C212="","",IFERROR(INDEX(RateValues,MATCH(SUMPRODUCT(MAX((RateDates&lt;=$A212)*RateDates)),RateDates,0)),0))</f>
        <v/>
      </c>
      <c r="V212" s="17" t="str">
        <f aca="false">IF($C212="","",$F212*$U212)</f>
        <v/>
      </c>
      <c r="W212" s="18" t="n">
        <f aca="false">$A212-WEEKDAY($A212,2)+1</f>
        <v>46489</v>
      </c>
      <c r="X212" s="19" t="str">
        <f aca="false">IF(AND($C212="",T212=""),"",IF(AND(N($C212)&gt;0,N(T212)=0),"nobody marked present",IF(N($D212)&gt;N($C212),"more broken than moulded",IF(AND($C212="",N(T212)&gt;0),"attendance marked but no blocks entered",IF(AND(N($C212)&gt;0,N(U212)=0),"no pay rate for this date - see Settings",IF(SUMPRODUCT((H212:S212&lt;&gt;"")*(H$4:S$4=""))&gt;0,"attendance in an empty worker slot",""))))))</f>
        <v/>
      </c>
      <c r="Y212" s="20"/>
    </row>
    <row r="213" customFormat="false" ht="15" hidden="false" customHeight="false" outlineLevel="0" collapsed="false">
      <c r="A213" s="10" t="n">
        <v>46493</v>
      </c>
      <c r="B213" s="11" t="str">
        <f aca="false">CHOOSE(WEEKDAY($A213,2),"Mon","Tue","Wed","Thu","Fri","Sat","Sun")</f>
        <v>Fri</v>
      </c>
      <c r="C213" s="12"/>
      <c r="D213" s="12"/>
      <c r="E213" s="13" t="str">
        <f aca="false">IF($C213="","",$C213-N($D213))</f>
        <v/>
      </c>
      <c r="F213" s="13" t="str">
        <f aca="false">IF($C213="","",$C213-MAX(0,N($D213)-BreakAllow*$C213))</f>
        <v/>
      </c>
      <c r="G213" s="12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5" t="str">
        <f aca="false">IF(COUNT(H213:S213)=0,"",SUM(H213:S213))</f>
        <v/>
      </c>
      <c r="U213" s="16" t="str">
        <f aca="false">IF($C213="","",IFERROR(INDEX(RateValues,MATCH(SUMPRODUCT(MAX((RateDates&lt;=$A213)*RateDates)),RateDates,0)),0))</f>
        <v/>
      </c>
      <c r="V213" s="17" t="str">
        <f aca="false">IF($C213="","",$F213*$U213)</f>
        <v/>
      </c>
      <c r="W213" s="18" t="n">
        <f aca="false">$A213-WEEKDAY($A213,2)+1</f>
        <v>46489</v>
      </c>
      <c r="X213" s="19" t="str">
        <f aca="false">IF(AND($C213="",T213=""),"",IF(AND(N($C213)&gt;0,N(T213)=0),"nobody marked present",IF(N($D213)&gt;N($C213),"more broken than moulded",IF(AND($C213="",N(T213)&gt;0),"attendance marked but no blocks entered",IF(AND(N($C213)&gt;0,N(U213)=0),"no pay rate for this date - see Settings",IF(SUMPRODUCT((H213:S213&lt;&gt;"")*(H$4:S$4=""))&gt;0,"attendance in an empty worker slot",""))))))</f>
        <v/>
      </c>
      <c r="Y213" s="20"/>
    </row>
    <row r="214" customFormat="false" ht="15" hidden="false" customHeight="false" outlineLevel="0" collapsed="false">
      <c r="A214" s="10" t="n">
        <v>46494</v>
      </c>
      <c r="B214" s="11" t="str">
        <f aca="false">CHOOSE(WEEKDAY($A214,2),"Mon","Tue","Wed","Thu","Fri","Sat","Sun")</f>
        <v>Sat</v>
      </c>
      <c r="C214" s="12"/>
      <c r="D214" s="12"/>
      <c r="E214" s="13" t="str">
        <f aca="false">IF($C214="","",$C214-N($D214))</f>
        <v/>
      </c>
      <c r="F214" s="13" t="str">
        <f aca="false">IF($C214="","",$C214-MAX(0,N($D214)-BreakAllow*$C214))</f>
        <v/>
      </c>
      <c r="G214" s="12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5" t="str">
        <f aca="false">IF(COUNT(H214:S214)=0,"",SUM(H214:S214))</f>
        <v/>
      </c>
      <c r="U214" s="16" t="str">
        <f aca="false">IF($C214="","",IFERROR(INDEX(RateValues,MATCH(SUMPRODUCT(MAX((RateDates&lt;=$A214)*RateDates)),RateDates,0)),0))</f>
        <v/>
      </c>
      <c r="V214" s="17" t="str">
        <f aca="false">IF($C214="","",$F214*$U214)</f>
        <v/>
      </c>
      <c r="W214" s="18" t="n">
        <f aca="false">$A214-WEEKDAY($A214,2)+1</f>
        <v>46489</v>
      </c>
      <c r="X214" s="19" t="str">
        <f aca="false">IF(AND($C214="",T214=""),"",IF(AND(N($C214)&gt;0,N(T214)=0),"nobody marked present",IF(N($D214)&gt;N($C214),"more broken than moulded",IF(AND($C214="",N(T214)&gt;0),"attendance marked but no blocks entered",IF(AND(N($C214)&gt;0,N(U214)=0),"no pay rate for this date - see Settings",IF(SUMPRODUCT((H214:S214&lt;&gt;"")*(H$4:S$4=""))&gt;0,"attendance in an empty worker slot",""))))))</f>
        <v/>
      </c>
      <c r="Y214" s="20"/>
    </row>
    <row r="215" customFormat="false" ht="15" hidden="false" customHeight="false" outlineLevel="0" collapsed="false">
      <c r="A215" s="21" t="n">
        <v>46495</v>
      </c>
      <c r="B215" s="22" t="str">
        <f aca="false">CHOOSE(WEEKDAY($A215,2),"Mon","Tue","Wed","Thu","Fri","Sat","Sun")</f>
        <v>Sun</v>
      </c>
      <c r="C215" s="12"/>
      <c r="D215" s="12"/>
      <c r="E215" s="13" t="str">
        <f aca="false">IF($C215="","",$C215-N($D215))</f>
        <v/>
      </c>
      <c r="F215" s="13" t="str">
        <f aca="false">IF($C215="","",$C215-MAX(0,N($D215)-BreakAllow*$C215))</f>
        <v/>
      </c>
      <c r="G215" s="12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5" t="str">
        <f aca="false">IF(COUNT(H215:S215)=0,"",SUM(H215:S215))</f>
        <v/>
      </c>
      <c r="U215" s="16" t="str">
        <f aca="false">IF($C215="","",IFERROR(INDEX(RateValues,MATCH(SUMPRODUCT(MAX((RateDates&lt;=$A215)*RateDates)),RateDates,0)),0))</f>
        <v/>
      </c>
      <c r="V215" s="17" t="str">
        <f aca="false">IF($C215="","",$F215*$U215)</f>
        <v/>
      </c>
      <c r="W215" s="18" t="n">
        <f aca="false">$A215-WEEKDAY($A215,2)+1</f>
        <v>46489</v>
      </c>
      <c r="X215" s="19" t="str">
        <f aca="false">IF(AND($C215="",T215=""),"",IF(AND(N($C215)&gt;0,N(T215)=0),"nobody marked present",IF(N($D215)&gt;N($C215),"more broken than moulded",IF(AND($C215="",N(T215)&gt;0),"attendance marked but no blocks entered",IF(AND(N($C215)&gt;0,N(U215)=0),"no pay rate for this date - see Settings",IF(SUMPRODUCT((H215:S215&lt;&gt;"")*(H$4:S$4=""))&gt;0,"attendance in an empty worker slot",""))))))</f>
        <v/>
      </c>
      <c r="Y215" s="20"/>
    </row>
    <row r="216" customFormat="false" ht="15" hidden="false" customHeight="false" outlineLevel="0" collapsed="false">
      <c r="A216" s="10" t="n">
        <v>46496</v>
      </c>
      <c r="B216" s="11" t="str">
        <f aca="false">CHOOSE(WEEKDAY($A216,2),"Mon","Tue","Wed","Thu","Fri","Sat","Sun")</f>
        <v>Mon</v>
      </c>
      <c r="C216" s="12"/>
      <c r="D216" s="12"/>
      <c r="E216" s="13" t="str">
        <f aca="false">IF($C216="","",$C216-N($D216))</f>
        <v/>
      </c>
      <c r="F216" s="13" t="str">
        <f aca="false">IF($C216="","",$C216-MAX(0,N($D216)-BreakAllow*$C216))</f>
        <v/>
      </c>
      <c r="G216" s="12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5" t="str">
        <f aca="false">IF(COUNT(H216:S216)=0,"",SUM(H216:S216))</f>
        <v/>
      </c>
      <c r="U216" s="16" t="str">
        <f aca="false">IF($C216="","",IFERROR(INDEX(RateValues,MATCH(SUMPRODUCT(MAX((RateDates&lt;=$A216)*RateDates)),RateDates,0)),0))</f>
        <v/>
      </c>
      <c r="V216" s="17" t="str">
        <f aca="false">IF($C216="","",$F216*$U216)</f>
        <v/>
      </c>
      <c r="W216" s="18" t="n">
        <f aca="false">$A216-WEEKDAY($A216,2)+1</f>
        <v>46496</v>
      </c>
      <c r="X216" s="19" t="str">
        <f aca="false">IF(AND($C216="",T216=""),"",IF(AND(N($C216)&gt;0,N(T216)=0),"nobody marked present",IF(N($D216)&gt;N($C216),"more broken than moulded",IF(AND($C216="",N(T216)&gt;0),"attendance marked but no blocks entered",IF(AND(N($C216)&gt;0,N(U216)=0),"no pay rate for this date - see Settings",IF(SUMPRODUCT((H216:S216&lt;&gt;"")*(H$4:S$4=""))&gt;0,"attendance in an empty worker slot",""))))))</f>
        <v/>
      </c>
      <c r="Y216" s="20"/>
    </row>
    <row r="217" customFormat="false" ht="15" hidden="false" customHeight="false" outlineLevel="0" collapsed="false">
      <c r="A217" s="10" t="n">
        <v>46497</v>
      </c>
      <c r="B217" s="11" t="str">
        <f aca="false">CHOOSE(WEEKDAY($A217,2),"Mon","Tue","Wed","Thu","Fri","Sat","Sun")</f>
        <v>Tue</v>
      </c>
      <c r="C217" s="12"/>
      <c r="D217" s="12"/>
      <c r="E217" s="13" t="str">
        <f aca="false">IF($C217="","",$C217-N($D217))</f>
        <v/>
      </c>
      <c r="F217" s="13" t="str">
        <f aca="false">IF($C217="","",$C217-MAX(0,N($D217)-BreakAllow*$C217))</f>
        <v/>
      </c>
      <c r="G217" s="12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5" t="str">
        <f aca="false">IF(COUNT(H217:S217)=0,"",SUM(H217:S217))</f>
        <v/>
      </c>
      <c r="U217" s="16" t="str">
        <f aca="false">IF($C217="","",IFERROR(INDEX(RateValues,MATCH(SUMPRODUCT(MAX((RateDates&lt;=$A217)*RateDates)),RateDates,0)),0))</f>
        <v/>
      </c>
      <c r="V217" s="17" t="str">
        <f aca="false">IF($C217="","",$F217*$U217)</f>
        <v/>
      </c>
      <c r="W217" s="18" t="n">
        <f aca="false">$A217-WEEKDAY($A217,2)+1</f>
        <v>46496</v>
      </c>
      <c r="X217" s="19" t="str">
        <f aca="false">IF(AND($C217="",T217=""),"",IF(AND(N($C217)&gt;0,N(T217)=0),"nobody marked present",IF(N($D217)&gt;N($C217),"more broken than moulded",IF(AND($C217="",N(T217)&gt;0),"attendance marked but no blocks entered",IF(AND(N($C217)&gt;0,N(U217)=0),"no pay rate for this date - see Settings",IF(SUMPRODUCT((H217:S217&lt;&gt;"")*(H$4:S$4=""))&gt;0,"attendance in an empty worker slot",""))))))</f>
        <v/>
      </c>
      <c r="Y217" s="20"/>
    </row>
    <row r="218" customFormat="false" ht="15" hidden="false" customHeight="false" outlineLevel="0" collapsed="false">
      <c r="A218" s="10" t="n">
        <v>46498</v>
      </c>
      <c r="B218" s="11" t="str">
        <f aca="false">CHOOSE(WEEKDAY($A218,2),"Mon","Tue","Wed","Thu","Fri","Sat","Sun")</f>
        <v>Wed</v>
      </c>
      <c r="C218" s="12"/>
      <c r="D218" s="12"/>
      <c r="E218" s="13" t="str">
        <f aca="false">IF($C218="","",$C218-N($D218))</f>
        <v/>
      </c>
      <c r="F218" s="13" t="str">
        <f aca="false">IF($C218="","",$C218-MAX(0,N($D218)-BreakAllow*$C218))</f>
        <v/>
      </c>
      <c r="G218" s="12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5" t="str">
        <f aca="false">IF(COUNT(H218:S218)=0,"",SUM(H218:S218))</f>
        <v/>
      </c>
      <c r="U218" s="16" t="str">
        <f aca="false">IF($C218="","",IFERROR(INDEX(RateValues,MATCH(SUMPRODUCT(MAX((RateDates&lt;=$A218)*RateDates)),RateDates,0)),0))</f>
        <v/>
      </c>
      <c r="V218" s="17" t="str">
        <f aca="false">IF($C218="","",$F218*$U218)</f>
        <v/>
      </c>
      <c r="W218" s="18" t="n">
        <f aca="false">$A218-WEEKDAY($A218,2)+1</f>
        <v>46496</v>
      </c>
      <c r="X218" s="19" t="str">
        <f aca="false">IF(AND($C218="",T218=""),"",IF(AND(N($C218)&gt;0,N(T218)=0),"nobody marked present",IF(N($D218)&gt;N($C218),"more broken than moulded",IF(AND($C218="",N(T218)&gt;0),"attendance marked but no blocks entered",IF(AND(N($C218)&gt;0,N(U218)=0),"no pay rate for this date - see Settings",IF(SUMPRODUCT((H218:S218&lt;&gt;"")*(H$4:S$4=""))&gt;0,"attendance in an empty worker slot",""))))))</f>
        <v/>
      </c>
      <c r="Y218" s="20"/>
    </row>
    <row r="219" customFormat="false" ht="15" hidden="false" customHeight="false" outlineLevel="0" collapsed="false">
      <c r="A219" s="10" t="n">
        <v>46499</v>
      </c>
      <c r="B219" s="11" t="str">
        <f aca="false">CHOOSE(WEEKDAY($A219,2),"Mon","Tue","Wed","Thu","Fri","Sat","Sun")</f>
        <v>Thu</v>
      </c>
      <c r="C219" s="12"/>
      <c r="D219" s="12"/>
      <c r="E219" s="13" t="str">
        <f aca="false">IF($C219="","",$C219-N($D219))</f>
        <v/>
      </c>
      <c r="F219" s="13" t="str">
        <f aca="false">IF($C219="","",$C219-MAX(0,N($D219)-BreakAllow*$C219))</f>
        <v/>
      </c>
      <c r="G219" s="12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5" t="str">
        <f aca="false">IF(COUNT(H219:S219)=0,"",SUM(H219:S219))</f>
        <v/>
      </c>
      <c r="U219" s="16" t="str">
        <f aca="false">IF($C219="","",IFERROR(INDEX(RateValues,MATCH(SUMPRODUCT(MAX((RateDates&lt;=$A219)*RateDates)),RateDates,0)),0))</f>
        <v/>
      </c>
      <c r="V219" s="17" t="str">
        <f aca="false">IF($C219="","",$F219*$U219)</f>
        <v/>
      </c>
      <c r="W219" s="18" t="n">
        <f aca="false">$A219-WEEKDAY($A219,2)+1</f>
        <v>46496</v>
      </c>
      <c r="X219" s="19" t="str">
        <f aca="false">IF(AND($C219="",T219=""),"",IF(AND(N($C219)&gt;0,N(T219)=0),"nobody marked present",IF(N($D219)&gt;N($C219),"more broken than moulded",IF(AND($C219="",N(T219)&gt;0),"attendance marked but no blocks entered",IF(AND(N($C219)&gt;0,N(U219)=0),"no pay rate for this date - see Settings",IF(SUMPRODUCT((H219:S219&lt;&gt;"")*(H$4:S$4=""))&gt;0,"attendance in an empty worker slot",""))))))</f>
        <v/>
      </c>
      <c r="Y219" s="20"/>
    </row>
    <row r="220" customFormat="false" ht="15" hidden="false" customHeight="false" outlineLevel="0" collapsed="false">
      <c r="A220" s="10" t="n">
        <v>46500</v>
      </c>
      <c r="B220" s="11" t="str">
        <f aca="false">CHOOSE(WEEKDAY($A220,2),"Mon","Tue","Wed","Thu","Fri","Sat","Sun")</f>
        <v>Fri</v>
      </c>
      <c r="C220" s="12"/>
      <c r="D220" s="12"/>
      <c r="E220" s="13" t="str">
        <f aca="false">IF($C220="","",$C220-N($D220))</f>
        <v/>
      </c>
      <c r="F220" s="13" t="str">
        <f aca="false">IF($C220="","",$C220-MAX(0,N($D220)-BreakAllow*$C220))</f>
        <v/>
      </c>
      <c r="G220" s="12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5" t="str">
        <f aca="false">IF(COUNT(H220:S220)=0,"",SUM(H220:S220))</f>
        <v/>
      </c>
      <c r="U220" s="16" t="str">
        <f aca="false">IF($C220="","",IFERROR(INDEX(RateValues,MATCH(SUMPRODUCT(MAX((RateDates&lt;=$A220)*RateDates)),RateDates,0)),0))</f>
        <v/>
      </c>
      <c r="V220" s="17" t="str">
        <f aca="false">IF($C220="","",$F220*$U220)</f>
        <v/>
      </c>
      <c r="W220" s="18" t="n">
        <f aca="false">$A220-WEEKDAY($A220,2)+1</f>
        <v>46496</v>
      </c>
      <c r="X220" s="19" t="str">
        <f aca="false">IF(AND($C220="",T220=""),"",IF(AND(N($C220)&gt;0,N(T220)=0),"nobody marked present",IF(N($D220)&gt;N($C220),"more broken than moulded",IF(AND($C220="",N(T220)&gt;0),"attendance marked but no blocks entered",IF(AND(N($C220)&gt;0,N(U220)=0),"no pay rate for this date - see Settings",IF(SUMPRODUCT((H220:S220&lt;&gt;"")*(H$4:S$4=""))&gt;0,"attendance in an empty worker slot",""))))))</f>
        <v/>
      </c>
      <c r="Y220" s="20"/>
    </row>
    <row r="221" customFormat="false" ht="15" hidden="false" customHeight="false" outlineLevel="0" collapsed="false">
      <c r="A221" s="10" t="n">
        <v>46501</v>
      </c>
      <c r="B221" s="11" t="str">
        <f aca="false">CHOOSE(WEEKDAY($A221,2),"Mon","Tue","Wed","Thu","Fri","Sat","Sun")</f>
        <v>Sat</v>
      </c>
      <c r="C221" s="12"/>
      <c r="D221" s="12"/>
      <c r="E221" s="13" t="str">
        <f aca="false">IF($C221="","",$C221-N($D221))</f>
        <v/>
      </c>
      <c r="F221" s="13" t="str">
        <f aca="false">IF($C221="","",$C221-MAX(0,N($D221)-BreakAllow*$C221))</f>
        <v/>
      </c>
      <c r="G221" s="12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5" t="str">
        <f aca="false">IF(COUNT(H221:S221)=0,"",SUM(H221:S221))</f>
        <v/>
      </c>
      <c r="U221" s="16" t="str">
        <f aca="false">IF($C221="","",IFERROR(INDEX(RateValues,MATCH(SUMPRODUCT(MAX((RateDates&lt;=$A221)*RateDates)),RateDates,0)),0))</f>
        <v/>
      </c>
      <c r="V221" s="17" t="str">
        <f aca="false">IF($C221="","",$F221*$U221)</f>
        <v/>
      </c>
      <c r="W221" s="18" t="n">
        <f aca="false">$A221-WEEKDAY($A221,2)+1</f>
        <v>46496</v>
      </c>
      <c r="X221" s="19" t="str">
        <f aca="false">IF(AND($C221="",T221=""),"",IF(AND(N($C221)&gt;0,N(T221)=0),"nobody marked present",IF(N($D221)&gt;N($C221),"more broken than moulded",IF(AND($C221="",N(T221)&gt;0),"attendance marked but no blocks entered",IF(AND(N($C221)&gt;0,N(U221)=0),"no pay rate for this date - see Settings",IF(SUMPRODUCT((H221:S221&lt;&gt;"")*(H$4:S$4=""))&gt;0,"attendance in an empty worker slot",""))))))</f>
        <v/>
      </c>
      <c r="Y221" s="20"/>
    </row>
    <row r="222" customFormat="false" ht="15" hidden="false" customHeight="false" outlineLevel="0" collapsed="false">
      <c r="A222" s="21" t="n">
        <v>46502</v>
      </c>
      <c r="B222" s="22" t="str">
        <f aca="false">CHOOSE(WEEKDAY($A222,2),"Mon","Tue","Wed","Thu","Fri","Sat","Sun")</f>
        <v>Sun</v>
      </c>
      <c r="C222" s="12"/>
      <c r="D222" s="12"/>
      <c r="E222" s="13" t="str">
        <f aca="false">IF($C222="","",$C222-N($D222))</f>
        <v/>
      </c>
      <c r="F222" s="13" t="str">
        <f aca="false">IF($C222="","",$C222-MAX(0,N($D222)-BreakAllow*$C222))</f>
        <v/>
      </c>
      <c r="G222" s="12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5" t="str">
        <f aca="false">IF(COUNT(H222:S222)=0,"",SUM(H222:S222))</f>
        <v/>
      </c>
      <c r="U222" s="16" t="str">
        <f aca="false">IF($C222="","",IFERROR(INDEX(RateValues,MATCH(SUMPRODUCT(MAX((RateDates&lt;=$A222)*RateDates)),RateDates,0)),0))</f>
        <v/>
      </c>
      <c r="V222" s="17" t="str">
        <f aca="false">IF($C222="","",$F222*$U222)</f>
        <v/>
      </c>
      <c r="W222" s="18" t="n">
        <f aca="false">$A222-WEEKDAY($A222,2)+1</f>
        <v>46496</v>
      </c>
      <c r="X222" s="19" t="str">
        <f aca="false">IF(AND($C222="",T222=""),"",IF(AND(N($C222)&gt;0,N(T222)=0),"nobody marked present",IF(N($D222)&gt;N($C222),"more broken than moulded",IF(AND($C222="",N(T222)&gt;0),"attendance marked but no blocks entered",IF(AND(N($C222)&gt;0,N(U222)=0),"no pay rate for this date - see Settings",IF(SUMPRODUCT((H222:S222&lt;&gt;"")*(H$4:S$4=""))&gt;0,"attendance in an empty worker slot",""))))))</f>
        <v/>
      </c>
      <c r="Y222" s="20"/>
    </row>
    <row r="223" customFormat="false" ht="15" hidden="false" customHeight="false" outlineLevel="0" collapsed="false">
      <c r="A223" s="10" t="n">
        <v>46503</v>
      </c>
      <c r="B223" s="11" t="str">
        <f aca="false">CHOOSE(WEEKDAY($A223,2),"Mon","Tue","Wed","Thu","Fri","Sat","Sun")</f>
        <v>Mon</v>
      </c>
      <c r="C223" s="12"/>
      <c r="D223" s="12"/>
      <c r="E223" s="13" t="str">
        <f aca="false">IF($C223="","",$C223-N($D223))</f>
        <v/>
      </c>
      <c r="F223" s="13" t="str">
        <f aca="false">IF($C223="","",$C223-MAX(0,N($D223)-BreakAllow*$C223))</f>
        <v/>
      </c>
      <c r="G223" s="12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5" t="str">
        <f aca="false">IF(COUNT(H223:S223)=0,"",SUM(H223:S223))</f>
        <v/>
      </c>
      <c r="U223" s="16" t="str">
        <f aca="false">IF($C223="","",IFERROR(INDEX(RateValues,MATCH(SUMPRODUCT(MAX((RateDates&lt;=$A223)*RateDates)),RateDates,0)),0))</f>
        <v/>
      </c>
      <c r="V223" s="17" t="str">
        <f aca="false">IF($C223="","",$F223*$U223)</f>
        <v/>
      </c>
      <c r="W223" s="18" t="n">
        <f aca="false">$A223-WEEKDAY($A223,2)+1</f>
        <v>46503</v>
      </c>
      <c r="X223" s="19" t="str">
        <f aca="false">IF(AND($C223="",T223=""),"",IF(AND(N($C223)&gt;0,N(T223)=0),"nobody marked present",IF(N($D223)&gt;N($C223),"more broken than moulded",IF(AND($C223="",N(T223)&gt;0),"attendance marked but no blocks entered",IF(AND(N($C223)&gt;0,N(U223)=0),"no pay rate for this date - see Settings",IF(SUMPRODUCT((H223:S223&lt;&gt;"")*(H$4:S$4=""))&gt;0,"attendance in an empty worker slot",""))))))</f>
        <v/>
      </c>
      <c r="Y223" s="20"/>
    </row>
    <row r="224" customFormat="false" ht="15" hidden="false" customHeight="false" outlineLevel="0" collapsed="false">
      <c r="A224" s="10" t="n">
        <v>46504</v>
      </c>
      <c r="B224" s="11" t="str">
        <f aca="false">CHOOSE(WEEKDAY($A224,2),"Mon","Tue","Wed","Thu","Fri","Sat","Sun")</f>
        <v>Tue</v>
      </c>
      <c r="C224" s="12"/>
      <c r="D224" s="12"/>
      <c r="E224" s="13" t="str">
        <f aca="false">IF($C224="","",$C224-N($D224))</f>
        <v/>
      </c>
      <c r="F224" s="13" t="str">
        <f aca="false">IF($C224="","",$C224-MAX(0,N($D224)-BreakAllow*$C224))</f>
        <v/>
      </c>
      <c r="G224" s="12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5" t="str">
        <f aca="false">IF(COUNT(H224:S224)=0,"",SUM(H224:S224))</f>
        <v/>
      </c>
      <c r="U224" s="16" t="str">
        <f aca="false">IF($C224="","",IFERROR(INDEX(RateValues,MATCH(SUMPRODUCT(MAX((RateDates&lt;=$A224)*RateDates)),RateDates,0)),0))</f>
        <v/>
      </c>
      <c r="V224" s="17" t="str">
        <f aca="false">IF($C224="","",$F224*$U224)</f>
        <v/>
      </c>
      <c r="W224" s="18" t="n">
        <f aca="false">$A224-WEEKDAY($A224,2)+1</f>
        <v>46503</v>
      </c>
      <c r="X224" s="19" t="str">
        <f aca="false">IF(AND($C224="",T224=""),"",IF(AND(N($C224)&gt;0,N(T224)=0),"nobody marked present",IF(N($D224)&gt;N($C224),"more broken than moulded",IF(AND($C224="",N(T224)&gt;0),"attendance marked but no blocks entered",IF(AND(N($C224)&gt;0,N(U224)=0),"no pay rate for this date - see Settings",IF(SUMPRODUCT((H224:S224&lt;&gt;"")*(H$4:S$4=""))&gt;0,"attendance in an empty worker slot",""))))))</f>
        <v/>
      </c>
      <c r="Y224" s="20"/>
    </row>
    <row r="225" customFormat="false" ht="15" hidden="false" customHeight="false" outlineLevel="0" collapsed="false">
      <c r="A225" s="10" t="n">
        <v>46505</v>
      </c>
      <c r="B225" s="11" t="str">
        <f aca="false">CHOOSE(WEEKDAY($A225,2),"Mon","Tue","Wed","Thu","Fri","Sat","Sun")</f>
        <v>Wed</v>
      </c>
      <c r="C225" s="12"/>
      <c r="D225" s="12"/>
      <c r="E225" s="13" t="str">
        <f aca="false">IF($C225="","",$C225-N($D225))</f>
        <v/>
      </c>
      <c r="F225" s="13" t="str">
        <f aca="false">IF($C225="","",$C225-MAX(0,N($D225)-BreakAllow*$C225))</f>
        <v/>
      </c>
      <c r="G225" s="12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5" t="str">
        <f aca="false">IF(COUNT(H225:S225)=0,"",SUM(H225:S225))</f>
        <v/>
      </c>
      <c r="U225" s="16" t="str">
        <f aca="false">IF($C225="","",IFERROR(INDEX(RateValues,MATCH(SUMPRODUCT(MAX((RateDates&lt;=$A225)*RateDates)),RateDates,0)),0))</f>
        <v/>
      </c>
      <c r="V225" s="17" t="str">
        <f aca="false">IF($C225="","",$F225*$U225)</f>
        <v/>
      </c>
      <c r="W225" s="18" t="n">
        <f aca="false">$A225-WEEKDAY($A225,2)+1</f>
        <v>46503</v>
      </c>
      <c r="X225" s="19" t="str">
        <f aca="false">IF(AND($C225="",T225=""),"",IF(AND(N($C225)&gt;0,N(T225)=0),"nobody marked present",IF(N($D225)&gt;N($C225),"more broken than moulded",IF(AND($C225="",N(T225)&gt;0),"attendance marked but no blocks entered",IF(AND(N($C225)&gt;0,N(U225)=0),"no pay rate for this date - see Settings",IF(SUMPRODUCT((H225:S225&lt;&gt;"")*(H$4:S$4=""))&gt;0,"attendance in an empty worker slot",""))))))</f>
        <v/>
      </c>
      <c r="Y225" s="20"/>
    </row>
    <row r="226" customFormat="false" ht="15" hidden="false" customHeight="false" outlineLevel="0" collapsed="false">
      <c r="A226" s="10" t="n">
        <v>46506</v>
      </c>
      <c r="B226" s="11" t="str">
        <f aca="false">CHOOSE(WEEKDAY($A226,2),"Mon","Tue","Wed","Thu","Fri","Sat","Sun")</f>
        <v>Thu</v>
      </c>
      <c r="C226" s="12"/>
      <c r="D226" s="12"/>
      <c r="E226" s="13" t="str">
        <f aca="false">IF($C226="","",$C226-N($D226))</f>
        <v/>
      </c>
      <c r="F226" s="13" t="str">
        <f aca="false">IF($C226="","",$C226-MAX(0,N($D226)-BreakAllow*$C226))</f>
        <v/>
      </c>
      <c r="G226" s="12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5" t="str">
        <f aca="false">IF(COUNT(H226:S226)=0,"",SUM(H226:S226))</f>
        <v/>
      </c>
      <c r="U226" s="16" t="str">
        <f aca="false">IF($C226="","",IFERROR(INDEX(RateValues,MATCH(SUMPRODUCT(MAX((RateDates&lt;=$A226)*RateDates)),RateDates,0)),0))</f>
        <v/>
      </c>
      <c r="V226" s="17" t="str">
        <f aca="false">IF($C226="","",$F226*$U226)</f>
        <v/>
      </c>
      <c r="W226" s="18" t="n">
        <f aca="false">$A226-WEEKDAY($A226,2)+1</f>
        <v>46503</v>
      </c>
      <c r="X226" s="19" t="str">
        <f aca="false">IF(AND($C226="",T226=""),"",IF(AND(N($C226)&gt;0,N(T226)=0),"nobody marked present",IF(N($D226)&gt;N($C226),"more broken than moulded",IF(AND($C226="",N(T226)&gt;0),"attendance marked but no blocks entered",IF(AND(N($C226)&gt;0,N(U226)=0),"no pay rate for this date - see Settings",IF(SUMPRODUCT((H226:S226&lt;&gt;"")*(H$4:S$4=""))&gt;0,"attendance in an empty worker slot",""))))))</f>
        <v/>
      </c>
      <c r="Y226" s="20"/>
    </row>
    <row r="227" customFormat="false" ht="15" hidden="false" customHeight="false" outlineLevel="0" collapsed="false">
      <c r="A227" s="10" t="n">
        <v>46507</v>
      </c>
      <c r="B227" s="11" t="str">
        <f aca="false">CHOOSE(WEEKDAY($A227,2),"Mon","Tue","Wed","Thu","Fri","Sat","Sun")</f>
        <v>Fri</v>
      </c>
      <c r="C227" s="12"/>
      <c r="D227" s="12"/>
      <c r="E227" s="13" t="str">
        <f aca="false">IF($C227="","",$C227-N($D227))</f>
        <v/>
      </c>
      <c r="F227" s="13" t="str">
        <f aca="false">IF($C227="","",$C227-MAX(0,N($D227)-BreakAllow*$C227))</f>
        <v/>
      </c>
      <c r="G227" s="12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5" t="str">
        <f aca="false">IF(COUNT(H227:S227)=0,"",SUM(H227:S227))</f>
        <v/>
      </c>
      <c r="U227" s="16" t="str">
        <f aca="false">IF($C227="","",IFERROR(INDEX(RateValues,MATCH(SUMPRODUCT(MAX((RateDates&lt;=$A227)*RateDates)),RateDates,0)),0))</f>
        <v/>
      </c>
      <c r="V227" s="17" t="str">
        <f aca="false">IF($C227="","",$F227*$U227)</f>
        <v/>
      </c>
      <c r="W227" s="18" t="n">
        <f aca="false">$A227-WEEKDAY($A227,2)+1</f>
        <v>46503</v>
      </c>
      <c r="X227" s="19" t="str">
        <f aca="false">IF(AND($C227="",T227=""),"",IF(AND(N($C227)&gt;0,N(T227)=0),"nobody marked present",IF(N($D227)&gt;N($C227),"more broken than moulded",IF(AND($C227="",N(T227)&gt;0),"attendance marked but no blocks entered",IF(AND(N($C227)&gt;0,N(U227)=0),"no pay rate for this date - see Settings",IF(SUMPRODUCT((H227:S227&lt;&gt;"")*(H$4:S$4=""))&gt;0,"attendance in an empty worker slot",""))))))</f>
        <v/>
      </c>
      <c r="Y227" s="20"/>
    </row>
    <row r="228" customFormat="false" ht="15" hidden="false" customHeight="false" outlineLevel="0" collapsed="false">
      <c r="A228" s="10" t="n">
        <v>46508</v>
      </c>
      <c r="B228" s="11" t="str">
        <f aca="false">CHOOSE(WEEKDAY($A228,2),"Mon","Tue","Wed","Thu","Fri","Sat","Sun")</f>
        <v>Sat</v>
      </c>
      <c r="C228" s="12"/>
      <c r="D228" s="12"/>
      <c r="E228" s="13" t="str">
        <f aca="false">IF($C228="","",$C228-N($D228))</f>
        <v/>
      </c>
      <c r="F228" s="13" t="str">
        <f aca="false">IF($C228="","",$C228-MAX(0,N($D228)-BreakAllow*$C228))</f>
        <v/>
      </c>
      <c r="G228" s="12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5" t="str">
        <f aca="false">IF(COUNT(H228:S228)=0,"",SUM(H228:S228))</f>
        <v/>
      </c>
      <c r="U228" s="16" t="str">
        <f aca="false">IF($C228="","",IFERROR(INDEX(RateValues,MATCH(SUMPRODUCT(MAX((RateDates&lt;=$A228)*RateDates)),RateDates,0)),0))</f>
        <v/>
      </c>
      <c r="V228" s="17" t="str">
        <f aca="false">IF($C228="","",$F228*$U228)</f>
        <v/>
      </c>
      <c r="W228" s="18" t="n">
        <f aca="false">$A228-WEEKDAY($A228,2)+1</f>
        <v>46503</v>
      </c>
      <c r="X228" s="19" t="str">
        <f aca="false">IF(AND($C228="",T228=""),"",IF(AND(N($C228)&gt;0,N(T228)=0),"nobody marked present",IF(N($D228)&gt;N($C228),"more broken than moulded",IF(AND($C228="",N(T228)&gt;0),"attendance marked but no blocks entered",IF(AND(N($C228)&gt;0,N(U228)=0),"no pay rate for this date - see Settings",IF(SUMPRODUCT((H228:S228&lt;&gt;"")*(H$4:S$4=""))&gt;0,"attendance in an empty worker slot",""))))))</f>
        <v/>
      </c>
      <c r="Y228" s="20"/>
    </row>
    <row r="229" customFormat="false" ht="15" hidden="false" customHeight="false" outlineLevel="0" collapsed="false">
      <c r="A229" s="21" t="n">
        <v>46509</v>
      </c>
      <c r="B229" s="22" t="str">
        <f aca="false">CHOOSE(WEEKDAY($A229,2),"Mon","Tue","Wed","Thu","Fri","Sat","Sun")</f>
        <v>Sun</v>
      </c>
      <c r="C229" s="12"/>
      <c r="D229" s="12"/>
      <c r="E229" s="13" t="str">
        <f aca="false">IF($C229="","",$C229-N($D229))</f>
        <v/>
      </c>
      <c r="F229" s="13" t="str">
        <f aca="false">IF($C229="","",$C229-MAX(0,N($D229)-BreakAllow*$C229))</f>
        <v/>
      </c>
      <c r="G229" s="12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5" t="str">
        <f aca="false">IF(COUNT(H229:S229)=0,"",SUM(H229:S229))</f>
        <v/>
      </c>
      <c r="U229" s="16" t="str">
        <f aca="false">IF($C229="","",IFERROR(INDEX(RateValues,MATCH(SUMPRODUCT(MAX((RateDates&lt;=$A229)*RateDates)),RateDates,0)),0))</f>
        <v/>
      </c>
      <c r="V229" s="17" t="str">
        <f aca="false">IF($C229="","",$F229*$U229)</f>
        <v/>
      </c>
      <c r="W229" s="18" t="n">
        <f aca="false">$A229-WEEKDAY($A229,2)+1</f>
        <v>46503</v>
      </c>
      <c r="X229" s="19" t="str">
        <f aca="false">IF(AND($C229="",T229=""),"",IF(AND(N($C229)&gt;0,N(T229)=0),"nobody marked present",IF(N($D229)&gt;N($C229),"more broken than moulded",IF(AND($C229="",N(T229)&gt;0),"attendance marked but no blocks entered",IF(AND(N($C229)&gt;0,N(U229)=0),"no pay rate for this date - see Settings",IF(SUMPRODUCT((H229:S229&lt;&gt;"")*(H$4:S$4=""))&gt;0,"attendance in an empty worker slot",""))))))</f>
        <v/>
      </c>
      <c r="Y229" s="20"/>
    </row>
    <row r="230" customFormat="false" ht="15" hidden="false" customHeight="false" outlineLevel="0" collapsed="false">
      <c r="A230" s="10" t="n">
        <v>46510</v>
      </c>
      <c r="B230" s="11" t="str">
        <f aca="false">CHOOSE(WEEKDAY($A230,2),"Mon","Tue","Wed","Thu","Fri","Sat","Sun")</f>
        <v>Mon</v>
      </c>
      <c r="C230" s="12"/>
      <c r="D230" s="12"/>
      <c r="E230" s="13" t="str">
        <f aca="false">IF($C230="","",$C230-N($D230))</f>
        <v/>
      </c>
      <c r="F230" s="13" t="str">
        <f aca="false">IF($C230="","",$C230-MAX(0,N($D230)-BreakAllow*$C230))</f>
        <v/>
      </c>
      <c r="G230" s="12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5" t="str">
        <f aca="false">IF(COUNT(H230:S230)=0,"",SUM(H230:S230))</f>
        <v/>
      </c>
      <c r="U230" s="16" t="str">
        <f aca="false">IF($C230="","",IFERROR(INDEX(RateValues,MATCH(SUMPRODUCT(MAX((RateDates&lt;=$A230)*RateDates)),RateDates,0)),0))</f>
        <v/>
      </c>
      <c r="V230" s="17" t="str">
        <f aca="false">IF($C230="","",$F230*$U230)</f>
        <v/>
      </c>
      <c r="W230" s="18" t="n">
        <f aca="false">$A230-WEEKDAY($A230,2)+1</f>
        <v>46510</v>
      </c>
      <c r="X230" s="19" t="str">
        <f aca="false">IF(AND($C230="",T230=""),"",IF(AND(N($C230)&gt;0,N(T230)=0),"nobody marked present",IF(N($D230)&gt;N($C230),"more broken than moulded",IF(AND($C230="",N(T230)&gt;0),"attendance marked but no blocks entered",IF(AND(N($C230)&gt;0,N(U230)=0),"no pay rate for this date - see Settings",IF(SUMPRODUCT((H230:S230&lt;&gt;"")*(H$4:S$4=""))&gt;0,"attendance in an empty worker slot",""))))))</f>
        <v/>
      </c>
      <c r="Y230" s="20"/>
    </row>
    <row r="231" customFormat="false" ht="15" hidden="false" customHeight="false" outlineLevel="0" collapsed="false">
      <c r="A231" s="10" t="n">
        <v>46511</v>
      </c>
      <c r="B231" s="11" t="str">
        <f aca="false">CHOOSE(WEEKDAY($A231,2),"Mon","Tue","Wed","Thu","Fri","Sat","Sun")</f>
        <v>Tue</v>
      </c>
      <c r="C231" s="12"/>
      <c r="D231" s="12"/>
      <c r="E231" s="13" t="str">
        <f aca="false">IF($C231="","",$C231-N($D231))</f>
        <v/>
      </c>
      <c r="F231" s="13" t="str">
        <f aca="false">IF($C231="","",$C231-MAX(0,N($D231)-BreakAllow*$C231))</f>
        <v/>
      </c>
      <c r="G231" s="12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5" t="str">
        <f aca="false">IF(COUNT(H231:S231)=0,"",SUM(H231:S231))</f>
        <v/>
      </c>
      <c r="U231" s="16" t="str">
        <f aca="false">IF($C231="","",IFERROR(INDEX(RateValues,MATCH(SUMPRODUCT(MAX((RateDates&lt;=$A231)*RateDates)),RateDates,0)),0))</f>
        <v/>
      </c>
      <c r="V231" s="17" t="str">
        <f aca="false">IF($C231="","",$F231*$U231)</f>
        <v/>
      </c>
      <c r="W231" s="18" t="n">
        <f aca="false">$A231-WEEKDAY($A231,2)+1</f>
        <v>46510</v>
      </c>
      <c r="X231" s="19" t="str">
        <f aca="false">IF(AND($C231="",T231=""),"",IF(AND(N($C231)&gt;0,N(T231)=0),"nobody marked present",IF(N($D231)&gt;N($C231),"more broken than moulded",IF(AND($C231="",N(T231)&gt;0),"attendance marked but no blocks entered",IF(AND(N($C231)&gt;0,N(U231)=0),"no pay rate for this date - see Settings",IF(SUMPRODUCT((H231:S231&lt;&gt;"")*(H$4:S$4=""))&gt;0,"attendance in an empty worker slot",""))))))</f>
        <v/>
      </c>
      <c r="Y231" s="20"/>
    </row>
    <row r="232" customFormat="false" ht="15" hidden="false" customHeight="false" outlineLevel="0" collapsed="false">
      <c r="A232" s="10" t="n">
        <v>46512</v>
      </c>
      <c r="B232" s="11" t="str">
        <f aca="false">CHOOSE(WEEKDAY($A232,2),"Mon","Tue","Wed","Thu","Fri","Sat","Sun")</f>
        <v>Wed</v>
      </c>
      <c r="C232" s="12"/>
      <c r="D232" s="12"/>
      <c r="E232" s="13" t="str">
        <f aca="false">IF($C232="","",$C232-N($D232))</f>
        <v/>
      </c>
      <c r="F232" s="13" t="str">
        <f aca="false">IF($C232="","",$C232-MAX(0,N($D232)-BreakAllow*$C232))</f>
        <v/>
      </c>
      <c r="G232" s="12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5" t="str">
        <f aca="false">IF(COUNT(H232:S232)=0,"",SUM(H232:S232))</f>
        <v/>
      </c>
      <c r="U232" s="16" t="str">
        <f aca="false">IF($C232="","",IFERROR(INDEX(RateValues,MATCH(SUMPRODUCT(MAX((RateDates&lt;=$A232)*RateDates)),RateDates,0)),0))</f>
        <v/>
      </c>
      <c r="V232" s="17" t="str">
        <f aca="false">IF($C232="","",$F232*$U232)</f>
        <v/>
      </c>
      <c r="W232" s="18" t="n">
        <f aca="false">$A232-WEEKDAY($A232,2)+1</f>
        <v>46510</v>
      </c>
      <c r="X232" s="19" t="str">
        <f aca="false">IF(AND($C232="",T232=""),"",IF(AND(N($C232)&gt;0,N(T232)=0),"nobody marked present",IF(N($D232)&gt;N($C232),"more broken than moulded",IF(AND($C232="",N(T232)&gt;0),"attendance marked but no blocks entered",IF(AND(N($C232)&gt;0,N(U232)=0),"no pay rate for this date - see Settings",IF(SUMPRODUCT((H232:S232&lt;&gt;"")*(H$4:S$4=""))&gt;0,"attendance in an empty worker slot",""))))))</f>
        <v/>
      </c>
      <c r="Y232" s="20"/>
    </row>
    <row r="233" customFormat="false" ht="15" hidden="false" customHeight="false" outlineLevel="0" collapsed="false">
      <c r="A233" s="10" t="n">
        <v>46513</v>
      </c>
      <c r="B233" s="11" t="str">
        <f aca="false">CHOOSE(WEEKDAY($A233,2),"Mon","Tue","Wed","Thu","Fri","Sat","Sun")</f>
        <v>Thu</v>
      </c>
      <c r="C233" s="12"/>
      <c r="D233" s="12"/>
      <c r="E233" s="13" t="str">
        <f aca="false">IF($C233="","",$C233-N($D233))</f>
        <v/>
      </c>
      <c r="F233" s="13" t="str">
        <f aca="false">IF($C233="","",$C233-MAX(0,N($D233)-BreakAllow*$C233))</f>
        <v/>
      </c>
      <c r="G233" s="12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5" t="str">
        <f aca="false">IF(COUNT(H233:S233)=0,"",SUM(H233:S233))</f>
        <v/>
      </c>
      <c r="U233" s="16" t="str">
        <f aca="false">IF($C233="","",IFERROR(INDEX(RateValues,MATCH(SUMPRODUCT(MAX((RateDates&lt;=$A233)*RateDates)),RateDates,0)),0))</f>
        <v/>
      </c>
      <c r="V233" s="17" t="str">
        <f aca="false">IF($C233="","",$F233*$U233)</f>
        <v/>
      </c>
      <c r="W233" s="18" t="n">
        <f aca="false">$A233-WEEKDAY($A233,2)+1</f>
        <v>46510</v>
      </c>
      <c r="X233" s="19" t="str">
        <f aca="false">IF(AND($C233="",T233=""),"",IF(AND(N($C233)&gt;0,N(T233)=0),"nobody marked present",IF(N($D233)&gt;N($C233),"more broken than moulded",IF(AND($C233="",N(T233)&gt;0),"attendance marked but no blocks entered",IF(AND(N($C233)&gt;0,N(U233)=0),"no pay rate for this date - see Settings",IF(SUMPRODUCT((H233:S233&lt;&gt;"")*(H$4:S$4=""))&gt;0,"attendance in an empty worker slot",""))))))</f>
        <v/>
      </c>
      <c r="Y233" s="20"/>
    </row>
    <row r="234" customFormat="false" ht="15" hidden="false" customHeight="false" outlineLevel="0" collapsed="false">
      <c r="A234" s="10" t="n">
        <v>46514</v>
      </c>
      <c r="B234" s="11" t="str">
        <f aca="false">CHOOSE(WEEKDAY($A234,2),"Mon","Tue","Wed","Thu","Fri","Sat","Sun")</f>
        <v>Fri</v>
      </c>
      <c r="C234" s="12"/>
      <c r="D234" s="12"/>
      <c r="E234" s="13" t="str">
        <f aca="false">IF($C234="","",$C234-N($D234))</f>
        <v/>
      </c>
      <c r="F234" s="13" t="str">
        <f aca="false">IF($C234="","",$C234-MAX(0,N($D234)-BreakAllow*$C234))</f>
        <v/>
      </c>
      <c r="G234" s="12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5" t="str">
        <f aca="false">IF(COUNT(H234:S234)=0,"",SUM(H234:S234))</f>
        <v/>
      </c>
      <c r="U234" s="16" t="str">
        <f aca="false">IF($C234="","",IFERROR(INDEX(RateValues,MATCH(SUMPRODUCT(MAX((RateDates&lt;=$A234)*RateDates)),RateDates,0)),0))</f>
        <v/>
      </c>
      <c r="V234" s="17" t="str">
        <f aca="false">IF($C234="","",$F234*$U234)</f>
        <v/>
      </c>
      <c r="W234" s="18" t="n">
        <f aca="false">$A234-WEEKDAY($A234,2)+1</f>
        <v>46510</v>
      </c>
      <c r="X234" s="19" t="str">
        <f aca="false">IF(AND($C234="",T234=""),"",IF(AND(N($C234)&gt;0,N(T234)=0),"nobody marked present",IF(N($D234)&gt;N($C234),"more broken than moulded",IF(AND($C234="",N(T234)&gt;0),"attendance marked but no blocks entered",IF(AND(N($C234)&gt;0,N(U234)=0),"no pay rate for this date - see Settings",IF(SUMPRODUCT((H234:S234&lt;&gt;"")*(H$4:S$4=""))&gt;0,"attendance in an empty worker slot",""))))))</f>
        <v/>
      </c>
      <c r="Y234" s="20"/>
    </row>
    <row r="235" customFormat="false" ht="15" hidden="false" customHeight="false" outlineLevel="0" collapsed="false">
      <c r="A235" s="10" t="n">
        <v>46515</v>
      </c>
      <c r="B235" s="11" t="str">
        <f aca="false">CHOOSE(WEEKDAY($A235,2),"Mon","Tue","Wed","Thu","Fri","Sat","Sun")</f>
        <v>Sat</v>
      </c>
      <c r="C235" s="12"/>
      <c r="D235" s="12"/>
      <c r="E235" s="13" t="str">
        <f aca="false">IF($C235="","",$C235-N($D235))</f>
        <v/>
      </c>
      <c r="F235" s="13" t="str">
        <f aca="false">IF($C235="","",$C235-MAX(0,N($D235)-BreakAllow*$C235))</f>
        <v/>
      </c>
      <c r="G235" s="12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5" t="str">
        <f aca="false">IF(COUNT(H235:S235)=0,"",SUM(H235:S235))</f>
        <v/>
      </c>
      <c r="U235" s="16" t="str">
        <f aca="false">IF($C235="","",IFERROR(INDEX(RateValues,MATCH(SUMPRODUCT(MAX((RateDates&lt;=$A235)*RateDates)),RateDates,0)),0))</f>
        <v/>
      </c>
      <c r="V235" s="17" t="str">
        <f aca="false">IF($C235="","",$F235*$U235)</f>
        <v/>
      </c>
      <c r="W235" s="18" t="n">
        <f aca="false">$A235-WEEKDAY($A235,2)+1</f>
        <v>46510</v>
      </c>
      <c r="X235" s="19" t="str">
        <f aca="false">IF(AND($C235="",T235=""),"",IF(AND(N($C235)&gt;0,N(T235)=0),"nobody marked present",IF(N($D235)&gt;N($C235),"more broken than moulded",IF(AND($C235="",N(T235)&gt;0),"attendance marked but no blocks entered",IF(AND(N($C235)&gt;0,N(U235)=0),"no pay rate for this date - see Settings",IF(SUMPRODUCT((H235:S235&lt;&gt;"")*(H$4:S$4=""))&gt;0,"attendance in an empty worker slot",""))))))</f>
        <v/>
      </c>
      <c r="Y235" s="20"/>
    </row>
    <row r="236" customFormat="false" ht="15" hidden="false" customHeight="false" outlineLevel="0" collapsed="false">
      <c r="A236" s="21" t="n">
        <v>46516</v>
      </c>
      <c r="B236" s="22" t="str">
        <f aca="false">CHOOSE(WEEKDAY($A236,2),"Mon","Tue","Wed","Thu","Fri","Sat","Sun")</f>
        <v>Sun</v>
      </c>
      <c r="C236" s="12"/>
      <c r="D236" s="12"/>
      <c r="E236" s="13" t="str">
        <f aca="false">IF($C236="","",$C236-N($D236))</f>
        <v/>
      </c>
      <c r="F236" s="13" t="str">
        <f aca="false">IF($C236="","",$C236-MAX(0,N($D236)-BreakAllow*$C236))</f>
        <v/>
      </c>
      <c r="G236" s="12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5" t="str">
        <f aca="false">IF(COUNT(H236:S236)=0,"",SUM(H236:S236))</f>
        <v/>
      </c>
      <c r="U236" s="16" t="str">
        <f aca="false">IF($C236="","",IFERROR(INDEX(RateValues,MATCH(SUMPRODUCT(MAX((RateDates&lt;=$A236)*RateDates)),RateDates,0)),0))</f>
        <v/>
      </c>
      <c r="V236" s="17" t="str">
        <f aca="false">IF($C236="","",$F236*$U236)</f>
        <v/>
      </c>
      <c r="W236" s="18" t="n">
        <f aca="false">$A236-WEEKDAY($A236,2)+1</f>
        <v>46510</v>
      </c>
      <c r="X236" s="19" t="str">
        <f aca="false">IF(AND($C236="",T236=""),"",IF(AND(N($C236)&gt;0,N(T236)=0),"nobody marked present",IF(N($D236)&gt;N($C236),"more broken than moulded",IF(AND($C236="",N(T236)&gt;0),"attendance marked but no blocks entered",IF(AND(N($C236)&gt;0,N(U236)=0),"no pay rate for this date - see Settings",IF(SUMPRODUCT((H236:S236&lt;&gt;"")*(H$4:S$4=""))&gt;0,"attendance in an empty worker slot",""))))))</f>
        <v/>
      </c>
      <c r="Y236" s="20"/>
    </row>
    <row r="237" customFormat="false" ht="15" hidden="false" customHeight="false" outlineLevel="0" collapsed="false">
      <c r="A237" s="10" t="n">
        <v>46517</v>
      </c>
      <c r="B237" s="11" t="str">
        <f aca="false">CHOOSE(WEEKDAY($A237,2),"Mon","Tue","Wed","Thu","Fri","Sat","Sun")</f>
        <v>Mon</v>
      </c>
      <c r="C237" s="12"/>
      <c r="D237" s="12"/>
      <c r="E237" s="13" t="str">
        <f aca="false">IF($C237="","",$C237-N($D237))</f>
        <v/>
      </c>
      <c r="F237" s="13" t="str">
        <f aca="false">IF($C237="","",$C237-MAX(0,N($D237)-BreakAllow*$C237))</f>
        <v/>
      </c>
      <c r="G237" s="12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5" t="str">
        <f aca="false">IF(COUNT(H237:S237)=0,"",SUM(H237:S237))</f>
        <v/>
      </c>
      <c r="U237" s="16" t="str">
        <f aca="false">IF($C237="","",IFERROR(INDEX(RateValues,MATCH(SUMPRODUCT(MAX((RateDates&lt;=$A237)*RateDates)),RateDates,0)),0))</f>
        <v/>
      </c>
      <c r="V237" s="17" t="str">
        <f aca="false">IF($C237="","",$F237*$U237)</f>
        <v/>
      </c>
      <c r="W237" s="18" t="n">
        <f aca="false">$A237-WEEKDAY($A237,2)+1</f>
        <v>46517</v>
      </c>
      <c r="X237" s="19" t="str">
        <f aca="false">IF(AND($C237="",T237=""),"",IF(AND(N($C237)&gt;0,N(T237)=0),"nobody marked present",IF(N($D237)&gt;N($C237),"more broken than moulded",IF(AND($C237="",N(T237)&gt;0),"attendance marked but no blocks entered",IF(AND(N($C237)&gt;0,N(U237)=0),"no pay rate for this date - see Settings",IF(SUMPRODUCT((H237:S237&lt;&gt;"")*(H$4:S$4=""))&gt;0,"attendance in an empty worker slot",""))))))</f>
        <v/>
      </c>
      <c r="Y237" s="20"/>
    </row>
    <row r="238" customFormat="false" ht="15" hidden="false" customHeight="false" outlineLevel="0" collapsed="false">
      <c r="A238" s="10" t="n">
        <v>46518</v>
      </c>
      <c r="B238" s="11" t="str">
        <f aca="false">CHOOSE(WEEKDAY($A238,2),"Mon","Tue","Wed","Thu","Fri","Sat","Sun")</f>
        <v>Tue</v>
      </c>
      <c r="C238" s="12"/>
      <c r="D238" s="12"/>
      <c r="E238" s="13" t="str">
        <f aca="false">IF($C238="","",$C238-N($D238))</f>
        <v/>
      </c>
      <c r="F238" s="13" t="str">
        <f aca="false">IF($C238="","",$C238-MAX(0,N($D238)-BreakAllow*$C238))</f>
        <v/>
      </c>
      <c r="G238" s="12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5" t="str">
        <f aca="false">IF(COUNT(H238:S238)=0,"",SUM(H238:S238))</f>
        <v/>
      </c>
      <c r="U238" s="16" t="str">
        <f aca="false">IF($C238="","",IFERROR(INDEX(RateValues,MATCH(SUMPRODUCT(MAX((RateDates&lt;=$A238)*RateDates)),RateDates,0)),0))</f>
        <v/>
      </c>
      <c r="V238" s="17" t="str">
        <f aca="false">IF($C238="","",$F238*$U238)</f>
        <v/>
      </c>
      <c r="W238" s="18" t="n">
        <f aca="false">$A238-WEEKDAY($A238,2)+1</f>
        <v>46517</v>
      </c>
      <c r="X238" s="19" t="str">
        <f aca="false">IF(AND($C238="",T238=""),"",IF(AND(N($C238)&gt;0,N(T238)=0),"nobody marked present",IF(N($D238)&gt;N($C238),"more broken than moulded",IF(AND($C238="",N(T238)&gt;0),"attendance marked but no blocks entered",IF(AND(N($C238)&gt;0,N(U238)=0),"no pay rate for this date - see Settings",IF(SUMPRODUCT((H238:S238&lt;&gt;"")*(H$4:S$4=""))&gt;0,"attendance in an empty worker slot",""))))))</f>
        <v/>
      </c>
      <c r="Y238" s="20"/>
    </row>
    <row r="239" customFormat="false" ht="15" hidden="false" customHeight="false" outlineLevel="0" collapsed="false">
      <c r="A239" s="10" t="n">
        <v>46519</v>
      </c>
      <c r="B239" s="11" t="str">
        <f aca="false">CHOOSE(WEEKDAY($A239,2),"Mon","Tue","Wed","Thu","Fri","Sat","Sun")</f>
        <v>Wed</v>
      </c>
      <c r="C239" s="12"/>
      <c r="D239" s="12"/>
      <c r="E239" s="13" t="str">
        <f aca="false">IF($C239="","",$C239-N($D239))</f>
        <v/>
      </c>
      <c r="F239" s="13" t="str">
        <f aca="false">IF($C239="","",$C239-MAX(0,N($D239)-BreakAllow*$C239))</f>
        <v/>
      </c>
      <c r="G239" s="12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5" t="str">
        <f aca="false">IF(COUNT(H239:S239)=0,"",SUM(H239:S239))</f>
        <v/>
      </c>
      <c r="U239" s="16" t="str">
        <f aca="false">IF($C239="","",IFERROR(INDEX(RateValues,MATCH(SUMPRODUCT(MAX((RateDates&lt;=$A239)*RateDates)),RateDates,0)),0))</f>
        <v/>
      </c>
      <c r="V239" s="17" t="str">
        <f aca="false">IF($C239="","",$F239*$U239)</f>
        <v/>
      </c>
      <c r="W239" s="18" t="n">
        <f aca="false">$A239-WEEKDAY($A239,2)+1</f>
        <v>46517</v>
      </c>
      <c r="X239" s="19" t="str">
        <f aca="false">IF(AND($C239="",T239=""),"",IF(AND(N($C239)&gt;0,N(T239)=0),"nobody marked present",IF(N($D239)&gt;N($C239),"more broken than moulded",IF(AND($C239="",N(T239)&gt;0),"attendance marked but no blocks entered",IF(AND(N($C239)&gt;0,N(U239)=0),"no pay rate for this date - see Settings",IF(SUMPRODUCT((H239:S239&lt;&gt;"")*(H$4:S$4=""))&gt;0,"attendance in an empty worker slot",""))))))</f>
        <v/>
      </c>
      <c r="Y239" s="20"/>
    </row>
    <row r="240" customFormat="false" ht="15" hidden="false" customHeight="false" outlineLevel="0" collapsed="false">
      <c r="A240" s="10" t="n">
        <v>46520</v>
      </c>
      <c r="B240" s="11" t="str">
        <f aca="false">CHOOSE(WEEKDAY($A240,2),"Mon","Tue","Wed","Thu","Fri","Sat","Sun")</f>
        <v>Thu</v>
      </c>
      <c r="C240" s="12"/>
      <c r="D240" s="12"/>
      <c r="E240" s="13" t="str">
        <f aca="false">IF($C240="","",$C240-N($D240))</f>
        <v/>
      </c>
      <c r="F240" s="13" t="str">
        <f aca="false">IF($C240="","",$C240-MAX(0,N($D240)-BreakAllow*$C240))</f>
        <v/>
      </c>
      <c r="G240" s="12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5" t="str">
        <f aca="false">IF(COUNT(H240:S240)=0,"",SUM(H240:S240))</f>
        <v/>
      </c>
      <c r="U240" s="16" t="str">
        <f aca="false">IF($C240="","",IFERROR(INDEX(RateValues,MATCH(SUMPRODUCT(MAX((RateDates&lt;=$A240)*RateDates)),RateDates,0)),0))</f>
        <v/>
      </c>
      <c r="V240" s="17" t="str">
        <f aca="false">IF($C240="","",$F240*$U240)</f>
        <v/>
      </c>
      <c r="W240" s="18" t="n">
        <f aca="false">$A240-WEEKDAY($A240,2)+1</f>
        <v>46517</v>
      </c>
      <c r="X240" s="19" t="str">
        <f aca="false">IF(AND($C240="",T240=""),"",IF(AND(N($C240)&gt;0,N(T240)=0),"nobody marked present",IF(N($D240)&gt;N($C240),"more broken than moulded",IF(AND($C240="",N(T240)&gt;0),"attendance marked but no blocks entered",IF(AND(N($C240)&gt;0,N(U240)=0),"no pay rate for this date - see Settings",IF(SUMPRODUCT((H240:S240&lt;&gt;"")*(H$4:S$4=""))&gt;0,"attendance in an empty worker slot",""))))))</f>
        <v/>
      </c>
      <c r="Y240" s="20"/>
    </row>
    <row r="241" customFormat="false" ht="15" hidden="false" customHeight="false" outlineLevel="0" collapsed="false">
      <c r="A241" s="10" t="n">
        <v>46521</v>
      </c>
      <c r="B241" s="11" t="str">
        <f aca="false">CHOOSE(WEEKDAY($A241,2),"Mon","Tue","Wed","Thu","Fri","Sat","Sun")</f>
        <v>Fri</v>
      </c>
      <c r="C241" s="12"/>
      <c r="D241" s="12"/>
      <c r="E241" s="13" t="str">
        <f aca="false">IF($C241="","",$C241-N($D241))</f>
        <v/>
      </c>
      <c r="F241" s="13" t="str">
        <f aca="false">IF($C241="","",$C241-MAX(0,N($D241)-BreakAllow*$C241))</f>
        <v/>
      </c>
      <c r="G241" s="12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5" t="str">
        <f aca="false">IF(COUNT(H241:S241)=0,"",SUM(H241:S241))</f>
        <v/>
      </c>
      <c r="U241" s="16" t="str">
        <f aca="false">IF($C241="","",IFERROR(INDEX(RateValues,MATCH(SUMPRODUCT(MAX((RateDates&lt;=$A241)*RateDates)),RateDates,0)),0))</f>
        <v/>
      </c>
      <c r="V241" s="17" t="str">
        <f aca="false">IF($C241="","",$F241*$U241)</f>
        <v/>
      </c>
      <c r="W241" s="18" t="n">
        <f aca="false">$A241-WEEKDAY($A241,2)+1</f>
        <v>46517</v>
      </c>
      <c r="X241" s="19" t="str">
        <f aca="false">IF(AND($C241="",T241=""),"",IF(AND(N($C241)&gt;0,N(T241)=0),"nobody marked present",IF(N($D241)&gt;N($C241),"more broken than moulded",IF(AND($C241="",N(T241)&gt;0),"attendance marked but no blocks entered",IF(AND(N($C241)&gt;0,N(U241)=0),"no pay rate for this date - see Settings",IF(SUMPRODUCT((H241:S241&lt;&gt;"")*(H$4:S$4=""))&gt;0,"attendance in an empty worker slot",""))))))</f>
        <v/>
      </c>
      <c r="Y241" s="20"/>
    </row>
    <row r="242" customFormat="false" ht="15" hidden="false" customHeight="false" outlineLevel="0" collapsed="false">
      <c r="A242" s="10" t="n">
        <v>46522</v>
      </c>
      <c r="B242" s="11" t="str">
        <f aca="false">CHOOSE(WEEKDAY($A242,2),"Mon","Tue","Wed","Thu","Fri","Sat","Sun")</f>
        <v>Sat</v>
      </c>
      <c r="C242" s="12"/>
      <c r="D242" s="12"/>
      <c r="E242" s="13" t="str">
        <f aca="false">IF($C242="","",$C242-N($D242))</f>
        <v/>
      </c>
      <c r="F242" s="13" t="str">
        <f aca="false">IF($C242="","",$C242-MAX(0,N($D242)-BreakAllow*$C242))</f>
        <v/>
      </c>
      <c r="G242" s="12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5" t="str">
        <f aca="false">IF(COUNT(H242:S242)=0,"",SUM(H242:S242))</f>
        <v/>
      </c>
      <c r="U242" s="16" t="str">
        <f aca="false">IF($C242="","",IFERROR(INDEX(RateValues,MATCH(SUMPRODUCT(MAX((RateDates&lt;=$A242)*RateDates)),RateDates,0)),0))</f>
        <v/>
      </c>
      <c r="V242" s="17" t="str">
        <f aca="false">IF($C242="","",$F242*$U242)</f>
        <v/>
      </c>
      <c r="W242" s="18" t="n">
        <f aca="false">$A242-WEEKDAY($A242,2)+1</f>
        <v>46517</v>
      </c>
      <c r="X242" s="19" t="str">
        <f aca="false">IF(AND($C242="",T242=""),"",IF(AND(N($C242)&gt;0,N(T242)=0),"nobody marked present",IF(N($D242)&gt;N($C242),"more broken than moulded",IF(AND($C242="",N(T242)&gt;0),"attendance marked but no blocks entered",IF(AND(N($C242)&gt;0,N(U242)=0),"no pay rate for this date - see Settings",IF(SUMPRODUCT((H242:S242&lt;&gt;"")*(H$4:S$4=""))&gt;0,"attendance in an empty worker slot",""))))))</f>
        <v/>
      </c>
      <c r="Y242" s="20"/>
    </row>
    <row r="243" customFormat="false" ht="15" hidden="false" customHeight="false" outlineLevel="0" collapsed="false">
      <c r="A243" s="21" t="n">
        <v>46523</v>
      </c>
      <c r="B243" s="22" t="str">
        <f aca="false">CHOOSE(WEEKDAY($A243,2),"Mon","Tue","Wed","Thu","Fri","Sat","Sun")</f>
        <v>Sun</v>
      </c>
      <c r="C243" s="12"/>
      <c r="D243" s="12"/>
      <c r="E243" s="13" t="str">
        <f aca="false">IF($C243="","",$C243-N($D243))</f>
        <v/>
      </c>
      <c r="F243" s="13" t="str">
        <f aca="false">IF($C243="","",$C243-MAX(0,N($D243)-BreakAllow*$C243))</f>
        <v/>
      </c>
      <c r="G243" s="12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5" t="str">
        <f aca="false">IF(COUNT(H243:S243)=0,"",SUM(H243:S243))</f>
        <v/>
      </c>
      <c r="U243" s="16" t="str">
        <f aca="false">IF($C243="","",IFERROR(INDEX(RateValues,MATCH(SUMPRODUCT(MAX((RateDates&lt;=$A243)*RateDates)),RateDates,0)),0))</f>
        <v/>
      </c>
      <c r="V243" s="17" t="str">
        <f aca="false">IF($C243="","",$F243*$U243)</f>
        <v/>
      </c>
      <c r="W243" s="18" t="n">
        <f aca="false">$A243-WEEKDAY($A243,2)+1</f>
        <v>46517</v>
      </c>
      <c r="X243" s="19" t="str">
        <f aca="false">IF(AND($C243="",T243=""),"",IF(AND(N($C243)&gt;0,N(T243)=0),"nobody marked present",IF(N($D243)&gt;N($C243),"more broken than moulded",IF(AND($C243="",N(T243)&gt;0),"attendance marked but no blocks entered",IF(AND(N($C243)&gt;0,N(U243)=0),"no pay rate for this date - see Settings",IF(SUMPRODUCT((H243:S243&lt;&gt;"")*(H$4:S$4=""))&gt;0,"attendance in an empty worker slot",""))))))</f>
        <v/>
      </c>
      <c r="Y243" s="20"/>
    </row>
    <row r="244" customFormat="false" ht="15" hidden="false" customHeight="false" outlineLevel="0" collapsed="false">
      <c r="A244" s="10" t="n">
        <v>46524</v>
      </c>
      <c r="B244" s="11" t="str">
        <f aca="false">CHOOSE(WEEKDAY($A244,2),"Mon","Tue","Wed","Thu","Fri","Sat","Sun")</f>
        <v>Mon</v>
      </c>
      <c r="C244" s="12"/>
      <c r="D244" s="12"/>
      <c r="E244" s="13" t="str">
        <f aca="false">IF($C244="","",$C244-N($D244))</f>
        <v/>
      </c>
      <c r="F244" s="13" t="str">
        <f aca="false">IF($C244="","",$C244-MAX(0,N($D244)-BreakAllow*$C244))</f>
        <v/>
      </c>
      <c r="G244" s="12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5" t="str">
        <f aca="false">IF(COUNT(H244:S244)=0,"",SUM(H244:S244))</f>
        <v/>
      </c>
      <c r="U244" s="16" t="str">
        <f aca="false">IF($C244="","",IFERROR(INDEX(RateValues,MATCH(SUMPRODUCT(MAX((RateDates&lt;=$A244)*RateDates)),RateDates,0)),0))</f>
        <v/>
      </c>
      <c r="V244" s="17" t="str">
        <f aca="false">IF($C244="","",$F244*$U244)</f>
        <v/>
      </c>
      <c r="W244" s="18" t="n">
        <f aca="false">$A244-WEEKDAY($A244,2)+1</f>
        <v>46524</v>
      </c>
      <c r="X244" s="19" t="str">
        <f aca="false">IF(AND($C244="",T244=""),"",IF(AND(N($C244)&gt;0,N(T244)=0),"nobody marked present",IF(N($D244)&gt;N($C244),"more broken than moulded",IF(AND($C244="",N(T244)&gt;0),"attendance marked but no blocks entered",IF(AND(N($C244)&gt;0,N(U244)=0),"no pay rate for this date - see Settings",IF(SUMPRODUCT((H244:S244&lt;&gt;"")*(H$4:S$4=""))&gt;0,"attendance in an empty worker slot",""))))))</f>
        <v/>
      </c>
      <c r="Y244" s="20"/>
    </row>
    <row r="245" customFormat="false" ht="15" hidden="false" customHeight="false" outlineLevel="0" collapsed="false">
      <c r="A245" s="10" t="n">
        <v>46525</v>
      </c>
      <c r="B245" s="11" t="str">
        <f aca="false">CHOOSE(WEEKDAY($A245,2),"Mon","Tue","Wed","Thu","Fri","Sat","Sun")</f>
        <v>Tue</v>
      </c>
      <c r="C245" s="12"/>
      <c r="D245" s="12"/>
      <c r="E245" s="13" t="str">
        <f aca="false">IF($C245="","",$C245-N($D245))</f>
        <v/>
      </c>
      <c r="F245" s="13" t="str">
        <f aca="false">IF($C245="","",$C245-MAX(0,N($D245)-BreakAllow*$C245))</f>
        <v/>
      </c>
      <c r="G245" s="12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5" t="str">
        <f aca="false">IF(COUNT(H245:S245)=0,"",SUM(H245:S245))</f>
        <v/>
      </c>
      <c r="U245" s="16" t="str">
        <f aca="false">IF($C245="","",IFERROR(INDEX(RateValues,MATCH(SUMPRODUCT(MAX((RateDates&lt;=$A245)*RateDates)),RateDates,0)),0))</f>
        <v/>
      </c>
      <c r="V245" s="17" t="str">
        <f aca="false">IF($C245="","",$F245*$U245)</f>
        <v/>
      </c>
      <c r="W245" s="18" t="n">
        <f aca="false">$A245-WEEKDAY($A245,2)+1</f>
        <v>46524</v>
      </c>
      <c r="X245" s="19" t="str">
        <f aca="false">IF(AND($C245="",T245=""),"",IF(AND(N($C245)&gt;0,N(T245)=0),"nobody marked present",IF(N($D245)&gt;N($C245),"more broken than moulded",IF(AND($C245="",N(T245)&gt;0),"attendance marked but no blocks entered",IF(AND(N($C245)&gt;0,N(U245)=0),"no pay rate for this date - see Settings",IF(SUMPRODUCT((H245:S245&lt;&gt;"")*(H$4:S$4=""))&gt;0,"attendance in an empty worker slot",""))))))</f>
        <v/>
      </c>
      <c r="Y245" s="20"/>
    </row>
    <row r="246" customFormat="false" ht="15" hidden="false" customHeight="false" outlineLevel="0" collapsed="false">
      <c r="A246" s="10" t="n">
        <v>46526</v>
      </c>
      <c r="B246" s="11" t="str">
        <f aca="false">CHOOSE(WEEKDAY($A246,2),"Mon","Tue","Wed","Thu","Fri","Sat","Sun")</f>
        <v>Wed</v>
      </c>
      <c r="C246" s="12"/>
      <c r="D246" s="12"/>
      <c r="E246" s="13" t="str">
        <f aca="false">IF($C246="","",$C246-N($D246))</f>
        <v/>
      </c>
      <c r="F246" s="13" t="str">
        <f aca="false">IF($C246="","",$C246-MAX(0,N($D246)-BreakAllow*$C246))</f>
        <v/>
      </c>
      <c r="G246" s="12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5" t="str">
        <f aca="false">IF(COUNT(H246:S246)=0,"",SUM(H246:S246))</f>
        <v/>
      </c>
      <c r="U246" s="16" t="str">
        <f aca="false">IF($C246="","",IFERROR(INDEX(RateValues,MATCH(SUMPRODUCT(MAX((RateDates&lt;=$A246)*RateDates)),RateDates,0)),0))</f>
        <v/>
      </c>
      <c r="V246" s="17" t="str">
        <f aca="false">IF($C246="","",$F246*$U246)</f>
        <v/>
      </c>
      <c r="W246" s="18" t="n">
        <f aca="false">$A246-WEEKDAY($A246,2)+1</f>
        <v>46524</v>
      </c>
      <c r="X246" s="19" t="str">
        <f aca="false">IF(AND($C246="",T246=""),"",IF(AND(N($C246)&gt;0,N(T246)=0),"nobody marked present",IF(N($D246)&gt;N($C246),"more broken than moulded",IF(AND($C246="",N(T246)&gt;0),"attendance marked but no blocks entered",IF(AND(N($C246)&gt;0,N(U246)=0),"no pay rate for this date - see Settings",IF(SUMPRODUCT((H246:S246&lt;&gt;"")*(H$4:S$4=""))&gt;0,"attendance in an empty worker slot",""))))))</f>
        <v/>
      </c>
      <c r="Y246" s="20"/>
    </row>
    <row r="247" customFormat="false" ht="15" hidden="false" customHeight="false" outlineLevel="0" collapsed="false">
      <c r="A247" s="10" t="n">
        <v>46527</v>
      </c>
      <c r="B247" s="11" t="str">
        <f aca="false">CHOOSE(WEEKDAY($A247,2),"Mon","Tue","Wed","Thu","Fri","Sat","Sun")</f>
        <v>Thu</v>
      </c>
      <c r="C247" s="12"/>
      <c r="D247" s="12"/>
      <c r="E247" s="13" t="str">
        <f aca="false">IF($C247="","",$C247-N($D247))</f>
        <v/>
      </c>
      <c r="F247" s="13" t="str">
        <f aca="false">IF($C247="","",$C247-MAX(0,N($D247)-BreakAllow*$C247))</f>
        <v/>
      </c>
      <c r="G247" s="12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5" t="str">
        <f aca="false">IF(COUNT(H247:S247)=0,"",SUM(H247:S247))</f>
        <v/>
      </c>
      <c r="U247" s="16" t="str">
        <f aca="false">IF($C247="","",IFERROR(INDEX(RateValues,MATCH(SUMPRODUCT(MAX((RateDates&lt;=$A247)*RateDates)),RateDates,0)),0))</f>
        <v/>
      </c>
      <c r="V247" s="17" t="str">
        <f aca="false">IF($C247="","",$F247*$U247)</f>
        <v/>
      </c>
      <c r="W247" s="18" t="n">
        <f aca="false">$A247-WEEKDAY($A247,2)+1</f>
        <v>46524</v>
      </c>
      <c r="X247" s="19" t="str">
        <f aca="false">IF(AND($C247="",T247=""),"",IF(AND(N($C247)&gt;0,N(T247)=0),"nobody marked present",IF(N($D247)&gt;N($C247),"more broken than moulded",IF(AND($C247="",N(T247)&gt;0),"attendance marked but no blocks entered",IF(AND(N($C247)&gt;0,N(U247)=0),"no pay rate for this date - see Settings",IF(SUMPRODUCT((H247:S247&lt;&gt;"")*(H$4:S$4=""))&gt;0,"attendance in an empty worker slot",""))))))</f>
        <v/>
      </c>
      <c r="Y247" s="20"/>
    </row>
    <row r="248" customFormat="false" ht="15" hidden="false" customHeight="false" outlineLevel="0" collapsed="false">
      <c r="A248" s="10" t="n">
        <v>46528</v>
      </c>
      <c r="B248" s="11" t="str">
        <f aca="false">CHOOSE(WEEKDAY($A248,2),"Mon","Tue","Wed","Thu","Fri","Sat","Sun")</f>
        <v>Fri</v>
      </c>
      <c r="C248" s="12"/>
      <c r="D248" s="12"/>
      <c r="E248" s="13" t="str">
        <f aca="false">IF($C248="","",$C248-N($D248))</f>
        <v/>
      </c>
      <c r="F248" s="13" t="str">
        <f aca="false">IF($C248="","",$C248-MAX(0,N($D248)-BreakAllow*$C248))</f>
        <v/>
      </c>
      <c r="G248" s="12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5" t="str">
        <f aca="false">IF(COUNT(H248:S248)=0,"",SUM(H248:S248))</f>
        <v/>
      </c>
      <c r="U248" s="16" t="str">
        <f aca="false">IF($C248="","",IFERROR(INDEX(RateValues,MATCH(SUMPRODUCT(MAX((RateDates&lt;=$A248)*RateDates)),RateDates,0)),0))</f>
        <v/>
      </c>
      <c r="V248" s="17" t="str">
        <f aca="false">IF($C248="","",$F248*$U248)</f>
        <v/>
      </c>
      <c r="W248" s="18" t="n">
        <f aca="false">$A248-WEEKDAY($A248,2)+1</f>
        <v>46524</v>
      </c>
      <c r="X248" s="19" t="str">
        <f aca="false">IF(AND($C248="",T248=""),"",IF(AND(N($C248)&gt;0,N(T248)=0),"nobody marked present",IF(N($D248)&gt;N($C248),"more broken than moulded",IF(AND($C248="",N(T248)&gt;0),"attendance marked but no blocks entered",IF(AND(N($C248)&gt;0,N(U248)=0),"no pay rate for this date - see Settings",IF(SUMPRODUCT((H248:S248&lt;&gt;"")*(H$4:S$4=""))&gt;0,"attendance in an empty worker slot",""))))))</f>
        <v/>
      </c>
      <c r="Y248" s="20"/>
    </row>
    <row r="249" customFormat="false" ht="15" hidden="false" customHeight="false" outlineLevel="0" collapsed="false">
      <c r="A249" s="10" t="n">
        <v>46529</v>
      </c>
      <c r="B249" s="11" t="str">
        <f aca="false">CHOOSE(WEEKDAY($A249,2),"Mon","Tue","Wed","Thu","Fri","Sat","Sun")</f>
        <v>Sat</v>
      </c>
      <c r="C249" s="12"/>
      <c r="D249" s="12"/>
      <c r="E249" s="13" t="str">
        <f aca="false">IF($C249="","",$C249-N($D249))</f>
        <v/>
      </c>
      <c r="F249" s="13" t="str">
        <f aca="false">IF($C249="","",$C249-MAX(0,N($D249)-BreakAllow*$C249))</f>
        <v/>
      </c>
      <c r="G249" s="12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5" t="str">
        <f aca="false">IF(COUNT(H249:S249)=0,"",SUM(H249:S249))</f>
        <v/>
      </c>
      <c r="U249" s="16" t="str">
        <f aca="false">IF($C249="","",IFERROR(INDEX(RateValues,MATCH(SUMPRODUCT(MAX((RateDates&lt;=$A249)*RateDates)),RateDates,0)),0))</f>
        <v/>
      </c>
      <c r="V249" s="17" t="str">
        <f aca="false">IF($C249="","",$F249*$U249)</f>
        <v/>
      </c>
      <c r="W249" s="18" t="n">
        <f aca="false">$A249-WEEKDAY($A249,2)+1</f>
        <v>46524</v>
      </c>
      <c r="X249" s="19" t="str">
        <f aca="false">IF(AND($C249="",T249=""),"",IF(AND(N($C249)&gt;0,N(T249)=0),"nobody marked present",IF(N($D249)&gt;N($C249),"more broken than moulded",IF(AND($C249="",N(T249)&gt;0),"attendance marked but no blocks entered",IF(AND(N($C249)&gt;0,N(U249)=0),"no pay rate for this date - see Settings",IF(SUMPRODUCT((H249:S249&lt;&gt;"")*(H$4:S$4=""))&gt;0,"attendance in an empty worker slot",""))))))</f>
        <v/>
      </c>
      <c r="Y249" s="20"/>
    </row>
    <row r="250" customFormat="false" ht="15" hidden="false" customHeight="false" outlineLevel="0" collapsed="false">
      <c r="A250" s="21" t="n">
        <v>46530</v>
      </c>
      <c r="B250" s="22" t="str">
        <f aca="false">CHOOSE(WEEKDAY($A250,2),"Mon","Tue","Wed","Thu","Fri","Sat","Sun")</f>
        <v>Sun</v>
      </c>
      <c r="C250" s="12"/>
      <c r="D250" s="12"/>
      <c r="E250" s="13" t="str">
        <f aca="false">IF($C250="","",$C250-N($D250))</f>
        <v/>
      </c>
      <c r="F250" s="13" t="str">
        <f aca="false">IF($C250="","",$C250-MAX(0,N($D250)-BreakAllow*$C250))</f>
        <v/>
      </c>
      <c r="G250" s="12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5" t="str">
        <f aca="false">IF(COUNT(H250:S250)=0,"",SUM(H250:S250))</f>
        <v/>
      </c>
      <c r="U250" s="16" t="str">
        <f aca="false">IF($C250="","",IFERROR(INDEX(RateValues,MATCH(SUMPRODUCT(MAX((RateDates&lt;=$A250)*RateDates)),RateDates,0)),0))</f>
        <v/>
      </c>
      <c r="V250" s="17" t="str">
        <f aca="false">IF($C250="","",$F250*$U250)</f>
        <v/>
      </c>
      <c r="W250" s="18" t="n">
        <f aca="false">$A250-WEEKDAY($A250,2)+1</f>
        <v>46524</v>
      </c>
      <c r="X250" s="19" t="str">
        <f aca="false">IF(AND($C250="",T250=""),"",IF(AND(N($C250)&gt;0,N(T250)=0),"nobody marked present",IF(N($D250)&gt;N($C250),"more broken than moulded",IF(AND($C250="",N(T250)&gt;0),"attendance marked but no blocks entered",IF(AND(N($C250)&gt;0,N(U250)=0),"no pay rate for this date - see Settings",IF(SUMPRODUCT((H250:S250&lt;&gt;"")*(H$4:S$4=""))&gt;0,"attendance in an empty worker slot",""))))))</f>
        <v/>
      </c>
      <c r="Y250" s="20"/>
    </row>
    <row r="251" customFormat="false" ht="15" hidden="false" customHeight="false" outlineLevel="0" collapsed="false">
      <c r="A251" s="10" t="n">
        <v>46531</v>
      </c>
      <c r="B251" s="11" t="str">
        <f aca="false">CHOOSE(WEEKDAY($A251,2),"Mon","Tue","Wed","Thu","Fri","Sat","Sun")</f>
        <v>Mon</v>
      </c>
      <c r="C251" s="12"/>
      <c r="D251" s="12"/>
      <c r="E251" s="13" t="str">
        <f aca="false">IF($C251="","",$C251-N($D251))</f>
        <v/>
      </c>
      <c r="F251" s="13" t="str">
        <f aca="false">IF($C251="","",$C251-MAX(0,N($D251)-BreakAllow*$C251))</f>
        <v/>
      </c>
      <c r="G251" s="12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5" t="str">
        <f aca="false">IF(COUNT(H251:S251)=0,"",SUM(H251:S251))</f>
        <v/>
      </c>
      <c r="U251" s="16" t="str">
        <f aca="false">IF($C251="","",IFERROR(INDEX(RateValues,MATCH(SUMPRODUCT(MAX((RateDates&lt;=$A251)*RateDates)),RateDates,0)),0))</f>
        <v/>
      </c>
      <c r="V251" s="17" t="str">
        <f aca="false">IF($C251="","",$F251*$U251)</f>
        <v/>
      </c>
      <c r="W251" s="18" t="n">
        <f aca="false">$A251-WEEKDAY($A251,2)+1</f>
        <v>46531</v>
      </c>
      <c r="X251" s="19" t="str">
        <f aca="false">IF(AND($C251="",T251=""),"",IF(AND(N($C251)&gt;0,N(T251)=0),"nobody marked present",IF(N($D251)&gt;N($C251),"more broken than moulded",IF(AND($C251="",N(T251)&gt;0),"attendance marked but no blocks entered",IF(AND(N($C251)&gt;0,N(U251)=0),"no pay rate for this date - see Settings",IF(SUMPRODUCT((H251:S251&lt;&gt;"")*(H$4:S$4=""))&gt;0,"attendance in an empty worker slot",""))))))</f>
        <v/>
      </c>
      <c r="Y251" s="20"/>
    </row>
    <row r="252" customFormat="false" ht="15" hidden="false" customHeight="false" outlineLevel="0" collapsed="false">
      <c r="A252" s="10" t="n">
        <v>46532</v>
      </c>
      <c r="B252" s="11" t="str">
        <f aca="false">CHOOSE(WEEKDAY($A252,2),"Mon","Tue","Wed","Thu","Fri","Sat","Sun")</f>
        <v>Tue</v>
      </c>
      <c r="C252" s="12"/>
      <c r="D252" s="12"/>
      <c r="E252" s="13" t="str">
        <f aca="false">IF($C252="","",$C252-N($D252))</f>
        <v/>
      </c>
      <c r="F252" s="13" t="str">
        <f aca="false">IF($C252="","",$C252-MAX(0,N($D252)-BreakAllow*$C252))</f>
        <v/>
      </c>
      <c r="G252" s="12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5" t="str">
        <f aca="false">IF(COUNT(H252:S252)=0,"",SUM(H252:S252))</f>
        <v/>
      </c>
      <c r="U252" s="16" t="str">
        <f aca="false">IF($C252="","",IFERROR(INDEX(RateValues,MATCH(SUMPRODUCT(MAX((RateDates&lt;=$A252)*RateDates)),RateDates,0)),0))</f>
        <v/>
      </c>
      <c r="V252" s="17" t="str">
        <f aca="false">IF($C252="","",$F252*$U252)</f>
        <v/>
      </c>
      <c r="W252" s="18" t="n">
        <f aca="false">$A252-WEEKDAY($A252,2)+1</f>
        <v>46531</v>
      </c>
      <c r="X252" s="19" t="str">
        <f aca="false">IF(AND($C252="",T252=""),"",IF(AND(N($C252)&gt;0,N(T252)=0),"nobody marked present",IF(N($D252)&gt;N($C252),"more broken than moulded",IF(AND($C252="",N(T252)&gt;0),"attendance marked but no blocks entered",IF(AND(N($C252)&gt;0,N(U252)=0),"no pay rate for this date - see Settings",IF(SUMPRODUCT((H252:S252&lt;&gt;"")*(H$4:S$4=""))&gt;0,"attendance in an empty worker slot",""))))))</f>
        <v/>
      </c>
      <c r="Y252" s="20"/>
    </row>
    <row r="253" customFormat="false" ht="15" hidden="false" customHeight="false" outlineLevel="0" collapsed="false">
      <c r="A253" s="10" t="n">
        <v>46533</v>
      </c>
      <c r="B253" s="11" t="str">
        <f aca="false">CHOOSE(WEEKDAY($A253,2),"Mon","Tue","Wed","Thu","Fri","Sat","Sun")</f>
        <v>Wed</v>
      </c>
      <c r="C253" s="12"/>
      <c r="D253" s="12"/>
      <c r="E253" s="13" t="str">
        <f aca="false">IF($C253="","",$C253-N($D253))</f>
        <v/>
      </c>
      <c r="F253" s="13" t="str">
        <f aca="false">IF($C253="","",$C253-MAX(0,N($D253)-BreakAllow*$C253))</f>
        <v/>
      </c>
      <c r="G253" s="12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5" t="str">
        <f aca="false">IF(COUNT(H253:S253)=0,"",SUM(H253:S253))</f>
        <v/>
      </c>
      <c r="U253" s="16" t="str">
        <f aca="false">IF($C253="","",IFERROR(INDEX(RateValues,MATCH(SUMPRODUCT(MAX((RateDates&lt;=$A253)*RateDates)),RateDates,0)),0))</f>
        <v/>
      </c>
      <c r="V253" s="17" t="str">
        <f aca="false">IF($C253="","",$F253*$U253)</f>
        <v/>
      </c>
      <c r="W253" s="18" t="n">
        <f aca="false">$A253-WEEKDAY($A253,2)+1</f>
        <v>46531</v>
      </c>
      <c r="X253" s="19" t="str">
        <f aca="false">IF(AND($C253="",T253=""),"",IF(AND(N($C253)&gt;0,N(T253)=0),"nobody marked present",IF(N($D253)&gt;N($C253),"more broken than moulded",IF(AND($C253="",N(T253)&gt;0),"attendance marked but no blocks entered",IF(AND(N($C253)&gt;0,N(U253)=0),"no pay rate for this date - see Settings",IF(SUMPRODUCT((H253:S253&lt;&gt;"")*(H$4:S$4=""))&gt;0,"attendance in an empty worker slot",""))))))</f>
        <v/>
      </c>
      <c r="Y253" s="20"/>
    </row>
    <row r="254" customFormat="false" ht="15" hidden="false" customHeight="false" outlineLevel="0" collapsed="false">
      <c r="A254" s="10" t="n">
        <v>46534</v>
      </c>
      <c r="B254" s="11" t="str">
        <f aca="false">CHOOSE(WEEKDAY($A254,2),"Mon","Tue","Wed","Thu","Fri","Sat","Sun")</f>
        <v>Thu</v>
      </c>
      <c r="C254" s="12"/>
      <c r="D254" s="12"/>
      <c r="E254" s="13" t="str">
        <f aca="false">IF($C254="","",$C254-N($D254))</f>
        <v/>
      </c>
      <c r="F254" s="13" t="str">
        <f aca="false">IF($C254="","",$C254-MAX(0,N($D254)-BreakAllow*$C254))</f>
        <v/>
      </c>
      <c r="G254" s="12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5" t="str">
        <f aca="false">IF(COUNT(H254:S254)=0,"",SUM(H254:S254))</f>
        <v/>
      </c>
      <c r="U254" s="16" t="str">
        <f aca="false">IF($C254="","",IFERROR(INDEX(RateValues,MATCH(SUMPRODUCT(MAX((RateDates&lt;=$A254)*RateDates)),RateDates,0)),0))</f>
        <v/>
      </c>
      <c r="V254" s="17" t="str">
        <f aca="false">IF($C254="","",$F254*$U254)</f>
        <v/>
      </c>
      <c r="W254" s="18" t="n">
        <f aca="false">$A254-WEEKDAY($A254,2)+1</f>
        <v>46531</v>
      </c>
      <c r="X254" s="19" t="str">
        <f aca="false">IF(AND($C254="",T254=""),"",IF(AND(N($C254)&gt;0,N(T254)=0),"nobody marked present",IF(N($D254)&gt;N($C254),"more broken than moulded",IF(AND($C254="",N(T254)&gt;0),"attendance marked but no blocks entered",IF(AND(N($C254)&gt;0,N(U254)=0),"no pay rate for this date - see Settings",IF(SUMPRODUCT((H254:S254&lt;&gt;"")*(H$4:S$4=""))&gt;0,"attendance in an empty worker slot",""))))))</f>
        <v/>
      </c>
      <c r="Y254" s="20"/>
    </row>
    <row r="255" customFormat="false" ht="15" hidden="false" customHeight="false" outlineLevel="0" collapsed="false">
      <c r="A255" s="10" t="n">
        <v>46535</v>
      </c>
      <c r="B255" s="11" t="str">
        <f aca="false">CHOOSE(WEEKDAY($A255,2),"Mon","Tue","Wed","Thu","Fri","Sat","Sun")</f>
        <v>Fri</v>
      </c>
      <c r="C255" s="12"/>
      <c r="D255" s="12"/>
      <c r="E255" s="13" t="str">
        <f aca="false">IF($C255="","",$C255-N($D255))</f>
        <v/>
      </c>
      <c r="F255" s="13" t="str">
        <f aca="false">IF($C255="","",$C255-MAX(0,N($D255)-BreakAllow*$C255))</f>
        <v/>
      </c>
      <c r="G255" s="12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5" t="str">
        <f aca="false">IF(COUNT(H255:S255)=0,"",SUM(H255:S255))</f>
        <v/>
      </c>
      <c r="U255" s="16" t="str">
        <f aca="false">IF($C255="","",IFERROR(INDEX(RateValues,MATCH(SUMPRODUCT(MAX((RateDates&lt;=$A255)*RateDates)),RateDates,0)),0))</f>
        <v/>
      </c>
      <c r="V255" s="17" t="str">
        <f aca="false">IF($C255="","",$F255*$U255)</f>
        <v/>
      </c>
      <c r="W255" s="18" t="n">
        <f aca="false">$A255-WEEKDAY($A255,2)+1</f>
        <v>46531</v>
      </c>
      <c r="X255" s="19" t="str">
        <f aca="false">IF(AND($C255="",T255=""),"",IF(AND(N($C255)&gt;0,N(T255)=0),"nobody marked present",IF(N($D255)&gt;N($C255),"more broken than moulded",IF(AND($C255="",N(T255)&gt;0),"attendance marked but no blocks entered",IF(AND(N($C255)&gt;0,N(U255)=0),"no pay rate for this date - see Settings",IF(SUMPRODUCT((H255:S255&lt;&gt;"")*(H$4:S$4=""))&gt;0,"attendance in an empty worker slot",""))))))</f>
        <v/>
      </c>
      <c r="Y255" s="20"/>
    </row>
    <row r="256" customFormat="false" ht="15" hidden="false" customHeight="false" outlineLevel="0" collapsed="false">
      <c r="A256" s="10" t="n">
        <v>46536</v>
      </c>
      <c r="B256" s="11" t="str">
        <f aca="false">CHOOSE(WEEKDAY($A256,2),"Mon","Tue","Wed","Thu","Fri","Sat","Sun")</f>
        <v>Sat</v>
      </c>
      <c r="C256" s="12"/>
      <c r="D256" s="12"/>
      <c r="E256" s="13" t="str">
        <f aca="false">IF($C256="","",$C256-N($D256))</f>
        <v/>
      </c>
      <c r="F256" s="13" t="str">
        <f aca="false">IF($C256="","",$C256-MAX(0,N($D256)-BreakAllow*$C256))</f>
        <v/>
      </c>
      <c r="G256" s="12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5" t="str">
        <f aca="false">IF(COUNT(H256:S256)=0,"",SUM(H256:S256))</f>
        <v/>
      </c>
      <c r="U256" s="16" t="str">
        <f aca="false">IF($C256="","",IFERROR(INDEX(RateValues,MATCH(SUMPRODUCT(MAX((RateDates&lt;=$A256)*RateDates)),RateDates,0)),0))</f>
        <v/>
      </c>
      <c r="V256" s="17" t="str">
        <f aca="false">IF($C256="","",$F256*$U256)</f>
        <v/>
      </c>
      <c r="W256" s="18" t="n">
        <f aca="false">$A256-WEEKDAY($A256,2)+1</f>
        <v>46531</v>
      </c>
      <c r="X256" s="19" t="str">
        <f aca="false">IF(AND($C256="",T256=""),"",IF(AND(N($C256)&gt;0,N(T256)=0),"nobody marked present",IF(N($D256)&gt;N($C256),"more broken than moulded",IF(AND($C256="",N(T256)&gt;0),"attendance marked but no blocks entered",IF(AND(N($C256)&gt;0,N(U256)=0),"no pay rate for this date - see Settings",IF(SUMPRODUCT((H256:S256&lt;&gt;"")*(H$4:S$4=""))&gt;0,"attendance in an empty worker slot",""))))))</f>
        <v/>
      </c>
      <c r="Y256" s="20"/>
    </row>
    <row r="257" customFormat="false" ht="15" hidden="false" customHeight="false" outlineLevel="0" collapsed="false">
      <c r="A257" s="21" t="n">
        <v>46537</v>
      </c>
      <c r="B257" s="22" t="str">
        <f aca="false">CHOOSE(WEEKDAY($A257,2),"Mon","Tue","Wed","Thu","Fri","Sat","Sun")</f>
        <v>Sun</v>
      </c>
      <c r="C257" s="12"/>
      <c r="D257" s="12"/>
      <c r="E257" s="13" t="str">
        <f aca="false">IF($C257="","",$C257-N($D257))</f>
        <v/>
      </c>
      <c r="F257" s="13" t="str">
        <f aca="false">IF($C257="","",$C257-MAX(0,N($D257)-BreakAllow*$C257))</f>
        <v/>
      </c>
      <c r="G257" s="12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5" t="str">
        <f aca="false">IF(COUNT(H257:S257)=0,"",SUM(H257:S257))</f>
        <v/>
      </c>
      <c r="U257" s="16" t="str">
        <f aca="false">IF($C257="","",IFERROR(INDEX(RateValues,MATCH(SUMPRODUCT(MAX((RateDates&lt;=$A257)*RateDates)),RateDates,0)),0))</f>
        <v/>
      </c>
      <c r="V257" s="17" t="str">
        <f aca="false">IF($C257="","",$F257*$U257)</f>
        <v/>
      </c>
      <c r="W257" s="18" t="n">
        <f aca="false">$A257-WEEKDAY($A257,2)+1</f>
        <v>46531</v>
      </c>
      <c r="X257" s="19" t="str">
        <f aca="false">IF(AND($C257="",T257=""),"",IF(AND(N($C257)&gt;0,N(T257)=0),"nobody marked present",IF(N($D257)&gt;N($C257),"more broken than moulded",IF(AND($C257="",N(T257)&gt;0),"attendance marked but no blocks entered",IF(AND(N($C257)&gt;0,N(U257)=0),"no pay rate for this date - see Settings",IF(SUMPRODUCT((H257:S257&lt;&gt;"")*(H$4:S$4=""))&gt;0,"attendance in an empty worker slot",""))))))</f>
        <v/>
      </c>
      <c r="Y257" s="20"/>
    </row>
    <row r="258" customFormat="false" ht="15" hidden="false" customHeight="false" outlineLevel="0" collapsed="false">
      <c r="A258" s="10" t="n">
        <v>46538</v>
      </c>
      <c r="B258" s="11" t="str">
        <f aca="false">CHOOSE(WEEKDAY($A258,2),"Mon","Tue","Wed","Thu","Fri","Sat","Sun")</f>
        <v>Mon</v>
      </c>
      <c r="C258" s="12"/>
      <c r="D258" s="12"/>
      <c r="E258" s="13" t="str">
        <f aca="false">IF($C258="","",$C258-N($D258))</f>
        <v/>
      </c>
      <c r="F258" s="13" t="str">
        <f aca="false">IF($C258="","",$C258-MAX(0,N($D258)-BreakAllow*$C258))</f>
        <v/>
      </c>
      <c r="G258" s="12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5" t="str">
        <f aca="false">IF(COUNT(H258:S258)=0,"",SUM(H258:S258))</f>
        <v/>
      </c>
      <c r="U258" s="16" t="str">
        <f aca="false">IF($C258="","",IFERROR(INDEX(RateValues,MATCH(SUMPRODUCT(MAX((RateDates&lt;=$A258)*RateDates)),RateDates,0)),0))</f>
        <v/>
      </c>
      <c r="V258" s="17" t="str">
        <f aca="false">IF($C258="","",$F258*$U258)</f>
        <v/>
      </c>
      <c r="W258" s="18" t="n">
        <f aca="false">$A258-WEEKDAY($A258,2)+1</f>
        <v>46538</v>
      </c>
      <c r="X258" s="19" t="str">
        <f aca="false">IF(AND($C258="",T258=""),"",IF(AND(N($C258)&gt;0,N(T258)=0),"nobody marked present",IF(N($D258)&gt;N($C258),"more broken than moulded",IF(AND($C258="",N(T258)&gt;0),"attendance marked but no blocks entered",IF(AND(N($C258)&gt;0,N(U258)=0),"no pay rate for this date - see Settings",IF(SUMPRODUCT((H258:S258&lt;&gt;"")*(H$4:S$4=""))&gt;0,"attendance in an empty worker slot",""))))))</f>
        <v/>
      </c>
      <c r="Y258" s="20"/>
    </row>
    <row r="259" customFormat="false" ht="15" hidden="false" customHeight="false" outlineLevel="0" collapsed="false">
      <c r="A259" s="10" t="n">
        <v>46539</v>
      </c>
      <c r="B259" s="11" t="str">
        <f aca="false">CHOOSE(WEEKDAY($A259,2),"Mon","Tue","Wed","Thu","Fri","Sat","Sun")</f>
        <v>Tue</v>
      </c>
      <c r="C259" s="12"/>
      <c r="D259" s="12"/>
      <c r="E259" s="13" t="str">
        <f aca="false">IF($C259="","",$C259-N($D259))</f>
        <v/>
      </c>
      <c r="F259" s="13" t="str">
        <f aca="false">IF($C259="","",$C259-MAX(0,N($D259)-BreakAllow*$C259))</f>
        <v/>
      </c>
      <c r="G259" s="12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5" t="str">
        <f aca="false">IF(COUNT(H259:S259)=0,"",SUM(H259:S259))</f>
        <v/>
      </c>
      <c r="U259" s="16" t="str">
        <f aca="false">IF($C259="","",IFERROR(INDEX(RateValues,MATCH(SUMPRODUCT(MAX((RateDates&lt;=$A259)*RateDates)),RateDates,0)),0))</f>
        <v/>
      </c>
      <c r="V259" s="17" t="str">
        <f aca="false">IF($C259="","",$F259*$U259)</f>
        <v/>
      </c>
      <c r="W259" s="18" t="n">
        <f aca="false">$A259-WEEKDAY($A259,2)+1</f>
        <v>46538</v>
      </c>
      <c r="X259" s="19" t="str">
        <f aca="false">IF(AND($C259="",T259=""),"",IF(AND(N($C259)&gt;0,N(T259)=0),"nobody marked present",IF(N($D259)&gt;N($C259),"more broken than moulded",IF(AND($C259="",N(T259)&gt;0),"attendance marked but no blocks entered",IF(AND(N($C259)&gt;0,N(U259)=0),"no pay rate for this date - see Settings",IF(SUMPRODUCT((H259:S259&lt;&gt;"")*(H$4:S$4=""))&gt;0,"attendance in an empty worker slot",""))))))</f>
        <v/>
      </c>
      <c r="Y259" s="20"/>
    </row>
    <row r="260" customFormat="false" ht="15" hidden="false" customHeight="false" outlineLevel="0" collapsed="false">
      <c r="A260" s="10" t="n">
        <v>46540</v>
      </c>
      <c r="B260" s="11" t="str">
        <f aca="false">CHOOSE(WEEKDAY($A260,2),"Mon","Tue","Wed","Thu","Fri","Sat","Sun")</f>
        <v>Wed</v>
      </c>
      <c r="C260" s="12"/>
      <c r="D260" s="12"/>
      <c r="E260" s="13" t="str">
        <f aca="false">IF($C260="","",$C260-N($D260))</f>
        <v/>
      </c>
      <c r="F260" s="13" t="str">
        <f aca="false">IF($C260="","",$C260-MAX(0,N($D260)-BreakAllow*$C260))</f>
        <v/>
      </c>
      <c r="G260" s="12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5" t="str">
        <f aca="false">IF(COUNT(H260:S260)=0,"",SUM(H260:S260))</f>
        <v/>
      </c>
      <c r="U260" s="16" t="str">
        <f aca="false">IF($C260="","",IFERROR(INDEX(RateValues,MATCH(SUMPRODUCT(MAX((RateDates&lt;=$A260)*RateDates)),RateDates,0)),0))</f>
        <v/>
      </c>
      <c r="V260" s="17" t="str">
        <f aca="false">IF($C260="","",$F260*$U260)</f>
        <v/>
      </c>
      <c r="W260" s="18" t="n">
        <f aca="false">$A260-WEEKDAY($A260,2)+1</f>
        <v>46538</v>
      </c>
      <c r="X260" s="19" t="str">
        <f aca="false">IF(AND($C260="",T260=""),"",IF(AND(N($C260)&gt;0,N(T260)=0),"nobody marked present",IF(N($D260)&gt;N($C260),"more broken than moulded",IF(AND($C260="",N(T260)&gt;0),"attendance marked but no blocks entered",IF(AND(N($C260)&gt;0,N(U260)=0),"no pay rate for this date - see Settings",IF(SUMPRODUCT((H260:S260&lt;&gt;"")*(H$4:S$4=""))&gt;0,"attendance in an empty worker slot",""))))))</f>
        <v/>
      </c>
      <c r="Y260" s="20"/>
    </row>
    <row r="261" customFormat="false" ht="15" hidden="false" customHeight="false" outlineLevel="0" collapsed="false">
      <c r="A261" s="10" t="n">
        <v>46541</v>
      </c>
      <c r="B261" s="11" t="str">
        <f aca="false">CHOOSE(WEEKDAY($A261,2),"Mon","Tue","Wed","Thu","Fri","Sat","Sun")</f>
        <v>Thu</v>
      </c>
      <c r="C261" s="12"/>
      <c r="D261" s="12"/>
      <c r="E261" s="13" t="str">
        <f aca="false">IF($C261="","",$C261-N($D261))</f>
        <v/>
      </c>
      <c r="F261" s="13" t="str">
        <f aca="false">IF($C261="","",$C261-MAX(0,N($D261)-BreakAllow*$C261))</f>
        <v/>
      </c>
      <c r="G261" s="12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5" t="str">
        <f aca="false">IF(COUNT(H261:S261)=0,"",SUM(H261:S261))</f>
        <v/>
      </c>
      <c r="U261" s="16" t="str">
        <f aca="false">IF($C261="","",IFERROR(INDEX(RateValues,MATCH(SUMPRODUCT(MAX((RateDates&lt;=$A261)*RateDates)),RateDates,0)),0))</f>
        <v/>
      </c>
      <c r="V261" s="17" t="str">
        <f aca="false">IF($C261="","",$F261*$U261)</f>
        <v/>
      </c>
      <c r="W261" s="18" t="n">
        <f aca="false">$A261-WEEKDAY($A261,2)+1</f>
        <v>46538</v>
      </c>
      <c r="X261" s="19" t="str">
        <f aca="false">IF(AND($C261="",T261=""),"",IF(AND(N($C261)&gt;0,N(T261)=0),"nobody marked present",IF(N($D261)&gt;N($C261),"more broken than moulded",IF(AND($C261="",N(T261)&gt;0),"attendance marked but no blocks entered",IF(AND(N($C261)&gt;0,N(U261)=0),"no pay rate for this date - see Settings",IF(SUMPRODUCT((H261:S261&lt;&gt;"")*(H$4:S$4=""))&gt;0,"attendance in an empty worker slot",""))))))</f>
        <v/>
      </c>
      <c r="Y261" s="20"/>
    </row>
    <row r="262" customFormat="false" ht="15" hidden="false" customHeight="false" outlineLevel="0" collapsed="false">
      <c r="A262" s="10" t="n">
        <v>46542</v>
      </c>
      <c r="B262" s="11" t="str">
        <f aca="false">CHOOSE(WEEKDAY($A262,2),"Mon","Tue","Wed","Thu","Fri","Sat","Sun")</f>
        <v>Fri</v>
      </c>
      <c r="C262" s="12"/>
      <c r="D262" s="12"/>
      <c r="E262" s="13" t="str">
        <f aca="false">IF($C262="","",$C262-N($D262))</f>
        <v/>
      </c>
      <c r="F262" s="13" t="str">
        <f aca="false">IF($C262="","",$C262-MAX(0,N($D262)-BreakAllow*$C262))</f>
        <v/>
      </c>
      <c r="G262" s="12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5" t="str">
        <f aca="false">IF(COUNT(H262:S262)=0,"",SUM(H262:S262))</f>
        <v/>
      </c>
      <c r="U262" s="16" t="str">
        <f aca="false">IF($C262="","",IFERROR(INDEX(RateValues,MATCH(SUMPRODUCT(MAX((RateDates&lt;=$A262)*RateDates)),RateDates,0)),0))</f>
        <v/>
      </c>
      <c r="V262" s="17" t="str">
        <f aca="false">IF($C262="","",$F262*$U262)</f>
        <v/>
      </c>
      <c r="W262" s="18" t="n">
        <f aca="false">$A262-WEEKDAY($A262,2)+1</f>
        <v>46538</v>
      </c>
      <c r="X262" s="19" t="str">
        <f aca="false">IF(AND($C262="",T262=""),"",IF(AND(N($C262)&gt;0,N(T262)=0),"nobody marked present",IF(N($D262)&gt;N($C262),"more broken than moulded",IF(AND($C262="",N(T262)&gt;0),"attendance marked but no blocks entered",IF(AND(N($C262)&gt;0,N(U262)=0),"no pay rate for this date - see Settings",IF(SUMPRODUCT((H262:S262&lt;&gt;"")*(H$4:S$4=""))&gt;0,"attendance in an empty worker slot",""))))))</f>
        <v/>
      </c>
      <c r="Y262" s="20"/>
    </row>
    <row r="263" customFormat="false" ht="15" hidden="false" customHeight="false" outlineLevel="0" collapsed="false">
      <c r="A263" s="10" t="n">
        <v>46543</v>
      </c>
      <c r="B263" s="11" t="str">
        <f aca="false">CHOOSE(WEEKDAY($A263,2),"Mon","Tue","Wed","Thu","Fri","Sat","Sun")</f>
        <v>Sat</v>
      </c>
      <c r="C263" s="12"/>
      <c r="D263" s="12"/>
      <c r="E263" s="13" t="str">
        <f aca="false">IF($C263="","",$C263-N($D263))</f>
        <v/>
      </c>
      <c r="F263" s="13" t="str">
        <f aca="false">IF($C263="","",$C263-MAX(0,N($D263)-BreakAllow*$C263))</f>
        <v/>
      </c>
      <c r="G263" s="12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5" t="str">
        <f aca="false">IF(COUNT(H263:S263)=0,"",SUM(H263:S263))</f>
        <v/>
      </c>
      <c r="U263" s="16" t="str">
        <f aca="false">IF($C263="","",IFERROR(INDEX(RateValues,MATCH(SUMPRODUCT(MAX((RateDates&lt;=$A263)*RateDates)),RateDates,0)),0))</f>
        <v/>
      </c>
      <c r="V263" s="17" t="str">
        <f aca="false">IF($C263="","",$F263*$U263)</f>
        <v/>
      </c>
      <c r="W263" s="18" t="n">
        <f aca="false">$A263-WEEKDAY($A263,2)+1</f>
        <v>46538</v>
      </c>
      <c r="X263" s="19" t="str">
        <f aca="false">IF(AND($C263="",T263=""),"",IF(AND(N($C263)&gt;0,N(T263)=0),"nobody marked present",IF(N($D263)&gt;N($C263),"more broken than moulded",IF(AND($C263="",N(T263)&gt;0),"attendance marked but no blocks entered",IF(AND(N($C263)&gt;0,N(U263)=0),"no pay rate for this date - see Settings",IF(SUMPRODUCT((H263:S263&lt;&gt;"")*(H$4:S$4=""))&gt;0,"attendance in an empty worker slot",""))))))</f>
        <v/>
      </c>
      <c r="Y263" s="20"/>
    </row>
    <row r="264" customFormat="false" ht="15" hidden="false" customHeight="false" outlineLevel="0" collapsed="false">
      <c r="A264" s="21" t="n">
        <v>46544</v>
      </c>
      <c r="B264" s="22" t="str">
        <f aca="false">CHOOSE(WEEKDAY($A264,2),"Mon","Tue","Wed","Thu","Fri","Sat","Sun")</f>
        <v>Sun</v>
      </c>
      <c r="C264" s="12"/>
      <c r="D264" s="12"/>
      <c r="E264" s="13" t="str">
        <f aca="false">IF($C264="","",$C264-N($D264))</f>
        <v/>
      </c>
      <c r="F264" s="13" t="str">
        <f aca="false">IF($C264="","",$C264-MAX(0,N($D264)-BreakAllow*$C264))</f>
        <v/>
      </c>
      <c r="G264" s="12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5" t="str">
        <f aca="false">IF(COUNT(H264:S264)=0,"",SUM(H264:S264))</f>
        <v/>
      </c>
      <c r="U264" s="16" t="str">
        <f aca="false">IF($C264="","",IFERROR(INDEX(RateValues,MATCH(SUMPRODUCT(MAX((RateDates&lt;=$A264)*RateDates)),RateDates,0)),0))</f>
        <v/>
      </c>
      <c r="V264" s="17" t="str">
        <f aca="false">IF($C264="","",$F264*$U264)</f>
        <v/>
      </c>
      <c r="W264" s="18" t="n">
        <f aca="false">$A264-WEEKDAY($A264,2)+1</f>
        <v>46538</v>
      </c>
      <c r="X264" s="19" t="str">
        <f aca="false">IF(AND($C264="",T264=""),"",IF(AND(N($C264)&gt;0,N(T264)=0),"nobody marked present",IF(N($D264)&gt;N($C264),"more broken than moulded",IF(AND($C264="",N(T264)&gt;0),"attendance marked but no blocks entered",IF(AND(N($C264)&gt;0,N(U264)=0),"no pay rate for this date - see Settings",IF(SUMPRODUCT((H264:S264&lt;&gt;"")*(H$4:S$4=""))&gt;0,"attendance in an empty worker slot",""))))))</f>
        <v/>
      </c>
      <c r="Y264" s="20"/>
    </row>
    <row r="265" customFormat="false" ht="15" hidden="false" customHeight="false" outlineLevel="0" collapsed="false">
      <c r="A265" s="10" t="n">
        <v>46545</v>
      </c>
      <c r="B265" s="11" t="str">
        <f aca="false">CHOOSE(WEEKDAY($A265,2),"Mon","Tue","Wed","Thu","Fri","Sat","Sun")</f>
        <v>Mon</v>
      </c>
      <c r="C265" s="12"/>
      <c r="D265" s="12"/>
      <c r="E265" s="13" t="str">
        <f aca="false">IF($C265="","",$C265-N($D265))</f>
        <v/>
      </c>
      <c r="F265" s="13" t="str">
        <f aca="false">IF($C265="","",$C265-MAX(0,N($D265)-BreakAllow*$C265))</f>
        <v/>
      </c>
      <c r="G265" s="12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5" t="str">
        <f aca="false">IF(COUNT(H265:S265)=0,"",SUM(H265:S265))</f>
        <v/>
      </c>
      <c r="U265" s="16" t="str">
        <f aca="false">IF($C265="","",IFERROR(INDEX(RateValues,MATCH(SUMPRODUCT(MAX((RateDates&lt;=$A265)*RateDates)),RateDates,0)),0))</f>
        <v/>
      </c>
      <c r="V265" s="17" t="str">
        <f aca="false">IF($C265="","",$F265*$U265)</f>
        <v/>
      </c>
      <c r="W265" s="18" t="n">
        <f aca="false">$A265-WEEKDAY($A265,2)+1</f>
        <v>46545</v>
      </c>
      <c r="X265" s="19" t="str">
        <f aca="false">IF(AND($C265="",T265=""),"",IF(AND(N($C265)&gt;0,N(T265)=0),"nobody marked present",IF(N($D265)&gt;N($C265),"more broken than moulded",IF(AND($C265="",N(T265)&gt;0),"attendance marked but no blocks entered",IF(AND(N($C265)&gt;0,N(U265)=0),"no pay rate for this date - see Settings",IF(SUMPRODUCT((H265:S265&lt;&gt;"")*(H$4:S$4=""))&gt;0,"attendance in an empty worker slot",""))))))</f>
        <v/>
      </c>
      <c r="Y265" s="20"/>
    </row>
    <row r="266" customFormat="false" ht="15" hidden="false" customHeight="false" outlineLevel="0" collapsed="false">
      <c r="A266" s="10" t="n">
        <v>46546</v>
      </c>
      <c r="B266" s="11" t="str">
        <f aca="false">CHOOSE(WEEKDAY($A266,2),"Mon","Tue","Wed","Thu","Fri","Sat","Sun")</f>
        <v>Tue</v>
      </c>
      <c r="C266" s="12"/>
      <c r="D266" s="12"/>
      <c r="E266" s="13" t="str">
        <f aca="false">IF($C266="","",$C266-N($D266))</f>
        <v/>
      </c>
      <c r="F266" s="13" t="str">
        <f aca="false">IF($C266="","",$C266-MAX(0,N($D266)-BreakAllow*$C266))</f>
        <v/>
      </c>
      <c r="G266" s="12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5" t="str">
        <f aca="false">IF(COUNT(H266:S266)=0,"",SUM(H266:S266))</f>
        <v/>
      </c>
      <c r="U266" s="16" t="str">
        <f aca="false">IF($C266="","",IFERROR(INDEX(RateValues,MATCH(SUMPRODUCT(MAX((RateDates&lt;=$A266)*RateDates)),RateDates,0)),0))</f>
        <v/>
      </c>
      <c r="V266" s="17" t="str">
        <f aca="false">IF($C266="","",$F266*$U266)</f>
        <v/>
      </c>
      <c r="W266" s="18" t="n">
        <f aca="false">$A266-WEEKDAY($A266,2)+1</f>
        <v>46545</v>
      </c>
      <c r="X266" s="19" t="str">
        <f aca="false">IF(AND($C266="",T266=""),"",IF(AND(N($C266)&gt;0,N(T266)=0),"nobody marked present",IF(N($D266)&gt;N($C266),"more broken than moulded",IF(AND($C266="",N(T266)&gt;0),"attendance marked but no blocks entered",IF(AND(N($C266)&gt;0,N(U266)=0),"no pay rate for this date - see Settings",IF(SUMPRODUCT((H266:S266&lt;&gt;"")*(H$4:S$4=""))&gt;0,"attendance in an empty worker slot",""))))))</f>
        <v/>
      </c>
      <c r="Y266" s="20"/>
    </row>
    <row r="267" customFormat="false" ht="15" hidden="false" customHeight="false" outlineLevel="0" collapsed="false">
      <c r="A267" s="10" t="n">
        <v>46547</v>
      </c>
      <c r="B267" s="11" t="str">
        <f aca="false">CHOOSE(WEEKDAY($A267,2),"Mon","Tue","Wed","Thu","Fri","Sat","Sun")</f>
        <v>Wed</v>
      </c>
      <c r="C267" s="12"/>
      <c r="D267" s="12"/>
      <c r="E267" s="13" t="str">
        <f aca="false">IF($C267="","",$C267-N($D267))</f>
        <v/>
      </c>
      <c r="F267" s="13" t="str">
        <f aca="false">IF($C267="","",$C267-MAX(0,N($D267)-BreakAllow*$C267))</f>
        <v/>
      </c>
      <c r="G267" s="12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5" t="str">
        <f aca="false">IF(COUNT(H267:S267)=0,"",SUM(H267:S267))</f>
        <v/>
      </c>
      <c r="U267" s="16" t="str">
        <f aca="false">IF($C267="","",IFERROR(INDEX(RateValues,MATCH(SUMPRODUCT(MAX((RateDates&lt;=$A267)*RateDates)),RateDates,0)),0))</f>
        <v/>
      </c>
      <c r="V267" s="17" t="str">
        <f aca="false">IF($C267="","",$F267*$U267)</f>
        <v/>
      </c>
      <c r="W267" s="18" t="n">
        <f aca="false">$A267-WEEKDAY($A267,2)+1</f>
        <v>46545</v>
      </c>
      <c r="X267" s="19" t="str">
        <f aca="false">IF(AND($C267="",T267=""),"",IF(AND(N($C267)&gt;0,N(T267)=0),"nobody marked present",IF(N($D267)&gt;N($C267),"more broken than moulded",IF(AND($C267="",N(T267)&gt;0),"attendance marked but no blocks entered",IF(AND(N($C267)&gt;0,N(U267)=0),"no pay rate for this date - see Settings",IF(SUMPRODUCT((H267:S267&lt;&gt;"")*(H$4:S$4=""))&gt;0,"attendance in an empty worker slot",""))))))</f>
        <v/>
      </c>
      <c r="Y267" s="20"/>
    </row>
    <row r="268" customFormat="false" ht="15" hidden="false" customHeight="false" outlineLevel="0" collapsed="false">
      <c r="A268" s="10" t="n">
        <v>46548</v>
      </c>
      <c r="B268" s="11" t="str">
        <f aca="false">CHOOSE(WEEKDAY($A268,2),"Mon","Tue","Wed","Thu","Fri","Sat","Sun")</f>
        <v>Thu</v>
      </c>
      <c r="C268" s="12"/>
      <c r="D268" s="12"/>
      <c r="E268" s="13" t="str">
        <f aca="false">IF($C268="","",$C268-N($D268))</f>
        <v/>
      </c>
      <c r="F268" s="13" t="str">
        <f aca="false">IF($C268="","",$C268-MAX(0,N($D268)-BreakAllow*$C268))</f>
        <v/>
      </c>
      <c r="G268" s="12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5" t="str">
        <f aca="false">IF(COUNT(H268:S268)=0,"",SUM(H268:S268))</f>
        <v/>
      </c>
      <c r="U268" s="16" t="str">
        <f aca="false">IF($C268="","",IFERROR(INDEX(RateValues,MATCH(SUMPRODUCT(MAX((RateDates&lt;=$A268)*RateDates)),RateDates,0)),0))</f>
        <v/>
      </c>
      <c r="V268" s="17" t="str">
        <f aca="false">IF($C268="","",$F268*$U268)</f>
        <v/>
      </c>
      <c r="W268" s="18" t="n">
        <f aca="false">$A268-WEEKDAY($A268,2)+1</f>
        <v>46545</v>
      </c>
      <c r="X268" s="19" t="str">
        <f aca="false">IF(AND($C268="",T268=""),"",IF(AND(N($C268)&gt;0,N(T268)=0),"nobody marked present",IF(N($D268)&gt;N($C268),"more broken than moulded",IF(AND($C268="",N(T268)&gt;0),"attendance marked but no blocks entered",IF(AND(N($C268)&gt;0,N(U268)=0),"no pay rate for this date - see Settings",IF(SUMPRODUCT((H268:S268&lt;&gt;"")*(H$4:S$4=""))&gt;0,"attendance in an empty worker slot",""))))))</f>
        <v/>
      </c>
      <c r="Y268" s="20"/>
    </row>
    <row r="269" customFormat="false" ht="15" hidden="false" customHeight="false" outlineLevel="0" collapsed="false">
      <c r="A269" s="10" t="n">
        <v>46549</v>
      </c>
      <c r="B269" s="11" t="str">
        <f aca="false">CHOOSE(WEEKDAY($A269,2),"Mon","Tue","Wed","Thu","Fri","Sat","Sun")</f>
        <v>Fri</v>
      </c>
      <c r="C269" s="12"/>
      <c r="D269" s="12"/>
      <c r="E269" s="13" t="str">
        <f aca="false">IF($C269="","",$C269-N($D269))</f>
        <v/>
      </c>
      <c r="F269" s="13" t="str">
        <f aca="false">IF($C269="","",$C269-MAX(0,N($D269)-BreakAllow*$C269))</f>
        <v/>
      </c>
      <c r="G269" s="12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5" t="str">
        <f aca="false">IF(COUNT(H269:S269)=0,"",SUM(H269:S269))</f>
        <v/>
      </c>
      <c r="U269" s="16" t="str">
        <f aca="false">IF($C269="","",IFERROR(INDEX(RateValues,MATCH(SUMPRODUCT(MAX((RateDates&lt;=$A269)*RateDates)),RateDates,0)),0))</f>
        <v/>
      </c>
      <c r="V269" s="17" t="str">
        <f aca="false">IF($C269="","",$F269*$U269)</f>
        <v/>
      </c>
      <c r="W269" s="18" t="n">
        <f aca="false">$A269-WEEKDAY($A269,2)+1</f>
        <v>46545</v>
      </c>
      <c r="X269" s="19" t="str">
        <f aca="false">IF(AND($C269="",T269=""),"",IF(AND(N($C269)&gt;0,N(T269)=0),"nobody marked present",IF(N($D269)&gt;N($C269),"more broken than moulded",IF(AND($C269="",N(T269)&gt;0),"attendance marked but no blocks entered",IF(AND(N($C269)&gt;0,N(U269)=0),"no pay rate for this date - see Settings",IF(SUMPRODUCT((H269:S269&lt;&gt;"")*(H$4:S$4=""))&gt;0,"attendance in an empty worker slot",""))))))</f>
        <v/>
      </c>
      <c r="Y269" s="20"/>
    </row>
    <row r="270" customFormat="false" ht="15" hidden="false" customHeight="false" outlineLevel="0" collapsed="false">
      <c r="A270" s="10" t="n">
        <v>46550</v>
      </c>
      <c r="B270" s="11" t="str">
        <f aca="false">CHOOSE(WEEKDAY($A270,2),"Mon","Tue","Wed","Thu","Fri","Sat","Sun")</f>
        <v>Sat</v>
      </c>
      <c r="C270" s="12"/>
      <c r="D270" s="12"/>
      <c r="E270" s="13" t="str">
        <f aca="false">IF($C270="","",$C270-N($D270))</f>
        <v/>
      </c>
      <c r="F270" s="13" t="str">
        <f aca="false">IF($C270="","",$C270-MAX(0,N($D270)-BreakAllow*$C270))</f>
        <v/>
      </c>
      <c r="G270" s="12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5" t="str">
        <f aca="false">IF(COUNT(H270:S270)=0,"",SUM(H270:S270))</f>
        <v/>
      </c>
      <c r="U270" s="16" t="str">
        <f aca="false">IF($C270="","",IFERROR(INDEX(RateValues,MATCH(SUMPRODUCT(MAX((RateDates&lt;=$A270)*RateDates)),RateDates,0)),0))</f>
        <v/>
      </c>
      <c r="V270" s="17" t="str">
        <f aca="false">IF($C270="","",$F270*$U270)</f>
        <v/>
      </c>
      <c r="W270" s="18" t="n">
        <f aca="false">$A270-WEEKDAY($A270,2)+1</f>
        <v>46545</v>
      </c>
      <c r="X270" s="19" t="str">
        <f aca="false">IF(AND($C270="",T270=""),"",IF(AND(N($C270)&gt;0,N(T270)=0),"nobody marked present",IF(N($D270)&gt;N($C270),"more broken than moulded",IF(AND($C270="",N(T270)&gt;0),"attendance marked but no blocks entered",IF(AND(N($C270)&gt;0,N(U270)=0),"no pay rate for this date - see Settings",IF(SUMPRODUCT((H270:S270&lt;&gt;"")*(H$4:S$4=""))&gt;0,"attendance in an empty worker slot",""))))))</f>
        <v/>
      </c>
      <c r="Y270" s="20"/>
    </row>
    <row r="271" customFormat="false" ht="15" hidden="false" customHeight="false" outlineLevel="0" collapsed="false">
      <c r="A271" s="21" t="n">
        <v>46551</v>
      </c>
      <c r="B271" s="22" t="str">
        <f aca="false">CHOOSE(WEEKDAY($A271,2),"Mon","Tue","Wed","Thu","Fri","Sat","Sun")</f>
        <v>Sun</v>
      </c>
      <c r="C271" s="12"/>
      <c r="D271" s="12"/>
      <c r="E271" s="13" t="str">
        <f aca="false">IF($C271="","",$C271-N($D271))</f>
        <v/>
      </c>
      <c r="F271" s="13" t="str">
        <f aca="false">IF($C271="","",$C271-MAX(0,N($D271)-BreakAllow*$C271))</f>
        <v/>
      </c>
      <c r="G271" s="12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5" t="str">
        <f aca="false">IF(COUNT(H271:S271)=0,"",SUM(H271:S271))</f>
        <v/>
      </c>
      <c r="U271" s="16" t="str">
        <f aca="false">IF($C271="","",IFERROR(INDEX(RateValues,MATCH(SUMPRODUCT(MAX((RateDates&lt;=$A271)*RateDates)),RateDates,0)),0))</f>
        <v/>
      </c>
      <c r="V271" s="17" t="str">
        <f aca="false">IF($C271="","",$F271*$U271)</f>
        <v/>
      </c>
      <c r="W271" s="18" t="n">
        <f aca="false">$A271-WEEKDAY($A271,2)+1</f>
        <v>46545</v>
      </c>
      <c r="X271" s="19" t="str">
        <f aca="false">IF(AND($C271="",T271=""),"",IF(AND(N($C271)&gt;0,N(T271)=0),"nobody marked present",IF(N($D271)&gt;N($C271),"more broken than moulded",IF(AND($C271="",N(T271)&gt;0),"attendance marked but no blocks entered",IF(AND(N($C271)&gt;0,N(U271)=0),"no pay rate for this date - see Settings",IF(SUMPRODUCT((H271:S271&lt;&gt;"")*(H$4:S$4=""))&gt;0,"attendance in an empty worker slot",""))))))</f>
        <v/>
      </c>
      <c r="Y271" s="20"/>
    </row>
    <row r="272" customFormat="false" ht="15" hidden="false" customHeight="false" outlineLevel="0" collapsed="false">
      <c r="A272" s="10" t="n">
        <v>46552</v>
      </c>
      <c r="B272" s="11" t="str">
        <f aca="false">CHOOSE(WEEKDAY($A272,2),"Mon","Tue","Wed","Thu","Fri","Sat","Sun")</f>
        <v>Mon</v>
      </c>
      <c r="C272" s="12"/>
      <c r="D272" s="12"/>
      <c r="E272" s="13" t="str">
        <f aca="false">IF($C272="","",$C272-N($D272))</f>
        <v/>
      </c>
      <c r="F272" s="13" t="str">
        <f aca="false">IF($C272="","",$C272-MAX(0,N($D272)-BreakAllow*$C272))</f>
        <v/>
      </c>
      <c r="G272" s="12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5" t="str">
        <f aca="false">IF(COUNT(H272:S272)=0,"",SUM(H272:S272))</f>
        <v/>
      </c>
      <c r="U272" s="16" t="str">
        <f aca="false">IF($C272="","",IFERROR(INDEX(RateValues,MATCH(SUMPRODUCT(MAX((RateDates&lt;=$A272)*RateDates)),RateDates,0)),0))</f>
        <v/>
      </c>
      <c r="V272" s="17" t="str">
        <f aca="false">IF($C272="","",$F272*$U272)</f>
        <v/>
      </c>
      <c r="W272" s="18" t="n">
        <f aca="false">$A272-WEEKDAY($A272,2)+1</f>
        <v>46552</v>
      </c>
      <c r="X272" s="19" t="str">
        <f aca="false">IF(AND($C272="",T272=""),"",IF(AND(N($C272)&gt;0,N(T272)=0),"nobody marked present",IF(N($D272)&gt;N($C272),"more broken than moulded",IF(AND($C272="",N(T272)&gt;0),"attendance marked but no blocks entered",IF(AND(N($C272)&gt;0,N(U272)=0),"no pay rate for this date - see Settings",IF(SUMPRODUCT((H272:S272&lt;&gt;"")*(H$4:S$4=""))&gt;0,"attendance in an empty worker slot",""))))))</f>
        <v/>
      </c>
      <c r="Y272" s="20"/>
    </row>
    <row r="273" customFormat="false" ht="15" hidden="false" customHeight="false" outlineLevel="0" collapsed="false">
      <c r="A273" s="10" t="n">
        <v>46553</v>
      </c>
      <c r="B273" s="11" t="str">
        <f aca="false">CHOOSE(WEEKDAY($A273,2),"Mon","Tue","Wed","Thu","Fri","Sat","Sun")</f>
        <v>Tue</v>
      </c>
      <c r="C273" s="12"/>
      <c r="D273" s="12"/>
      <c r="E273" s="13" t="str">
        <f aca="false">IF($C273="","",$C273-N($D273))</f>
        <v/>
      </c>
      <c r="F273" s="13" t="str">
        <f aca="false">IF($C273="","",$C273-MAX(0,N($D273)-BreakAllow*$C273))</f>
        <v/>
      </c>
      <c r="G273" s="12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5" t="str">
        <f aca="false">IF(COUNT(H273:S273)=0,"",SUM(H273:S273))</f>
        <v/>
      </c>
      <c r="U273" s="16" t="str">
        <f aca="false">IF($C273="","",IFERROR(INDEX(RateValues,MATCH(SUMPRODUCT(MAX((RateDates&lt;=$A273)*RateDates)),RateDates,0)),0))</f>
        <v/>
      </c>
      <c r="V273" s="17" t="str">
        <f aca="false">IF($C273="","",$F273*$U273)</f>
        <v/>
      </c>
      <c r="W273" s="18" t="n">
        <f aca="false">$A273-WEEKDAY($A273,2)+1</f>
        <v>46552</v>
      </c>
      <c r="X273" s="19" t="str">
        <f aca="false">IF(AND($C273="",T273=""),"",IF(AND(N($C273)&gt;0,N(T273)=0),"nobody marked present",IF(N($D273)&gt;N($C273),"more broken than moulded",IF(AND($C273="",N(T273)&gt;0),"attendance marked but no blocks entered",IF(AND(N($C273)&gt;0,N(U273)=0),"no pay rate for this date - see Settings",IF(SUMPRODUCT((H273:S273&lt;&gt;"")*(H$4:S$4=""))&gt;0,"attendance in an empty worker slot",""))))))</f>
        <v/>
      </c>
      <c r="Y273" s="20"/>
    </row>
    <row r="274" customFormat="false" ht="15" hidden="false" customHeight="false" outlineLevel="0" collapsed="false">
      <c r="A274" s="10" t="n">
        <v>46554</v>
      </c>
      <c r="B274" s="11" t="str">
        <f aca="false">CHOOSE(WEEKDAY($A274,2),"Mon","Tue","Wed","Thu","Fri","Sat","Sun")</f>
        <v>Wed</v>
      </c>
      <c r="C274" s="12"/>
      <c r="D274" s="12"/>
      <c r="E274" s="13" t="str">
        <f aca="false">IF($C274="","",$C274-N($D274))</f>
        <v/>
      </c>
      <c r="F274" s="13" t="str">
        <f aca="false">IF($C274="","",$C274-MAX(0,N($D274)-BreakAllow*$C274))</f>
        <v/>
      </c>
      <c r="G274" s="12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5" t="str">
        <f aca="false">IF(COUNT(H274:S274)=0,"",SUM(H274:S274))</f>
        <v/>
      </c>
      <c r="U274" s="16" t="str">
        <f aca="false">IF($C274="","",IFERROR(INDEX(RateValues,MATCH(SUMPRODUCT(MAX((RateDates&lt;=$A274)*RateDates)),RateDates,0)),0))</f>
        <v/>
      </c>
      <c r="V274" s="17" t="str">
        <f aca="false">IF($C274="","",$F274*$U274)</f>
        <v/>
      </c>
      <c r="W274" s="18" t="n">
        <f aca="false">$A274-WEEKDAY($A274,2)+1</f>
        <v>46552</v>
      </c>
      <c r="X274" s="19" t="str">
        <f aca="false">IF(AND($C274="",T274=""),"",IF(AND(N($C274)&gt;0,N(T274)=0),"nobody marked present",IF(N($D274)&gt;N($C274),"more broken than moulded",IF(AND($C274="",N(T274)&gt;0),"attendance marked but no blocks entered",IF(AND(N($C274)&gt;0,N(U274)=0),"no pay rate for this date - see Settings",IF(SUMPRODUCT((H274:S274&lt;&gt;"")*(H$4:S$4=""))&gt;0,"attendance in an empty worker slot",""))))))</f>
        <v/>
      </c>
      <c r="Y274" s="20"/>
    </row>
    <row r="275" customFormat="false" ht="15" hidden="false" customHeight="false" outlineLevel="0" collapsed="false">
      <c r="A275" s="10" t="n">
        <v>46555</v>
      </c>
      <c r="B275" s="11" t="str">
        <f aca="false">CHOOSE(WEEKDAY($A275,2),"Mon","Tue","Wed","Thu","Fri","Sat","Sun")</f>
        <v>Thu</v>
      </c>
      <c r="C275" s="12"/>
      <c r="D275" s="12"/>
      <c r="E275" s="13" t="str">
        <f aca="false">IF($C275="","",$C275-N($D275))</f>
        <v/>
      </c>
      <c r="F275" s="13" t="str">
        <f aca="false">IF($C275="","",$C275-MAX(0,N($D275)-BreakAllow*$C275))</f>
        <v/>
      </c>
      <c r="G275" s="12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5" t="str">
        <f aca="false">IF(COUNT(H275:S275)=0,"",SUM(H275:S275))</f>
        <v/>
      </c>
      <c r="U275" s="16" t="str">
        <f aca="false">IF($C275="","",IFERROR(INDEX(RateValues,MATCH(SUMPRODUCT(MAX((RateDates&lt;=$A275)*RateDates)),RateDates,0)),0))</f>
        <v/>
      </c>
      <c r="V275" s="17" t="str">
        <f aca="false">IF($C275="","",$F275*$U275)</f>
        <v/>
      </c>
      <c r="W275" s="18" t="n">
        <f aca="false">$A275-WEEKDAY($A275,2)+1</f>
        <v>46552</v>
      </c>
      <c r="X275" s="19" t="str">
        <f aca="false">IF(AND($C275="",T275=""),"",IF(AND(N($C275)&gt;0,N(T275)=0),"nobody marked present",IF(N($D275)&gt;N($C275),"more broken than moulded",IF(AND($C275="",N(T275)&gt;0),"attendance marked but no blocks entered",IF(AND(N($C275)&gt;0,N(U275)=0),"no pay rate for this date - see Settings",IF(SUMPRODUCT((H275:S275&lt;&gt;"")*(H$4:S$4=""))&gt;0,"attendance in an empty worker slot",""))))))</f>
        <v/>
      </c>
      <c r="Y275" s="20"/>
    </row>
    <row r="276" customFormat="false" ht="15" hidden="false" customHeight="false" outlineLevel="0" collapsed="false">
      <c r="A276" s="10" t="n">
        <v>46556</v>
      </c>
      <c r="B276" s="11" t="str">
        <f aca="false">CHOOSE(WEEKDAY($A276,2),"Mon","Tue","Wed","Thu","Fri","Sat","Sun")</f>
        <v>Fri</v>
      </c>
      <c r="C276" s="12"/>
      <c r="D276" s="12"/>
      <c r="E276" s="13" t="str">
        <f aca="false">IF($C276="","",$C276-N($D276))</f>
        <v/>
      </c>
      <c r="F276" s="13" t="str">
        <f aca="false">IF($C276="","",$C276-MAX(0,N($D276)-BreakAllow*$C276))</f>
        <v/>
      </c>
      <c r="G276" s="12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5" t="str">
        <f aca="false">IF(COUNT(H276:S276)=0,"",SUM(H276:S276))</f>
        <v/>
      </c>
      <c r="U276" s="16" t="str">
        <f aca="false">IF($C276="","",IFERROR(INDEX(RateValues,MATCH(SUMPRODUCT(MAX((RateDates&lt;=$A276)*RateDates)),RateDates,0)),0))</f>
        <v/>
      </c>
      <c r="V276" s="17" t="str">
        <f aca="false">IF($C276="","",$F276*$U276)</f>
        <v/>
      </c>
      <c r="W276" s="18" t="n">
        <f aca="false">$A276-WEEKDAY($A276,2)+1</f>
        <v>46552</v>
      </c>
      <c r="X276" s="19" t="str">
        <f aca="false">IF(AND($C276="",T276=""),"",IF(AND(N($C276)&gt;0,N(T276)=0),"nobody marked present",IF(N($D276)&gt;N($C276),"more broken than moulded",IF(AND($C276="",N(T276)&gt;0),"attendance marked but no blocks entered",IF(AND(N($C276)&gt;0,N(U276)=0),"no pay rate for this date - see Settings",IF(SUMPRODUCT((H276:S276&lt;&gt;"")*(H$4:S$4=""))&gt;0,"attendance in an empty worker slot",""))))))</f>
        <v/>
      </c>
      <c r="Y276" s="20"/>
    </row>
    <row r="277" customFormat="false" ht="15" hidden="false" customHeight="false" outlineLevel="0" collapsed="false">
      <c r="A277" s="10" t="n">
        <v>46557</v>
      </c>
      <c r="B277" s="11" t="str">
        <f aca="false">CHOOSE(WEEKDAY($A277,2),"Mon","Tue","Wed","Thu","Fri","Sat","Sun")</f>
        <v>Sat</v>
      </c>
      <c r="C277" s="12"/>
      <c r="D277" s="12"/>
      <c r="E277" s="13" t="str">
        <f aca="false">IF($C277="","",$C277-N($D277))</f>
        <v/>
      </c>
      <c r="F277" s="13" t="str">
        <f aca="false">IF($C277="","",$C277-MAX(0,N($D277)-BreakAllow*$C277))</f>
        <v/>
      </c>
      <c r="G277" s="12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5" t="str">
        <f aca="false">IF(COUNT(H277:S277)=0,"",SUM(H277:S277))</f>
        <v/>
      </c>
      <c r="U277" s="16" t="str">
        <f aca="false">IF($C277="","",IFERROR(INDEX(RateValues,MATCH(SUMPRODUCT(MAX((RateDates&lt;=$A277)*RateDates)),RateDates,0)),0))</f>
        <v/>
      </c>
      <c r="V277" s="17" t="str">
        <f aca="false">IF($C277="","",$F277*$U277)</f>
        <v/>
      </c>
      <c r="W277" s="18" t="n">
        <f aca="false">$A277-WEEKDAY($A277,2)+1</f>
        <v>46552</v>
      </c>
      <c r="X277" s="19" t="str">
        <f aca="false">IF(AND($C277="",T277=""),"",IF(AND(N($C277)&gt;0,N(T277)=0),"nobody marked present",IF(N($D277)&gt;N($C277),"more broken than moulded",IF(AND($C277="",N(T277)&gt;0),"attendance marked but no blocks entered",IF(AND(N($C277)&gt;0,N(U277)=0),"no pay rate for this date - see Settings",IF(SUMPRODUCT((H277:S277&lt;&gt;"")*(H$4:S$4=""))&gt;0,"attendance in an empty worker slot",""))))))</f>
        <v/>
      </c>
      <c r="Y277" s="20"/>
    </row>
    <row r="278" customFormat="false" ht="15" hidden="false" customHeight="false" outlineLevel="0" collapsed="false">
      <c r="A278" s="21" t="n">
        <v>46558</v>
      </c>
      <c r="B278" s="22" t="str">
        <f aca="false">CHOOSE(WEEKDAY($A278,2),"Mon","Tue","Wed","Thu","Fri","Sat","Sun")</f>
        <v>Sun</v>
      </c>
      <c r="C278" s="12"/>
      <c r="D278" s="12"/>
      <c r="E278" s="13" t="str">
        <f aca="false">IF($C278="","",$C278-N($D278))</f>
        <v/>
      </c>
      <c r="F278" s="13" t="str">
        <f aca="false">IF($C278="","",$C278-MAX(0,N($D278)-BreakAllow*$C278))</f>
        <v/>
      </c>
      <c r="G278" s="12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5" t="str">
        <f aca="false">IF(COUNT(H278:S278)=0,"",SUM(H278:S278))</f>
        <v/>
      </c>
      <c r="U278" s="16" t="str">
        <f aca="false">IF($C278="","",IFERROR(INDEX(RateValues,MATCH(SUMPRODUCT(MAX((RateDates&lt;=$A278)*RateDates)),RateDates,0)),0))</f>
        <v/>
      </c>
      <c r="V278" s="17" t="str">
        <f aca="false">IF($C278="","",$F278*$U278)</f>
        <v/>
      </c>
      <c r="W278" s="18" t="n">
        <f aca="false">$A278-WEEKDAY($A278,2)+1</f>
        <v>46552</v>
      </c>
      <c r="X278" s="19" t="str">
        <f aca="false">IF(AND($C278="",T278=""),"",IF(AND(N($C278)&gt;0,N(T278)=0),"nobody marked present",IF(N($D278)&gt;N($C278),"more broken than moulded",IF(AND($C278="",N(T278)&gt;0),"attendance marked but no blocks entered",IF(AND(N($C278)&gt;0,N(U278)=0),"no pay rate for this date - see Settings",IF(SUMPRODUCT((H278:S278&lt;&gt;"")*(H$4:S$4=""))&gt;0,"attendance in an empty worker slot",""))))))</f>
        <v/>
      </c>
      <c r="Y278" s="20"/>
    </row>
    <row r="279" customFormat="false" ht="15" hidden="false" customHeight="false" outlineLevel="0" collapsed="false">
      <c r="A279" s="10" t="n">
        <v>46559</v>
      </c>
      <c r="B279" s="11" t="str">
        <f aca="false">CHOOSE(WEEKDAY($A279,2),"Mon","Tue","Wed","Thu","Fri","Sat","Sun")</f>
        <v>Mon</v>
      </c>
      <c r="C279" s="12"/>
      <c r="D279" s="12"/>
      <c r="E279" s="13" t="str">
        <f aca="false">IF($C279="","",$C279-N($D279))</f>
        <v/>
      </c>
      <c r="F279" s="13" t="str">
        <f aca="false">IF($C279="","",$C279-MAX(0,N($D279)-BreakAllow*$C279))</f>
        <v/>
      </c>
      <c r="G279" s="12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5" t="str">
        <f aca="false">IF(COUNT(H279:S279)=0,"",SUM(H279:S279))</f>
        <v/>
      </c>
      <c r="U279" s="16" t="str">
        <f aca="false">IF($C279="","",IFERROR(INDEX(RateValues,MATCH(SUMPRODUCT(MAX((RateDates&lt;=$A279)*RateDates)),RateDates,0)),0))</f>
        <v/>
      </c>
      <c r="V279" s="17" t="str">
        <f aca="false">IF($C279="","",$F279*$U279)</f>
        <v/>
      </c>
      <c r="W279" s="18" t="n">
        <f aca="false">$A279-WEEKDAY($A279,2)+1</f>
        <v>46559</v>
      </c>
      <c r="X279" s="19" t="str">
        <f aca="false">IF(AND($C279="",T279=""),"",IF(AND(N($C279)&gt;0,N(T279)=0),"nobody marked present",IF(N($D279)&gt;N($C279),"more broken than moulded",IF(AND($C279="",N(T279)&gt;0),"attendance marked but no blocks entered",IF(AND(N($C279)&gt;0,N(U279)=0),"no pay rate for this date - see Settings",IF(SUMPRODUCT((H279:S279&lt;&gt;"")*(H$4:S$4=""))&gt;0,"attendance in an empty worker slot",""))))))</f>
        <v/>
      </c>
      <c r="Y279" s="20"/>
    </row>
    <row r="280" customFormat="false" ht="15" hidden="false" customHeight="false" outlineLevel="0" collapsed="false">
      <c r="A280" s="10" t="n">
        <v>46560</v>
      </c>
      <c r="B280" s="11" t="str">
        <f aca="false">CHOOSE(WEEKDAY($A280,2),"Mon","Tue","Wed","Thu","Fri","Sat","Sun")</f>
        <v>Tue</v>
      </c>
      <c r="C280" s="12"/>
      <c r="D280" s="12"/>
      <c r="E280" s="13" t="str">
        <f aca="false">IF($C280="","",$C280-N($D280))</f>
        <v/>
      </c>
      <c r="F280" s="13" t="str">
        <f aca="false">IF($C280="","",$C280-MAX(0,N($D280)-BreakAllow*$C280))</f>
        <v/>
      </c>
      <c r="G280" s="12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5" t="str">
        <f aca="false">IF(COUNT(H280:S280)=0,"",SUM(H280:S280))</f>
        <v/>
      </c>
      <c r="U280" s="16" t="str">
        <f aca="false">IF($C280="","",IFERROR(INDEX(RateValues,MATCH(SUMPRODUCT(MAX((RateDates&lt;=$A280)*RateDates)),RateDates,0)),0))</f>
        <v/>
      </c>
      <c r="V280" s="17" t="str">
        <f aca="false">IF($C280="","",$F280*$U280)</f>
        <v/>
      </c>
      <c r="W280" s="18" t="n">
        <f aca="false">$A280-WEEKDAY($A280,2)+1</f>
        <v>46559</v>
      </c>
      <c r="X280" s="19" t="str">
        <f aca="false">IF(AND($C280="",T280=""),"",IF(AND(N($C280)&gt;0,N(T280)=0),"nobody marked present",IF(N($D280)&gt;N($C280),"more broken than moulded",IF(AND($C280="",N(T280)&gt;0),"attendance marked but no blocks entered",IF(AND(N($C280)&gt;0,N(U280)=0),"no pay rate for this date - see Settings",IF(SUMPRODUCT((H280:S280&lt;&gt;"")*(H$4:S$4=""))&gt;0,"attendance in an empty worker slot",""))))))</f>
        <v/>
      </c>
      <c r="Y280" s="20"/>
    </row>
    <row r="281" customFormat="false" ht="15" hidden="false" customHeight="false" outlineLevel="0" collapsed="false">
      <c r="A281" s="10" t="n">
        <v>46561</v>
      </c>
      <c r="B281" s="11" t="str">
        <f aca="false">CHOOSE(WEEKDAY($A281,2),"Mon","Tue","Wed","Thu","Fri","Sat","Sun")</f>
        <v>Wed</v>
      </c>
      <c r="C281" s="12"/>
      <c r="D281" s="12"/>
      <c r="E281" s="13" t="str">
        <f aca="false">IF($C281="","",$C281-N($D281))</f>
        <v/>
      </c>
      <c r="F281" s="13" t="str">
        <f aca="false">IF($C281="","",$C281-MAX(0,N($D281)-BreakAllow*$C281))</f>
        <v/>
      </c>
      <c r="G281" s="12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5" t="str">
        <f aca="false">IF(COUNT(H281:S281)=0,"",SUM(H281:S281))</f>
        <v/>
      </c>
      <c r="U281" s="16" t="str">
        <f aca="false">IF($C281="","",IFERROR(INDEX(RateValues,MATCH(SUMPRODUCT(MAX((RateDates&lt;=$A281)*RateDates)),RateDates,0)),0))</f>
        <v/>
      </c>
      <c r="V281" s="17" t="str">
        <f aca="false">IF($C281="","",$F281*$U281)</f>
        <v/>
      </c>
      <c r="W281" s="18" t="n">
        <f aca="false">$A281-WEEKDAY($A281,2)+1</f>
        <v>46559</v>
      </c>
      <c r="X281" s="19" t="str">
        <f aca="false">IF(AND($C281="",T281=""),"",IF(AND(N($C281)&gt;0,N(T281)=0),"nobody marked present",IF(N($D281)&gt;N($C281),"more broken than moulded",IF(AND($C281="",N(T281)&gt;0),"attendance marked but no blocks entered",IF(AND(N($C281)&gt;0,N(U281)=0),"no pay rate for this date - see Settings",IF(SUMPRODUCT((H281:S281&lt;&gt;"")*(H$4:S$4=""))&gt;0,"attendance in an empty worker slot",""))))))</f>
        <v/>
      </c>
      <c r="Y281" s="20"/>
    </row>
    <row r="282" customFormat="false" ht="15" hidden="false" customHeight="false" outlineLevel="0" collapsed="false">
      <c r="A282" s="10" t="n">
        <v>46562</v>
      </c>
      <c r="B282" s="11" t="str">
        <f aca="false">CHOOSE(WEEKDAY($A282,2),"Mon","Tue","Wed","Thu","Fri","Sat","Sun")</f>
        <v>Thu</v>
      </c>
      <c r="C282" s="12"/>
      <c r="D282" s="12"/>
      <c r="E282" s="13" t="str">
        <f aca="false">IF($C282="","",$C282-N($D282))</f>
        <v/>
      </c>
      <c r="F282" s="13" t="str">
        <f aca="false">IF($C282="","",$C282-MAX(0,N($D282)-BreakAllow*$C282))</f>
        <v/>
      </c>
      <c r="G282" s="12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5" t="str">
        <f aca="false">IF(COUNT(H282:S282)=0,"",SUM(H282:S282))</f>
        <v/>
      </c>
      <c r="U282" s="16" t="str">
        <f aca="false">IF($C282="","",IFERROR(INDEX(RateValues,MATCH(SUMPRODUCT(MAX((RateDates&lt;=$A282)*RateDates)),RateDates,0)),0))</f>
        <v/>
      </c>
      <c r="V282" s="17" t="str">
        <f aca="false">IF($C282="","",$F282*$U282)</f>
        <v/>
      </c>
      <c r="W282" s="18" t="n">
        <f aca="false">$A282-WEEKDAY($A282,2)+1</f>
        <v>46559</v>
      </c>
      <c r="X282" s="19" t="str">
        <f aca="false">IF(AND($C282="",T282=""),"",IF(AND(N($C282)&gt;0,N(T282)=0),"nobody marked present",IF(N($D282)&gt;N($C282),"more broken than moulded",IF(AND($C282="",N(T282)&gt;0),"attendance marked but no blocks entered",IF(AND(N($C282)&gt;0,N(U282)=0),"no pay rate for this date - see Settings",IF(SUMPRODUCT((H282:S282&lt;&gt;"")*(H$4:S$4=""))&gt;0,"attendance in an empty worker slot",""))))))</f>
        <v/>
      </c>
      <c r="Y282" s="20"/>
    </row>
    <row r="283" customFormat="false" ht="15" hidden="false" customHeight="false" outlineLevel="0" collapsed="false">
      <c r="A283" s="10" t="n">
        <v>46563</v>
      </c>
      <c r="B283" s="11" t="str">
        <f aca="false">CHOOSE(WEEKDAY($A283,2),"Mon","Tue","Wed","Thu","Fri","Sat","Sun")</f>
        <v>Fri</v>
      </c>
      <c r="C283" s="12"/>
      <c r="D283" s="12"/>
      <c r="E283" s="13" t="str">
        <f aca="false">IF($C283="","",$C283-N($D283))</f>
        <v/>
      </c>
      <c r="F283" s="13" t="str">
        <f aca="false">IF($C283="","",$C283-MAX(0,N($D283)-BreakAllow*$C283))</f>
        <v/>
      </c>
      <c r="G283" s="12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5" t="str">
        <f aca="false">IF(COUNT(H283:S283)=0,"",SUM(H283:S283))</f>
        <v/>
      </c>
      <c r="U283" s="16" t="str">
        <f aca="false">IF($C283="","",IFERROR(INDEX(RateValues,MATCH(SUMPRODUCT(MAX((RateDates&lt;=$A283)*RateDates)),RateDates,0)),0))</f>
        <v/>
      </c>
      <c r="V283" s="17" t="str">
        <f aca="false">IF($C283="","",$F283*$U283)</f>
        <v/>
      </c>
      <c r="W283" s="18" t="n">
        <f aca="false">$A283-WEEKDAY($A283,2)+1</f>
        <v>46559</v>
      </c>
      <c r="X283" s="19" t="str">
        <f aca="false">IF(AND($C283="",T283=""),"",IF(AND(N($C283)&gt;0,N(T283)=0),"nobody marked present",IF(N($D283)&gt;N($C283),"more broken than moulded",IF(AND($C283="",N(T283)&gt;0),"attendance marked but no blocks entered",IF(AND(N($C283)&gt;0,N(U283)=0),"no pay rate for this date - see Settings",IF(SUMPRODUCT((H283:S283&lt;&gt;"")*(H$4:S$4=""))&gt;0,"attendance in an empty worker slot",""))))))</f>
        <v/>
      </c>
      <c r="Y283" s="20"/>
    </row>
    <row r="284" customFormat="false" ht="15" hidden="false" customHeight="false" outlineLevel="0" collapsed="false">
      <c r="A284" s="10" t="n">
        <v>46564</v>
      </c>
      <c r="B284" s="11" t="str">
        <f aca="false">CHOOSE(WEEKDAY($A284,2),"Mon","Tue","Wed","Thu","Fri","Sat","Sun")</f>
        <v>Sat</v>
      </c>
      <c r="C284" s="12"/>
      <c r="D284" s="12"/>
      <c r="E284" s="13" t="str">
        <f aca="false">IF($C284="","",$C284-N($D284))</f>
        <v/>
      </c>
      <c r="F284" s="13" t="str">
        <f aca="false">IF($C284="","",$C284-MAX(0,N($D284)-BreakAllow*$C284))</f>
        <v/>
      </c>
      <c r="G284" s="12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5" t="str">
        <f aca="false">IF(COUNT(H284:S284)=0,"",SUM(H284:S284))</f>
        <v/>
      </c>
      <c r="U284" s="16" t="str">
        <f aca="false">IF($C284="","",IFERROR(INDEX(RateValues,MATCH(SUMPRODUCT(MAX((RateDates&lt;=$A284)*RateDates)),RateDates,0)),0))</f>
        <v/>
      </c>
      <c r="V284" s="17" t="str">
        <f aca="false">IF($C284="","",$F284*$U284)</f>
        <v/>
      </c>
      <c r="W284" s="18" t="n">
        <f aca="false">$A284-WEEKDAY($A284,2)+1</f>
        <v>46559</v>
      </c>
      <c r="X284" s="19" t="str">
        <f aca="false">IF(AND($C284="",T284=""),"",IF(AND(N($C284)&gt;0,N(T284)=0),"nobody marked present",IF(N($D284)&gt;N($C284),"more broken than moulded",IF(AND($C284="",N(T284)&gt;0),"attendance marked but no blocks entered",IF(AND(N($C284)&gt;0,N(U284)=0),"no pay rate for this date - see Settings",IF(SUMPRODUCT((H284:S284&lt;&gt;"")*(H$4:S$4=""))&gt;0,"attendance in an empty worker slot",""))))))</f>
        <v/>
      </c>
      <c r="Y284" s="20"/>
    </row>
    <row r="285" customFormat="false" ht="15" hidden="false" customHeight="false" outlineLevel="0" collapsed="false">
      <c r="A285" s="21" t="n">
        <v>46565</v>
      </c>
      <c r="B285" s="22" t="str">
        <f aca="false">CHOOSE(WEEKDAY($A285,2),"Mon","Tue","Wed","Thu","Fri","Sat","Sun")</f>
        <v>Sun</v>
      </c>
      <c r="C285" s="12"/>
      <c r="D285" s="12"/>
      <c r="E285" s="13" t="str">
        <f aca="false">IF($C285="","",$C285-N($D285))</f>
        <v/>
      </c>
      <c r="F285" s="13" t="str">
        <f aca="false">IF($C285="","",$C285-MAX(0,N($D285)-BreakAllow*$C285))</f>
        <v/>
      </c>
      <c r="G285" s="12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5" t="str">
        <f aca="false">IF(COUNT(H285:S285)=0,"",SUM(H285:S285))</f>
        <v/>
      </c>
      <c r="U285" s="16" t="str">
        <f aca="false">IF($C285="","",IFERROR(INDEX(RateValues,MATCH(SUMPRODUCT(MAX((RateDates&lt;=$A285)*RateDates)),RateDates,0)),0))</f>
        <v/>
      </c>
      <c r="V285" s="17" t="str">
        <f aca="false">IF($C285="","",$F285*$U285)</f>
        <v/>
      </c>
      <c r="W285" s="18" t="n">
        <f aca="false">$A285-WEEKDAY($A285,2)+1</f>
        <v>46559</v>
      </c>
      <c r="X285" s="19" t="str">
        <f aca="false">IF(AND($C285="",T285=""),"",IF(AND(N($C285)&gt;0,N(T285)=0),"nobody marked present",IF(N($D285)&gt;N($C285),"more broken than moulded",IF(AND($C285="",N(T285)&gt;0),"attendance marked but no blocks entered",IF(AND(N($C285)&gt;0,N(U285)=0),"no pay rate for this date - see Settings",IF(SUMPRODUCT((H285:S285&lt;&gt;"")*(H$4:S$4=""))&gt;0,"attendance in an empty worker slot",""))))))</f>
        <v/>
      </c>
      <c r="Y285" s="20"/>
    </row>
    <row r="286" customFormat="false" ht="15" hidden="false" customHeight="false" outlineLevel="0" collapsed="false">
      <c r="A286" s="10" t="n">
        <v>46566</v>
      </c>
      <c r="B286" s="11" t="str">
        <f aca="false">CHOOSE(WEEKDAY($A286,2),"Mon","Tue","Wed","Thu","Fri","Sat","Sun")</f>
        <v>Mon</v>
      </c>
      <c r="C286" s="12"/>
      <c r="D286" s="12"/>
      <c r="E286" s="13" t="str">
        <f aca="false">IF($C286="","",$C286-N($D286))</f>
        <v/>
      </c>
      <c r="F286" s="13" t="str">
        <f aca="false">IF($C286="","",$C286-MAX(0,N($D286)-BreakAllow*$C286))</f>
        <v/>
      </c>
      <c r="G286" s="12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5" t="str">
        <f aca="false">IF(COUNT(H286:S286)=0,"",SUM(H286:S286))</f>
        <v/>
      </c>
      <c r="U286" s="16" t="str">
        <f aca="false">IF($C286="","",IFERROR(INDEX(RateValues,MATCH(SUMPRODUCT(MAX((RateDates&lt;=$A286)*RateDates)),RateDates,0)),0))</f>
        <v/>
      </c>
      <c r="V286" s="17" t="str">
        <f aca="false">IF($C286="","",$F286*$U286)</f>
        <v/>
      </c>
      <c r="W286" s="18" t="n">
        <f aca="false">$A286-WEEKDAY($A286,2)+1</f>
        <v>46566</v>
      </c>
      <c r="X286" s="19" t="str">
        <f aca="false">IF(AND($C286="",T286=""),"",IF(AND(N($C286)&gt;0,N(T286)=0),"nobody marked present",IF(N($D286)&gt;N($C286),"more broken than moulded",IF(AND($C286="",N(T286)&gt;0),"attendance marked but no blocks entered",IF(AND(N($C286)&gt;0,N(U286)=0),"no pay rate for this date - see Settings",IF(SUMPRODUCT((H286:S286&lt;&gt;"")*(H$4:S$4=""))&gt;0,"attendance in an empty worker slot",""))))))</f>
        <v/>
      </c>
      <c r="Y286" s="20"/>
    </row>
    <row r="287" customFormat="false" ht="15" hidden="false" customHeight="false" outlineLevel="0" collapsed="false">
      <c r="A287" s="10" t="n">
        <v>46567</v>
      </c>
      <c r="B287" s="11" t="str">
        <f aca="false">CHOOSE(WEEKDAY($A287,2),"Mon","Tue","Wed","Thu","Fri","Sat","Sun")</f>
        <v>Tue</v>
      </c>
      <c r="C287" s="12"/>
      <c r="D287" s="12"/>
      <c r="E287" s="13" t="str">
        <f aca="false">IF($C287="","",$C287-N($D287))</f>
        <v/>
      </c>
      <c r="F287" s="13" t="str">
        <f aca="false">IF($C287="","",$C287-MAX(0,N($D287)-BreakAllow*$C287))</f>
        <v/>
      </c>
      <c r="G287" s="12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5" t="str">
        <f aca="false">IF(COUNT(H287:S287)=0,"",SUM(H287:S287))</f>
        <v/>
      </c>
      <c r="U287" s="16" t="str">
        <f aca="false">IF($C287="","",IFERROR(INDEX(RateValues,MATCH(SUMPRODUCT(MAX((RateDates&lt;=$A287)*RateDates)),RateDates,0)),0))</f>
        <v/>
      </c>
      <c r="V287" s="17" t="str">
        <f aca="false">IF($C287="","",$F287*$U287)</f>
        <v/>
      </c>
      <c r="W287" s="18" t="n">
        <f aca="false">$A287-WEEKDAY($A287,2)+1</f>
        <v>46566</v>
      </c>
      <c r="X287" s="19" t="str">
        <f aca="false">IF(AND($C287="",T287=""),"",IF(AND(N($C287)&gt;0,N(T287)=0),"nobody marked present",IF(N($D287)&gt;N($C287),"more broken than moulded",IF(AND($C287="",N(T287)&gt;0),"attendance marked but no blocks entered",IF(AND(N($C287)&gt;0,N(U287)=0),"no pay rate for this date - see Settings",IF(SUMPRODUCT((H287:S287&lt;&gt;"")*(H$4:S$4=""))&gt;0,"attendance in an empty worker slot",""))))))</f>
        <v/>
      </c>
      <c r="Y287" s="20"/>
    </row>
    <row r="288" customFormat="false" ht="15" hidden="false" customHeight="false" outlineLevel="0" collapsed="false">
      <c r="A288" s="10" t="n">
        <v>46568</v>
      </c>
      <c r="B288" s="11" t="str">
        <f aca="false">CHOOSE(WEEKDAY($A288,2),"Mon","Tue","Wed","Thu","Fri","Sat","Sun")</f>
        <v>Wed</v>
      </c>
      <c r="C288" s="12"/>
      <c r="D288" s="12"/>
      <c r="E288" s="13" t="str">
        <f aca="false">IF($C288="","",$C288-N($D288))</f>
        <v/>
      </c>
      <c r="F288" s="13" t="str">
        <f aca="false">IF($C288="","",$C288-MAX(0,N($D288)-BreakAllow*$C288))</f>
        <v/>
      </c>
      <c r="G288" s="12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5" t="str">
        <f aca="false">IF(COUNT(H288:S288)=0,"",SUM(H288:S288))</f>
        <v/>
      </c>
      <c r="U288" s="16" t="str">
        <f aca="false">IF($C288="","",IFERROR(INDEX(RateValues,MATCH(SUMPRODUCT(MAX((RateDates&lt;=$A288)*RateDates)),RateDates,0)),0))</f>
        <v/>
      </c>
      <c r="V288" s="17" t="str">
        <f aca="false">IF($C288="","",$F288*$U288)</f>
        <v/>
      </c>
      <c r="W288" s="18" t="n">
        <f aca="false">$A288-WEEKDAY($A288,2)+1</f>
        <v>46566</v>
      </c>
      <c r="X288" s="19" t="str">
        <f aca="false">IF(AND($C288="",T288=""),"",IF(AND(N($C288)&gt;0,N(T288)=0),"nobody marked present",IF(N($D288)&gt;N($C288),"more broken than moulded",IF(AND($C288="",N(T288)&gt;0),"attendance marked but no blocks entered",IF(AND(N($C288)&gt;0,N(U288)=0),"no pay rate for this date - see Settings",IF(SUMPRODUCT((H288:S288&lt;&gt;"")*(H$4:S$4=""))&gt;0,"attendance in an empty worker slot",""))))))</f>
        <v/>
      </c>
      <c r="Y288" s="20"/>
    </row>
    <row r="289" customFormat="false" ht="15" hidden="false" customHeight="false" outlineLevel="0" collapsed="false">
      <c r="A289" s="10" t="n">
        <v>46569</v>
      </c>
      <c r="B289" s="11" t="str">
        <f aca="false">CHOOSE(WEEKDAY($A289,2),"Mon","Tue","Wed","Thu","Fri","Sat","Sun")</f>
        <v>Thu</v>
      </c>
      <c r="C289" s="12"/>
      <c r="D289" s="12"/>
      <c r="E289" s="13" t="str">
        <f aca="false">IF($C289="","",$C289-N($D289))</f>
        <v/>
      </c>
      <c r="F289" s="13" t="str">
        <f aca="false">IF($C289="","",$C289-MAX(0,N($D289)-BreakAllow*$C289))</f>
        <v/>
      </c>
      <c r="G289" s="12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5" t="str">
        <f aca="false">IF(COUNT(H289:S289)=0,"",SUM(H289:S289))</f>
        <v/>
      </c>
      <c r="U289" s="16" t="str">
        <f aca="false">IF($C289="","",IFERROR(INDEX(RateValues,MATCH(SUMPRODUCT(MAX((RateDates&lt;=$A289)*RateDates)),RateDates,0)),0))</f>
        <v/>
      </c>
      <c r="V289" s="17" t="str">
        <f aca="false">IF($C289="","",$F289*$U289)</f>
        <v/>
      </c>
      <c r="W289" s="18" t="n">
        <f aca="false">$A289-WEEKDAY($A289,2)+1</f>
        <v>46566</v>
      </c>
      <c r="X289" s="19" t="str">
        <f aca="false">IF(AND($C289="",T289=""),"",IF(AND(N($C289)&gt;0,N(T289)=0),"nobody marked present",IF(N($D289)&gt;N($C289),"more broken than moulded",IF(AND($C289="",N(T289)&gt;0),"attendance marked but no blocks entered",IF(AND(N($C289)&gt;0,N(U289)=0),"no pay rate for this date - see Settings",IF(SUMPRODUCT((H289:S289&lt;&gt;"")*(H$4:S$4=""))&gt;0,"attendance in an empty worker slot",""))))))</f>
        <v/>
      </c>
      <c r="Y289" s="20"/>
    </row>
    <row r="290" customFormat="false" ht="15" hidden="false" customHeight="false" outlineLevel="0" collapsed="false">
      <c r="A290" s="10" t="n">
        <v>46570</v>
      </c>
      <c r="B290" s="11" t="str">
        <f aca="false">CHOOSE(WEEKDAY($A290,2),"Mon","Tue","Wed","Thu","Fri","Sat","Sun")</f>
        <v>Fri</v>
      </c>
      <c r="C290" s="12"/>
      <c r="D290" s="12"/>
      <c r="E290" s="13" t="str">
        <f aca="false">IF($C290="","",$C290-N($D290))</f>
        <v/>
      </c>
      <c r="F290" s="13" t="str">
        <f aca="false">IF($C290="","",$C290-MAX(0,N($D290)-BreakAllow*$C290))</f>
        <v/>
      </c>
      <c r="G290" s="12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5" t="str">
        <f aca="false">IF(COUNT(H290:S290)=0,"",SUM(H290:S290))</f>
        <v/>
      </c>
      <c r="U290" s="16" t="str">
        <f aca="false">IF($C290="","",IFERROR(INDEX(RateValues,MATCH(SUMPRODUCT(MAX((RateDates&lt;=$A290)*RateDates)),RateDates,0)),0))</f>
        <v/>
      </c>
      <c r="V290" s="17" t="str">
        <f aca="false">IF($C290="","",$F290*$U290)</f>
        <v/>
      </c>
      <c r="W290" s="18" t="n">
        <f aca="false">$A290-WEEKDAY($A290,2)+1</f>
        <v>46566</v>
      </c>
      <c r="X290" s="19" t="str">
        <f aca="false">IF(AND($C290="",T290=""),"",IF(AND(N($C290)&gt;0,N(T290)=0),"nobody marked present",IF(N($D290)&gt;N($C290),"more broken than moulded",IF(AND($C290="",N(T290)&gt;0),"attendance marked but no blocks entered",IF(AND(N($C290)&gt;0,N(U290)=0),"no pay rate for this date - see Settings",IF(SUMPRODUCT((H290:S290&lt;&gt;"")*(H$4:S$4=""))&gt;0,"attendance in an empty worker slot",""))))))</f>
        <v/>
      </c>
      <c r="Y290" s="20"/>
    </row>
    <row r="291" customFormat="false" ht="15" hidden="false" customHeight="false" outlineLevel="0" collapsed="false">
      <c r="A291" s="10" t="n">
        <v>46571</v>
      </c>
      <c r="B291" s="11" t="str">
        <f aca="false">CHOOSE(WEEKDAY($A291,2),"Mon","Tue","Wed","Thu","Fri","Sat","Sun")</f>
        <v>Sat</v>
      </c>
      <c r="C291" s="12"/>
      <c r="D291" s="12"/>
      <c r="E291" s="13" t="str">
        <f aca="false">IF($C291="","",$C291-N($D291))</f>
        <v/>
      </c>
      <c r="F291" s="13" t="str">
        <f aca="false">IF($C291="","",$C291-MAX(0,N($D291)-BreakAllow*$C291))</f>
        <v/>
      </c>
      <c r="G291" s="12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5" t="str">
        <f aca="false">IF(COUNT(H291:S291)=0,"",SUM(H291:S291))</f>
        <v/>
      </c>
      <c r="U291" s="16" t="str">
        <f aca="false">IF($C291="","",IFERROR(INDEX(RateValues,MATCH(SUMPRODUCT(MAX((RateDates&lt;=$A291)*RateDates)),RateDates,0)),0))</f>
        <v/>
      </c>
      <c r="V291" s="17" t="str">
        <f aca="false">IF($C291="","",$F291*$U291)</f>
        <v/>
      </c>
      <c r="W291" s="18" t="n">
        <f aca="false">$A291-WEEKDAY($A291,2)+1</f>
        <v>46566</v>
      </c>
      <c r="X291" s="19" t="str">
        <f aca="false">IF(AND($C291="",T291=""),"",IF(AND(N($C291)&gt;0,N(T291)=0),"nobody marked present",IF(N($D291)&gt;N($C291),"more broken than moulded",IF(AND($C291="",N(T291)&gt;0),"attendance marked but no blocks entered",IF(AND(N($C291)&gt;0,N(U291)=0),"no pay rate for this date - see Settings",IF(SUMPRODUCT((H291:S291&lt;&gt;"")*(H$4:S$4=""))&gt;0,"attendance in an empty worker slot",""))))))</f>
        <v/>
      </c>
      <c r="Y291" s="20"/>
    </row>
    <row r="292" customFormat="false" ht="15" hidden="false" customHeight="false" outlineLevel="0" collapsed="false">
      <c r="A292" s="21" t="n">
        <v>46572</v>
      </c>
      <c r="B292" s="22" t="str">
        <f aca="false">CHOOSE(WEEKDAY($A292,2),"Mon","Tue","Wed","Thu","Fri","Sat","Sun")</f>
        <v>Sun</v>
      </c>
      <c r="C292" s="12"/>
      <c r="D292" s="12"/>
      <c r="E292" s="13" t="str">
        <f aca="false">IF($C292="","",$C292-N($D292))</f>
        <v/>
      </c>
      <c r="F292" s="13" t="str">
        <f aca="false">IF($C292="","",$C292-MAX(0,N($D292)-BreakAllow*$C292))</f>
        <v/>
      </c>
      <c r="G292" s="12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5" t="str">
        <f aca="false">IF(COUNT(H292:S292)=0,"",SUM(H292:S292))</f>
        <v/>
      </c>
      <c r="U292" s="16" t="str">
        <f aca="false">IF($C292="","",IFERROR(INDEX(RateValues,MATCH(SUMPRODUCT(MAX((RateDates&lt;=$A292)*RateDates)),RateDates,0)),0))</f>
        <v/>
      </c>
      <c r="V292" s="17" t="str">
        <f aca="false">IF($C292="","",$F292*$U292)</f>
        <v/>
      </c>
      <c r="W292" s="18" t="n">
        <f aca="false">$A292-WEEKDAY($A292,2)+1</f>
        <v>46566</v>
      </c>
      <c r="X292" s="19" t="str">
        <f aca="false">IF(AND($C292="",T292=""),"",IF(AND(N($C292)&gt;0,N(T292)=0),"nobody marked present",IF(N($D292)&gt;N($C292),"more broken than moulded",IF(AND($C292="",N(T292)&gt;0),"attendance marked but no blocks entered",IF(AND(N($C292)&gt;0,N(U292)=0),"no pay rate for this date - see Settings",IF(SUMPRODUCT((H292:S292&lt;&gt;"")*(H$4:S$4=""))&gt;0,"attendance in an empty worker slot",""))))))</f>
        <v/>
      </c>
      <c r="Y292" s="20"/>
    </row>
    <row r="293" customFormat="false" ht="15" hidden="false" customHeight="false" outlineLevel="0" collapsed="false">
      <c r="A293" s="10" t="n">
        <v>46573</v>
      </c>
      <c r="B293" s="11" t="str">
        <f aca="false">CHOOSE(WEEKDAY($A293,2),"Mon","Tue","Wed","Thu","Fri","Sat","Sun")</f>
        <v>Mon</v>
      </c>
      <c r="C293" s="12"/>
      <c r="D293" s="12"/>
      <c r="E293" s="13" t="str">
        <f aca="false">IF($C293="","",$C293-N($D293))</f>
        <v/>
      </c>
      <c r="F293" s="13" t="str">
        <f aca="false">IF($C293="","",$C293-MAX(0,N($D293)-BreakAllow*$C293))</f>
        <v/>
      </c>
      <c r="G293" s="12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5" t="str">
        <f aca="false">IF(COUNT(H293:S293)=0,"",SUM(H293:S293))</f>
        <v/>
      </c>
      <c r="U293" s="16" t="str">
        <f aca="false">IF($C293="","",IFERROR(INDEX(RateValues,MATCH(SUMPRODUCT(MAX((RateDates&lt;=$A293)*RateDates)),RateDates,0)),0))</f>
        <v/>
      </c>
      <c r="V293" s="17" t="str">
        <f aca="false">IF($C293="","",$F293*$U293)</f>
        <v/>
      </c>
      <c r="W293" s="18" t="n">
        <f aca="false">$A293-WEEKDAY($A293,2)+1</f>
        <v>46573</v>
      </c>
      <c r="X293" s="19" t="str">
        <f aca="false">IF(AND($C293="",T293=""),"",IF(AND(N($C293)&gt;0,N(T293)=0),"nobody marked present",IF(N($D293)&gt;N($C293),"more broken than moulded",IF(AND($C293="",N(T293)&gt;0),"attendance marked but no blocks entered",IF(AND(N($C293)&gt;0,N(U293)=0),"no pay rate for this date - see Settings",IF(SUMPRODUCT((H293:S293&lt;&gt;"")*(H$4:S$4=""))&gt;0,"attendance in an empty worker slot",""))))))</f>
        <v/>
      </c>
      <c r="Y293" s="20"/>
    </row>
    <row r="294" customFormat="false" ht="15" hidden="false" customHeight="false" outlineLevel="0" collapsed="false">
      <c r="A294" s="10" t="n">
        <v>46574</v>
      </c>
      <c r="B294" s="11" t="str">
        <f aca="false">CHOOSE(WEEKDAY($A294,2),"Mon","Tue","Wed","Thu","Fri","Sat","Sun")</f>
        <v>Tue</v>
      </c>
      <c r="C294" s="12"/>
      <c r="D294" s="12"/>
      <c r="E294" s="13" t="str">
        <f aca="false">IF($C294="","",$C294-N($D294))</f>
        <v/>
      </c>
      <c r="F294" s="13" t="str">
        <f aca="false">IF($C294="","",$C294-MAX(0,N($D294)-BreakAllow*$C294))</f>
        <v/>
      </c>
      <c r="G294" s="12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5" t="str">
        <f aca="false">IF(COUNT(H294:S294)=0,"",SUM(H294:S294))</f>
        <v/>
      </c>
      <c r="U294" s="16" t="str">
        <f aca="false">IF($C294="","",IFERROR(INDEX(RateValues,MATCH(SUMPRODUCT(MAX((RateDates&lt;=$A294)*RateDates)),RateDates,0)),0))</f>
        <v/>
      </c>
      <c r="V294" s="17" t="str">
        <f aca="false">IF($C294="","",$F294*$U294)</f>
        <v/>
      </c>
      <c r="W294" s="18" t="n">
        <f aca="false">$A294-WEEKDAY($A294,2)+1</f>
        <v>46573</v>
      </c>
      <c r="X294" s="19" t="str">
        <f aca="false">IF(AND($C294="",T294=""),"",IF(AND(N($C294)&gt;0,N(T294)=0),"nobody marked present",IF(N($D294)&gt;N($C294),"more broken than moulded",IF(AND($C294="",N(T294)&gt;0),"attendance marked but no blocks entered",IF(AND(N($C294)&gt;0,N(U294)=0),"no pay rate for this date - see Settings",IF(SUMPRODUCT((H294:S294&lt;&gt;"")*(H$4:S$4=""))&gt;0,"attendance in an empty worker slot",""))))))</f>
        <v/>
      </c>
      <c r="Y294" s="20"/>
    </row>
    <row r="295" customFormat="false" ht="15" hidden="false" customHeight="false" outlineLevel="0" collapsed="false">
      <c r="A295" s="10" t="n">
        <v>46575</v>
      </c>
      <c r="B295" s="11" t="str">
        <f aca="false">CHOOSE(WEEKDAY($A295,2),"Mon","Tue","Wed","Thu","Fri","Sat","Sun")</f>
        <v>Wed</v>
      </c>
      <c r="C295" s="12"/>
      <c r="D295" s="12"/>
      <c r="E295" s="13" t="str">
        <f aca="false">IF($C295="","",$C295-N($D295))</f>
        <v/>
      </c>
      <c r="F295" s="13" t="str">
        <f aca="false">IF($C295="","",$C295-MAX(0,N($D295)-BreakAllow*$C295))</f>
        <v/>
      </c>
      <c r="G295" s="12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5" t="str">
        <f aca="false">IF(COUNT(H295:S295)=0,"",SUM(H295:S295))</f>
        <v/>
      </c>
      <c r="U295" s="16" t="str">
        <f aca="false">IF($C295="","",IFERROR(INDEX(RateValues,MATCH(SUMPRODUCT(MAX((RateDates&lt;=$A295)*RateDates)),RateDates,0)),0))</f>
        <v/>
      </c>
      <c r="V295" s="17" t="str">
        <f aca="false">IF($C295="","",$F295*$U295)</f>
        <v/>
      </c>
      <c r="W295" s="18" t="n">
        <f aca="false">$A295-WEEKDAY($A295,2)+1</f>
        <v>46573</v>
      </c>
      <c r="X295" s="19" t="str">
        <f aca="false">IF(AND($C295="",T295=""),"",IF(AND(N($C295)&gt;0,N(T295)=0),"nobody marked present",IF(N($D295)&gt;N($C295),"more broken than moulded",IF(AND($C295="",N(T295)&gt;0),"attendance marked but no blocks entered",IF(AND(N($C295)&gt;0,N(U295)=0),"no pay rate for this date - see Settings",IF(SUMPRODUCT((H295:S295&lt;&gt;"")*(H$4:S$4=""))&gt;0,"attendance in an empty worker slot",""))))))</f>
        <v/>
      </c>
      <c r="Y295" s="20"/>
    </row>
    <row r="296" customFormat="false" ht="15" hidden="false" customHeight="false" outlineLevel="0" collapsed="false">
      <c r="A296" s="10" t="n">
        <v>46576</v>
      </c>
      <c r="B296" s="11" t="str">
        <f aca="false">CHOOSE(WEEKDAY($A296,2),"Mon","Tue","Wed","Thu","Fri","Sat","Sun")</f>
        <v>Thu</v>
      </c>
      <c r="C296" s="12"/>
      <c r="D296" s="12"/>
      <c r="E296" s="13" t="str">
        <f aca="false">IF($C296="","",$C296-N($D296))</f>
        <v/>
      </c>
      <c r="F296" s="13" t="str">
        <f aca="false">IF($C296="","",$C296-MAX(0,N($D296)-BreakAllow*$C296))</f>
        <v/>
      </c>
      <c r="G296" s="12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5" t="str">
        <f aca="false">IF(COUNT(H296:S296)=0,"",SUM(H296:S296))</f>
        <v/>
      </c>
      <c r="U296" s="16" t="str">
        <f aca="false">IF($C296="","",IFERROR(INDEX(RateValues,MATCH(SUMPRODUCT(MAX((RateDates&lt;=$A296)*RateDates)),RateDates,0)),0))</f>
        <v/>
      </c>
      <c r="V296" s="17" t="str">
        <f aca="false">IF($C296="","",$F296*$U296)</f>
        <v/>
      </c>
      <c r="W296" s="18" t="n">
        <f aca="false">$A296-WEEKDAY($A296,2)+1</f>
        <v>46573</v>
      </c>
      <c r="X296" s="19" t="str">
        <f aca="false">IF(AND($C296="",T296=""),"",IF(AND(N($C296)&gt;0,N(T296)=0),"nobody marked present",IF(N($D296)&gt;N($C296),"more broken than moulded",IF(AND($C296="",N(T296)&gt;0),"attendance marked but no blocks entered",IF(AND(N($C296)&gt;0,N(U296)=0),"no pay rate for this date - see Settings",IF(SUMPRODUCT((H296:S296&lt;&gt;"")*(H$4:S$4=""))&gt;0,"attendance in an empty worker slot",""))))))</f>
        <v/>
      </c>
      <c r="Y296" s="20"/>
    </row>
    <row r="297" customFormat="false" ht="15" hidden="false" customHeight="false" outlineLevel="0" collapsed="false">
      <c r="A297" s="10" t="n">
        <v>46577</v>
      </c>
      <c r="B297" s="11" t="str">
        <f aca="false">CHOOSE(WEEKDAY($A297,2),"Mon","Tue","Wed","Thu","Fri","Sat","Sun")</f>
        <v>Fri</v>
      </c>
      <c r="C297" s="12"/>
      <c r="D297" s="12"/>
      <c r="E297" s="13" t="str">
        <f aca="false">IF($C297="","",$C297-N($D297))</f>
        <v/>
      </c>
      <c r="F297" s="13" t="str">
        <f aca="false">IF($C297="","",$C297-MAX(0,N($D297)-BreakAllow*$C297))</f>
        <v/>
      </c>
      <c r="G297" s="12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5" t="str">
        <f aca="false">IF(COUNT(H297:S297)=0,"",SUM(H297:S297))</f>
        <v/>
      </c>
      <c r="U297" s="16" t="str">
        <f aca="false">IF($C297="","",IFERROR(INDEX(RateValues,MATCH(SUMPRODUCT(MAX((RateDates&lt;=$A297)*RateDates)),RateDates,0)),0))</f>
        <v/>
      </c>
      <c r="V297" s="17" t="str">
        <f aca="false">IF($C297="","",$F297*$U297)</f>
        <v/>
      </c>
      <c r="W297" s="18" t="n">
        <f aca="false">$A297-WEEKDAY($A297,2)+1</f>
        <v>46573</v>
      </c>
      <c r="X297" s="19" t="str">
        <f aca="false">IF(AND($C297="",T297=""),"",IF(AND(N($C297)&gt;0,N(T297)=0),"nobody marked present",IF(N($D297)&gt;N($C297),"more broken than moulded",IF(AND($C297="",N(T297)&gt;0),"attendance marked but no blocks entered",IF(AND(N($C297)&gt;0,N(U297)=0),"no pay rate for this date - see Settings",IF(SUMPRODUCT((H297:S297&lt;&gt;"")*(H$4:S$4=""))&gt;0,"attendance in an empty worker slot",""))))))</f>
        <v/>
      </c>
      <c r="Y297" s="20"/>
    </row>
    <row r="298" customFormat="false" ht="15" hidden="false" customHeight="false" outlineLevel="0" collapsed="false">
      <c r="A298" s="10" t="n">
        <v>46578</v>
      </c>
      <c r="B298" s="11" t="str">
        <f aca="false">CHOOSE(WEEKDAY($A298,2),"Mon","Tue","Wed","Thu","Fri","Sat","Sun")</f>
        <v>Sat</v>
      </c>
      <c r="C298" s="12"/>
      <c r="D298" s="12"/>
      <c r="E298" s="13" t="str">
        <f aca="false">IF($C298="","",$C298-N($D298))</f>
        <v/>
      </c>
      <c r="F298" s="13" t="str">
        <f aca="false">IF($C298="","",$C298-MAX(0,N($D298)-BreakAllow*$C298))</f>
        <v/>
      </c>
      <c r="G298" s="12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5" t="str">
        <f aca="false">IF(COUNT(H298:S298)=0,"",SUM(H298:S298))</f>
        <v/>
      </c>
      <c r="U298" s="16" t="str">
        <f aca="false">IF($C298="","",IFERROR(INDEX(RateValues,MATCH(SUMPRODUCT(MAX((RateDates&lt;=$A298)*RateDates)),RateDates,0)),0))</f>
        <v/>
      </c>
      <c r="V298" s="17" t="str">
        <f aca="false">IF($C298="","",$F298*$U298)</f>
        <v/>
      </c>
      <c r="W298" s="18" t="n">
        <f aca="false">$A298-WEEKDAY($A298,2)+1</f>
        <v>46573</v>
      </c>
      <c r="X298" s="19" t="str">
        <f aca="false">IF(AND($C298="",T298=""),"",IF(AND(N($C298)&gt;0,N(T298)=0),"nobody marked present",IF(N($D298)&gt;N($C298),"more broken than moulded",IF(AND($C298="",N(T298)&gt;0),"attendance marked but no blocks entered",IF(AND(N($C298)&gt;0,N(U298)=0),"no pay rate for this date - see Settings",IF(SUMPRODUCT((H298:S298&lt;&gt;"")*(H$4:S$4=""))&gt;0,"attendance in an empty worker slot",""))))))</f>
        <v/>
      </c>
      <c r="Y298" s="20"/>
    </row>
    <row r="299" customFormat="false" ht="15" hidden="false" customHeight="false" outlineLevel="0" collapsed="false">
      <c r="A299" s="21" t="n">
        <v>46579</v>
      </c>
      <c r="B299" s="22" t="str">
        <f aca="false">CHOOSE(WEEKDAY($A299,2),"Mon","Tue","Wed","Thu","Fri","Sat","Sun")</f>
        <v>Sun</v>
      </c>
      <c r="C299" s="12"/>
      <c r="D299" s="12"/>
      <c r="E299" s="13" t="str">
        <f aca="false">IF($C299="","",$C299-N($D299))</f>
        <v/>
      </c>
      <c r="F299" s="13" t="str">
        <f aca="false">IF($C299="","",$C299-MAX(0,N($D299)-BreakAllow*$C299))</f>
        <v/>
      </c>
      <c r="G299" s="12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5" t="str">
        <f aca="false">IF(COUNT(H299:S299)=0,"",SUM(H299:S299))</f>
        <v/>
      </c>
      <c r="U299" s="16" t="str">
        <f aca="false">IF($C299="","",IFERROR(INDEX(RateValues,MATCH(SUMPRODUCT(MAX((RateDates&lt;=$A299)*RateDates)),RateDates,0)),0))</f>
        <v/>
      </c>
      <c r="V299" s="17" t="str">
        <f aca="false">IF($C299="","",$F299*$U299)</f>
        <v/>
      </c>
      <c r="W299" s="18" t="n">
        <f aca="false">$A299-WEEKDAY($A299,2)+1</f>
        <v>46573</v>
      </c>
      <c r="X299" s="19" t="str">
        <f aca="false">IF(AND($C299="",T299=""),"",IF(AND(N($C299)&gt;0,N(T299)=0),"nobody marked present",IF(N($D299)&gt;N($C299),"more broken than moulded",IF(AND($C299="",N(T299)&gt;0),"attendance marked but no blocks entered",IF(AND(N($C299)&gt;0,N(U299)=0),"no pay rate for this date - see Settings",IF(SUMPRODUCT((H299:S299&lt;&gt;"")*(H$4:S$4=""))&gt;0,"attendance in an empty worker slot",""))))))</f>
        <v/>
      </c>
      <c r="Y299" s="20"/>
    </row>
    <row r="300" customFormat="false" ht="15" hidden="false" customHeight="false" outlineLevel="0" collapsed="false">
      <c r="A300" s="10" t="n">
        <v>46580</v>
      </c>
      <c r="B300" s="11" t="str">
        <f aca="false">CHOOSE(WEEKDAY($A300,2),"Mon","Tue","Wed","Thu","Fri","Sat","Sun")</f>
        <v>Mon</v>
      </c>
      <c r="C300" s="12"/>
      <c r="D300" s="12"/>
      <c r="E300" s="13" t="str">
        <f aca="false">IF($C300="","",$C300-N($D300))</f>
        <v/>
      </c>
      <c r="F300" s="13" t="str">
        <f aca="false">IF($C300="","",$C300-MAX(0,N($D300)-BreakAllow*$C300))</f>
        <v/>
      </c>
      <c r="G300" s="12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5" t="str">
        <f aca="false">IF(COUNT(H300:S300)=0,"",SUM(H300:S300))</f>
        <v/>
      </c>
      <c r="U300" s="16" t="str">
        <f aca="false">IF($C300="","",IFERROR(INDEX(RateValues,MATCH(SUMPRODUCT(MAX((RateDates&lt;=$A300)*RateDates)),RateDates,0)),0))</f>
        <v/>
      </c>
      <c r="V300" s="17" t="str">
        <f aca="false">IF($C300="","",$F300*$U300)</f>
        <v/>
      </c>
      <c r="W300" s="18" t="n">
        <f aca="false">$A300-WEEKDAY($A300,2)+1</f>
        <v>46580</v>
      </c>
      <c r="X300" s="19" t="str">
        <f aca="false">IF(AND($C300="",T300=""),"",IF(AND(N($C300)&gt;0,N(T300)=0),"nobody marked present",IF(N($D300)&gt;N($C300),"more broken than moulded",IF(AND($C300="",N(T300)&gt;0),"attendance marked but no blocks entered",IF(AND(N($C300)&gt;0,N(U300)=0),"no pay rate for this date - see Settings",IF(SUMPRODUCT((H300:S300&lt;&gt;"")*(H$4:S$4=""))&gt;0,"attendance in an empty worker slot",""))))))</f>
        <v/>
      </c>
      <c r="Y300" s="20"/>
    </row>
    <row r="301" customFormat="false" ht="15" hidden="false" customHeight="false" outlineLevel="0" collapsed="false">
      <c r="A301" s="10" t="n">
        <v>46581</v>
      </c>
      <c r="B301" s="11" t="str">
        <f aca="false">CHOOSE(WEEKDAY($A301,2),"Mon","Tue","Wed","Thu","Fri","Sat","Sun")</f>
        <v>Tue</v>
      </c>
      <c r="C301" s="12"/>
      <c r="D301" s="12"/>
      <c r="E301" s="13" t="str">
        <f aca="false">IF($C301="","",$C301-N($D301))</f>
        <v/>
      </c>
      <c r="F301" s="13" t="str">
        <f aca="false">IF($C301="","",$C301-MAX(0,N($D301)-BreakAllow*$C301))</f>
        <v/>
      </c>
      <c r="G301" s="12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5" t="str">
        <f aca="false">IF(COUNT(H301:S301)=0,"",SUM(H301:S301))</f>
        <v/>
      </c>
      <c r="U301" s="16" t="str">
        <f aca="false">IF($C301="","",IFERROR(INDEX(RateValues,MATCH(SUMPRODUCT(MAX((RateDates&lt;=$A301)*RateDates)),RateDates,0)),0))</f>
        <v/>
      </c>
      <c r="V301" s="17" t="str">
        <f aca="false">IF($C301="","",$F301*$U301)</f>
        <v/>
      </c>
      <c r="W301" s="18" t="n">
        <f aca="false">$A301-WEEKDAY($A301,2)+1</f>
        <v>46580</v>
      </c>
      <c r="X301" s="19" t="str">
        <f aca="false">IF(AND($C301="",T301=""),"",IF(AND(N($C301)&gt;0,N(T301)=0),"nobody marked present",IF(N($D301)&gt;N($C301),"more broken than moulded",IF(AND($C301="",N(T301)&gt;0),"attendance marked but no blocks entered",IF(AND(N($C301)&gt;0,N(U301)=0),"no pay rate for this date - see Settings",IF(SUMPRODUCT((H301:S301&lt;&gt;"")*(H$4:S$4=""))&gt;0,"attendance in an empty worker slot",""))))))</f>
        <v/>
      </c>
      <c r="Y301" s="20"/>
    </row>
    <row r="302" customFormat="false" ht="15" hidden="false" customHeight="false" outlineLevel="0" collapsed="false">
      <c r="A302" s="10" t="n">
        <v>46582</v>
      </c>
      <c r="B302" s="11" t="str">
        <f aca="false">CHOOSE(WEEKDAY($A302,2),"Mon","Tue","Wed","Thu","Fri","Sat","Sun")</f>
        <v>Wed</v>
      </c>
      <c r="C302" s="12"/>
      <c r="D302" s="12"/>
      <c r="E302" s="13" t="str">
        <f aca="false">IF($C302="","",$C302-N($D302))</f>
        <v/>
      </c>
      <c r="F302" s="13" t="str">
        <f aca="false">IF($C302="","",$C302-MAX(0,N($D302)-BreakAllow*$C302))</f>
        <v/>
      </c>
      <c r="G302" s="12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5" t="str">
        <f aca="false">IF(COUNT(H302:S302)=0,"",SUM(H302:S302))</f>
        <v/>
      </c>
      <c r="U302" s="16" t="str">
        <f aca="false">IF($C302="","",IFERROR(INDEX(RateValues,MATCH(SUMPRODUCT(MAX((RateDates&lt;=$A302)*RateDates)),RateDates,0)),0))</f>
        <v/>
      </c>
      <c r="V302" s="17" t="str">
        <f aca="false">IF($C302="","",$F302*$U302)</f>
        <v/>
      </c>
      <c r="W302" s="18" t="n">
        <f aca="false">$A302-WEEKDAY($A302,2)+1</f>
        <v>46580</v>
      </c>
      <c r="X302" s="19" t="str">
        <f aca="false">IF(AND($C302="",T302=""),"",IF(AND(N($C302)&gt;0,N(T302)=0),"nobody marked present",IF(N($D302)&gt;N($C302),"more broken than moulded",IF(AND($C302="",N(T302)&gt;0),"attendance marked but no blocks entered",IF(AND(N($C302)&gt;0,N(U302)=0),"no pay rate for this date - see Settings",IF(SUMPRODUCT((H302:S302&lt;&gt;"")*(H$4:S$4=""))&gt;0,"attendance in an empty worker slot",""))))))</f>
        <v/>
      </c>
      <c r="Y302" s="20"/>
    </row>
    <row r="303" customFormat="false" ht="15" hidden="false" customHeight="false" outlineLevel="0" collapsed="false">
      <c r="A303" s="10" t="n">
        <v>46583</v>
      </c>
      <c r="B303" s="11" t="str">
        <f aca="false">CHOOSE(WEEKDAY($A303,2),"Mon","Tue","Wed","Thu","Fri","Sat","Sun")</f>
        <v>Thu</v>
      </c>
      <c r="C303" s="12"/>
      <c r="D303" s="12"/>
      <c r="E303" s="13" t="str">
        <f aca="false">IF($C303="","",$C303-N($D303))</f>
        <v/>
      </c>
      <c r="F303" s="13" t="str">
        <f aca="false">IF($C303="","",$C303-MAX(0,N($D303)-BreakAllow*$C303))</f>
        <v/>
      </c>
      <c r="G303" s="12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5" t="str">
        <f aca="false">IF(COUNT(H303:S303)=0,"",SUM(H303:S303))</f>
        <v/>
      </c>
      <c r="U303" s="16" t="str">
        <f aca="false">IF($C303="","",IFERROR(INDEX(RateValues,MATCH(SUMPRODUCT(MAX((RateDates&lt;=$A303)*RateDates)),RateDates,0)),0))</f>
        <v/>
      </c>
      <c r="V303" s="17" t="str">
        <f aca="false">IF($C303="","",$F303*$U303)</f>
        <v/>
      </c>
      <c r="W303" s="18" t="n">
        <f aca="false">$A303-WEEKDAY($A303,2)+1</f>
        <v>46580</v>
      </c>
      <c r="X303" s="19" t="str">
        <f aca="false">IF(AND($C303="",T303=""),"",IF(AND(N($C303)&gt;0,N(T303)=0),"nobody marked present",IF(N($D303)&gt;N($C303),"more broken than moulded",IF(AND($C303="",N(T303)&gt;0),"attendance marked but no blocks entered",IF(AND(N($C303)&gt;0,N(U303)=0),"no pay rate for this date - see Settings",IF(SUMPRODUCT((H303:S303&lt;&gt;"")*(H$4:S$4=""))&gt;0,"attendance in an empty worker slot",""))))))</f>
        <v/>
      </c>
      <c r="Y303" s="20"/>
    </row>
    <row r="304" customFormat="false" ht="15" hidden="false" customHeight="false" outlineLevel="0" collapsed="false">
      <c r="A304" s="10" t="n">
        <v>46584</v>
      </c>
      <c r="B304" s="11" t="str">
        <f aca="false">CHOOSE(WEEKDAY($A304,2),"Mon","Tue","Wed","Thu","Fri","Sat","Sun")</f>
        <v>Fri</v>
      </c>
      <c r="C304" s="12"/>
      <c r="D304" s="12"/>
      <c r="E304" s="13" t="str">
        <f aca="false">IF($C304="","",$C304-N($D304))</f>
        <v/>
      </c>
      <c r="F304" s="13" t="str">
        <f aca="false">IF($C304="","",$C304-MAX(0,N($D304)-BreakAllow*$C304))</f>
        <v/>
      </c>
      <c r="G304" s="12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5" t="str">
        <f aca="false">IF(COUNT(H304:S304)=0,"",SUM(H304:S304))</f>
        <v/>
      </c>
      <c r="U304" s="16" t="str">
        <f aca="false">IF($C304="","",IFERROR(INDEX(RateValues,MATCH(SUMPRODUCT(MAX((RateDates&lt;=$A304)*RateDates)),RateDates,0)),0))</f>
        <v/>
      </c>
      <c r="V304" s="17" t="str">
        <f aca="false">IF($C304="","",$F304*$U304)</f>
        <v/>
      </c>
      <c r="W304" s="18" t="n">
        <f aca="false">$A304-WEEKDAY($A304,2)+1</f>
        <v>46580</v>
      </c>
      <c r="X304" s="19" t="str">
        <f aca="false">IF(AND($C304="",T304=""),"",IF(AND(N($C304)&gt;0,N(T304)=0),"nobody marked present",IF(N($D304)&gt;N($C304),"more broken than moulded",IF(AND($C304="",N(T304)&gt;0),"attendance marked but no blocks entered",IF(AND(N($C304)&gt;0,N(U304)=0),"no pay rate for this date - see Settings",IF(SUMPRODUCT((H304:S304&lt;&gt;"")*(H$4:S$4=""))&gt;0,"attendance in an empty worker slot",""))))))</f>
        <v/>
      </c>
      <c r="Y304" s="20"/>
    </row>
    <row r="305" customFormat="false" ht="15" hidden="false" customHeight="false" outlineLevel="0" collapsed="false">
      <c r="A305" s="10" t="n">
        <v>46585</v>
      </c>
      <c r="B305" s="11" t="str">
        <f aca="false">CHOOSE(WEEKDAY($A305,2),"Mon","Tue","Wed","Thu","Fri","Sat","Sun")</f>
        <v>Sat</v>
      </c>
      <c r="C305" s="12"/>
      <c r="D305" s="12"/>
      <c r="E305" s="13" t="str">
        <f aca="false">IF($C305="","",$C305-N($D305))</f>
        <v/>
      </c>
      <c r="F305" s="13" t="str">
        <f aca="false">IF($C305="","",$C305-MAX(0,N($D305)-BreakAllow*$C305))</f>
        <v/>
      </c>
      <c r="G305" s="12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5" t="str">
        <f aca="false">IF(COUNT(H305:S305)=0,"",SUM(H305:S305))</f>
        <v/>
      </c>
      <c r="U305" s="16" t="str">
        <f aca="false">IF($C305="","",IFERROR(INDEX(RateValues,MATCH(SUMPRODUCT(MAX((RateDates&lt;=$A305)*RateDates)),RateDates,0)),0))</f>
        <v/>
      </c>
      <c r="V305" s="17" t="str">
        <f aca="false">IF($C305="","",$F305*$U305)</f>
        <v/>
      </c>
      <c r="W305" s="18" t="n">
        <f aca="false">$A305-WEEKDAY($A305,2)+1</f>
        <v>46580</v>
      </c>
      <c r="X305" s="19" t="str">
        <f aca="false">IF(AND($C305="",T305=""),"",IF(AND(N($C305)&gt;0,N(T305)=0),"nobody marked present",IF(N($D305)&gt;N($C305),"more broken than moulded",IF(AND($C305="",N(T305)&gt;0),"attendance marked but no blocks entered",IF(AND(N($C305)&gt;0,N(U305)=0),"no pay rate for this date - see Settings",IF(SUMPRODUCT((H305:S305&lt;&gt;"")*(H$4:S$4=""))&gt;0,"attendance in an empty worker slot",""))))))</f>
        <v/>
      </c>
      <c r="Y305" s="20"/>
    </row>
    <row r="306" customFormat="false" ht="15" hidden="false" customHeight="false" outlineLevel="0" collapsed="false">
      <c r="A306" s="21" t="n">
        <v>46586</v>
      </c>
      <c r="B306" s="22" t="str">
        <f aca="false">CHOOSE(WEEKDAY($A306,2),"Mon","Tue","Wed","Thu","Fri","Sat","Sun")</f>
        <v>Sun</v>
      </c>
      <c r="C306" s="12"/>
      <c r="D306" s="12"/>
      <c r="E306" s="13" t="str">
        <f aca="false">IF($C306="","",$C306-N($D306))</f>
        <v/>
      </c>
      <c r="F306" s="13" t="str">
        <f aca="false">IF($C306="","",$C306-MAX(0,N($D306)-BreakAllow*$C306))</f>
        <v/>
      </c>
      <c r="G306" s="12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5" t="str">
        <f aca="false">IF(COUNT(H306:S306)=0,"",SUM(H306:S306))</f>
        <v/>
      </c>
      <c r="U306" s="16" t="str">
        <f aca="false">IF($C306="","",IFERROR(INDEX(RateValues,MATCH(SUMPRODUCT(MAX((RateDates&lt;=$A306)*RateDates)),RateDates,0)),0))</f>
        <v/>
      </c>
      <c r="V306" s="17" t="str">
        <f aca="false">IF($C306="","",$F306*$U306)</f>
        <v/>
      </c>
      <c r="W306" s="18" t="n">
        <f aca="false">$A306-WEEKDAY($A306,2)+1</f>
        <v>46580</v>
      </c>
      <c r="X306" s="19" t="str">
        <f aca="false">IF(AND($C306="",T306=""),"",IF(AND(N($C306)&gt;0,N(T306)=0),"nobody marked present",IF(N($D306)&gt;N($C306),"more broken than moulded",IF(AND($C306="",N(T306)&gt;0),"attendance marked but no blocks entered",IF(AND(N($C306)&gt;0,N(U306)=0),"no pay rate for this date - see Settings",IF(SUMPRODUCT((H306:S306&lt;&gt;"")*(H$4:S$4=""))&gt;0,"attendance in an empty worker slot",""))))))</f>
        <v/>
      </c>
      <c r="Y306" s="20"/>
    </row>
    <row r="307" customFormat="false" ht="15" hidden="false" customHeight="false" outlineLevel="0" collapsed="false">
      <c r="A307" s="10" t="n">
        <v>46587</v>
      </c>
      <c r="B307" s="11" t="str">
        <f aca="false">CHOOSE(WEEKDAY($A307,2),"Mon","Tue","Wed","Thu","Fri","Sat","Sun")</f>
        <v>Mon</v>
      </c>
      <c r="C307" s="12"/>
      <c r="D307" s="12"/>
      <c r="E307" s="13" t="str">
        <f aca="false">IF($C307="","",$C307-N($D307))</f>
        <v/>
      </c>
      <c r="F307" s="13" t="str">
        <f aca="false">IF($C307="","",$C307-MAX(0,N($D307)-BreakAllow*$C307))</f>
        <v/>
      </c>
      <c r="G307" s="12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5" t="str">
        <f aca="false">IF(COUNT(H307:S307)=0,"",SUM(H307:S307))</f>
        <v/>
      </c>
      <c r="U307" s="16" t="str">
        <f aca="false">IF($C307="","",IFERROR(INDEX(RateValues,MATCH(SUMPRODUCT(MAX((RateDates&lt;=$A307)*RateDates)),RateDates,0)),0))</f>
        <v/>
      </c>
      <c r="V307" s="17" t="str">
        <f aca="false">IF($C307="","",$F307*$U307)</f>
        <v/>
      </c>
      <c r="W307" s="18" t="n">
        <f aca="false">$A307-WEEKDAY($A307,2)+1</f>
        <v>46587</v>
      </c>
      <c r="X307" s="19" t="str">
        <f aca="false">IF(AND($C307="",T307=""),"",IF(AND(N($C307)&gt;0,N(T307)=0),"nobody marked present",IF(N($D307)&gt;N($C307),"more broken than moulded",IF(AND($C307="",N(T307)&gt;0),"attendance marked but no blocks entered",IF(AND(N($C307)&gt;0,N(U307)=0),"no pay rate for this date - see Settings",IF(SUMPRODUCT((H307:S307&lt;&gt;"")*(H$4:S$4=""))&gt;0,"attendance in an empty worker slot",""))))))</f>
        <v/>
      </c>
      <c r="Y307" s="20"/>
    </row>
    <row r="308" customFormat="false" ht="15" hidden="false" customHeight="false" outlineLevel="0" collapsed="false">
      <c r="A308" s="10" t="n">
        <v>46588</v>
      </c>
      <c r="B308" s="11" t="str">
        <f aca="false">CHOOSE(WEEKDAY($A308,2),"Mon","Tue","Wed","Thu","Fri","Sat","Sun")</f>
        <v>Tue</v>
      </c>
      <c r="C308" s="12"/>
      <c r="D308" s="12"/>
      <c r="E308" s="13" t="str">
        <f aca="false">IF($C308="","",$C308-N($D308))</f>
        <v/>
      </c>
      <c r="F308" s="13" t="str">
        <f aca="false">IF($C308="","",$C308-MAX(0,N($D308)-BreakAllow*$C308))</f>
        <v/>
      </c>
      <c r="G308" s="12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5" t="str">
        <f aca="false">IF(COUNT(H308:S308)=0,"",SUM(H308:S308))</f>
        <v/>
      </c>
      <c r="U308" s="16" t="str">
        <f aca="false">IF($C308="","",IFERROR(INDEX(RateValues,MATCH(SUMPRODUCT(MAX((RateDates&lt;=$A308)*RateDates)),RateDates,0)),0))</f>
        <v/>
      </c>
      <c r="V308" s="17" t="str">
        <f aca="false">IF($C308="","",$F308*$U308)</f>
        <v/>
      </c>
      <c r="W308" s="18" t="n">
        <f aca="false">$A308-WEEKDAY($A308,2)+1</f>
        <v>46587</v>
      </c>
      <c r="X308" s="19" t="str">
        <f aca="false">IF(AND($C308="",T308=""),"",IF(AND(N($C308)&gt;0,N(T308)=0),"nobody marked present",IF(N($D308)&gt;N($C308),"more broken than moulded",IF(AND($C308="",N(T308)&gt;0),"attendance marked but no blocks entered",IF(AND(N($C308)&gt;0,N(U308)=0),"no pay rate for this date - see Settings",IF(SUMPRODUCT((H308:S308&lt;&gt;"")*(H$4:S$4=""))&gt;0,"attendance in an empty worker slot",""))))))</f>
        <v/>
      </c>
      <c r="Y308" s="20"/>
    </row>
    <row r="309" customFormat="false" ht="15" hidden="false" customHeight="false" outlineLevel="0" collapsed="false">
      <c r="A309" s="10" t="n">
        <v>46589</v>
      </c>
      <c r="B309" s="11" t="str">
        <f aca="false">CHOOSE(WEEKDAY($A309,2),"Mon","Tue","Wed","Thu","Fri","Sat","Sun")</f>
        <v>Wed</v>
      </c>
      <c r="C309" s="12"/>
      <c r="D309" s="12"/>
      <c r="E309" s="13" t="str">
        <f aca="false">IF($C309="","",$C309-N($D309))</f>
        <v/>
      </c>
      <c r="F309" s="13" t="str">
        <f aca="false">IF($C309="","",$C309-MAX(0,N($D309)-BreakAllow*$C309))</f>
        <v/>
      </c>
      <c r="G309" s="12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5" t="str">
        <f aca="false">IF(COUNT(H309:S309)=0,"",SUM(H309:S309))</f>
        <v/>
      </c>
      <c r="U309" s="16" t="str">
        <f aca="false">IF($C309="","",IFERROR(INDEX(RateValues,MATCH(SUMPRODUCT(MAX((RateDates&lt;=$A309)*RateDates)),RateDates,0)),0))</f>
        <v/>
      </c>
      <c r="V309" s="17" t="str">
        <f aca="false">IF($C309="","",$F309*$U309)</f>
        <v/>
      </c>
      <c r="W309" s="18" t="n">
        <f aca="false">$A309-WEEKDAY($A309,2)+1</f>
        <v>46587</v>
      </c>
      <c r="X309" s="19" t="str">
        <f aca="false">IF(AND($C309="",T309=""),"",IF(AND(N($C309)&gt;0,N(T309)=0),"nobody marked present",IF(N($D309)&gt;N($C309),"more broken than moulded",IF(AND($C309="",N(T309)&gt;0),"attendance marked but no blocks entered",IF(AND(N($C309)&gt;0,N(U309)=0),"no pay rate for this date - see Settings",IF(SUMPRODUCT((H309:S309&lt;&gt;"")*(H$4:S$4=""))&gt;0,"attendance in an empty worker slot",""))))))</f>
        <v/>
      </c>
      <c r="Y309" s="20"/>
    </row>
    <row r="310" customFormat="false" ht="15" hidden="false" customHeight="false" outlineLevel="0" collapsed="false">
      <c r="A310" s="10" t="n">
        <v>46590</v>
      </c>
      <c r="B310" s="11" t="str">
        <f aca="false">CHOOSE(WEEKDAY($A310,2),"Mon","Tue","Wed","Thu","Fri","Sat","Sun")</f>
        <v>Thu</v>
      </c>
      <c r="C310" s="12"/>
      <c r="D310" s="12"/>
      <c r="E310" s="13" t="str">
        <f aca="false">IF($C310="","",$C310-N($D310))</f>
        <v/>
      </c>
      <c r="F310" s="13" t="str">
        <f aca="false">IF($C310="","",$C310-MAX(0,N($D310)-BreakAllow*$C310))</f>
        <v/>
      </c>
      <c r="G310" s="12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5" t="str">
        <f aca="false">IF(COUNT(H310:S310)=0,"",SUM(H310:S310))</f>
        <v/>
      </c>
      <c r="U310" s="16" t="str">
        <f aca="false">IF($C310="","",IFERROR(INDEX(RateValues,MATCH(SUMPRODUCT(MAX((RateDates&lt;=$A310)*RateDates)),RateDates,0)),0))</f>
        <v/>
      </c>
      <c r="V310" s="17" t="str">
        <f aca="false">IF($C310="","",$F310*$U310)</f>
        <v/>
      </c>
      <c r="W310" s="18" t="n">
        <f aca="false">$A310-WEEKDAY($A310,2)+1</f>
        <v>46587</v>
      </c>
      <c r="X310" s="19" t="str">
        <f aca="false">IF(AND($C310="",T310=""),"",IF(AND(N($C310)&gt;0,N(T310)=0),"nobody marked present",IF(N($D310)&gt;N($C310),"more broken than moulded",IF(AND($C310="",N(T310)&gt;0),"attendance marked but no blocks entered",IF(AND(N($C310)&gt;0,N(U310)=0),"no pay rate for this date - see Settings",IF(SUMPRODUCT((H310:S310&lt;&gt;"")*(H$4:S$4=""))&gt;0,"attendance in an empty worker slot",""))))))</f>
        <v/>
      </c>
      <c r="Y310" s="20"/>
    </row>
    <row r="311" customFormat="false" ht="15" hidden="false" customHeight="false" outlineLevel="0" collapsed="false">
      <c r="A311" s="10" t="n">
        <v>46591</v>
      </c>
      <c r="B311" s="11" t="str">
        <f aca="false">CHOOSE(WEEKDAY($A311,2),"Mon","Tue","Wed","Thu","Fri","Sat","Sun")</f>
        <v>Fri</v>
      </c>
      <c r="C311" s="12"/>
      <c r="D311" s="12"/>
      <c r="E311" s="13" t="str">
        <f aca="false">IF($C311="","",$C311-N($D311))</f>
        <v/>
      </c>
      <c r="F311" s="13" t="str">
        <f aca="false">IF($C311="","",$C311-MAX(0,N($D311)-BreakAllow*$C311))</f>
        <v/>
      </c>
      <c r="G311" s="12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5" t="str">
        <f aca="false">IF(COUNT(H311:S311)=0,"",SUM(H311:S311))</f>
        <v/>
      </c>
      <c r="U311" s="16" t="str">
        <f aca="false">IF($C311="","",IFERROR(INDEX(RateValues,MATCH(SUMPRODUCT(MAX((RateDates&lt;=$A311)*RateDates)),RateDates,0)),0))</f>
        <v/>
      </c>
      <c r="V311" s="17" t="str">
        <f aca="false">IF($C311="","",$F311*$U311)</f>
        <v/>
      </c>
      <c r="W311" s="18" t="n">
        <f aca="false">$A311-WEEKDAY($A311,2)+1</f>
        <v>46587</v>
      </c>
      <c r="X311" s="19" t="str">
        <f aca="false">IF(AND($C311="",T311=""),"",IF(AND(N($C311)&gt;0,N(T311)=0),"nobody marked present",IF(N($D311)&gt;N($C311),"more broken than moulded",IF(AND($C311="",N(T311)&gt;0),"attendance marked but no blocks entered",IF(AND(N($C311)&gt;0,N(U311)=0),"no pay rate for this date - see Settings",IF(SUMPRODUCT((H311:S311&lt;&gt;"")*(H$4:S$4=""))&gt;0,"attendance in an empty worker slot",""))))))</f>
        <v/>
      </c>
      <c r="Y311" s="20"/>
    </row>
    <row r="312" customFormat="false" ht="15" hidden="false" customHeight="false" outlineLevel="0" collapsed="false">
      <c r="A312" s="10" t="n">
        <v>46592</v>
      </c>
      <c r="B312" s="11" t="str">
        <f aca="false">CHOOSE(WEEKDAY($A312,2),"Mon","Tue","Wed","Thu","Fri","Sat","Sun")</f>
        <v>Sat</v>
      </c>
      <c r="C312" s="12"/>
      <c r="D312" s="12"/>
      <c r="E312" s="13" t="str">
        <f aca="false">IF($C312="","",$C312-N($D312))</f>
        <v/>
      </c>
      <c r="F312" s="13" t="str">
        <f aca="false">IF($C312="","",$C312-MAX(0,N($D312)-BreakAllow*$C312))</f>
        <v/>
      </c>
      <c r="G312" s="12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5" t="str">
        <f aca="false">IF(COUNT(H312:S312)=0,"",SUM(H312:S312))</f>
        <v/>
      </c>
      <c r="U312" s="16" t="str">
        <f aca="false">IF($C312="","",IFERROR(INDEX(RateValues,MATCH(SUMPRODUCT(MAX((RateDates&lt;=$A312)*RateDates)),RateDates,0)),0))</f>
        <v/>
      </c>
      <c r="V312" s="17" t="str">
        <f aca="false">IF($C312="","",$F312*$U312)</f>
        <v/>
      </c>
      <c r="W312" s="18" t="n">
        <f aca="false">$A312-WEEKDAY($A312,2)+1</f>
        <v>46587</v>
      </c>
      <c r="X312" s="19" t="str">
        <f aca="false">IF(AND($C312="",T312=""),"",IF(AND(N($C312)&gt;0,N(T312)=0),"nobody marked present",IF(N($D312)&gt;N($C312),"more broken than moulded",IF(AND($C312="",N(T312)&gt;0),"attendance marked but no blocks entered",IF(AND(N($C312)&gt;0,N(U312)=0),"no pay rate for this date - see Settings",IF(SUMPRODUCT((H312:S312&lt;&gt;"")*(H$4:S$4=""))&gt;0,"attendance in an empty worker slot",""))))))</f>
        <v/>
      </c>
      <c r="Y312" s="20"/>
    </row>
    <row r="313" customFormat="false" ht="15" hidden="false" customHeight="false" outlineLevel="0" collapsed="false">
      <c r="A313" s="21" t="n">
        <v>46593</v>
      </c>
      <c r="B313" s="22" t="str">
        <f aca="false">CHOOSE(WEEKDAY($A313,2),"Mon","Tue","Wed","Thu","Fri","Sat","Sun")</f>
        <v>Sun</v>
      </c>
      <c r="C313" s="12"/>
      <c r="D313" s="12"/>
      <c r="E313" s="13" t="str">
        <f aca="false">IF($C313="","",$C313-N($D313))</f>
        <v/>
      </c>
      <c r="F313" s="13" t="str">
        <f aca="false">IF($C313="","",$C313-MAX(0,N($D313)-BreakAllow*$C313))</f>
        <v/>
      </c>
      <c r="G313" s="12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5" t="str">
        <f aca="false">IF(COUNT(H313:S313)=0,"",SUM(H313:S313))</f>
        <v/>
      </c>
      <c r="U313" s="16" t="str">
        <f aca="false">IF($C313="","",IFERROR(INDEX(RateValues,MATCH(SUMPRODUCT(MAX((RateDates&lt;=$A313)*RateDates)),RateDates,0)),0))</f>
        <v/>
      </c>
      <c r="V313" s="17" t="str">
        <f aca="false">IF($C313="","",$F313*$U313)</f>
        <v/>
      </c>
      <c r="W313" s="18" t="n">
        <f aca="false">$A313-WEEKDAY($A313,2)+1</f>
        <v>46587</v>
      </c>
      <c r="X313" s="19" t="str">
        <f aca="false">IF(AND($C313="",T313=""),"",IF(AND(N($C313)&gt;0,N(T313)=0),"nobody marked present",IF(N($D313)&gt;N($C313),"more broken than moulded",IF(AND($C313="",N(T313)&gt;0),"attendance marked but no blocks entered",IF(AND(N($C313)&gt;0,N(U313)=0),"no pay rate for this date - see Settings",IF(SUMPRODUCT((H313:S313&lt;&gt;"")*(H$4:S$4=""))&gt;0,"attendance in an empty worker slot",""))))))</f>
        <v/>
      </c>
      <c r="Y313" s="20"/>
    </row>
    <row r="314" customFormat="false" ht="15" hidden="false" customHeight="false" outlineLevel="0" collapsed="false">
      <c r="A314" s="10" t="n">
        <v>46594</v>
      </c>
      <c r="B314" s="11" t="str">
        <f aca="false">CHOOSE(WEEKDAY($A314,2),"Mon","Tue","Wed","Thu","Fri","Sat","Sun")</f>
        <v>Mon</v>
      </c>
      <c r="C314" s="12"/>
      <c r="D314" s="12"/>
      <c r="E314" s="13" t="str">
        <f aca="false">IF($C314="","",$C314-N($D314))</f>
        <v/>
      </c>
      <c r="F314" s="13" t="str">
        <f aca="false">IF($C314="","",$C314-MAX(0,N($D314)-BreakAllow*$C314))</f>
        <v/>
      </c>
      <c r="G314" s="12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5" t="str">
        <f aca="false">IF(COUNT(H314:S314)=0,"",SUM(H314:S314))</f>
        <v/>
      </c>
      <c r="U314" s="16" t="str">
        <f aca="false">IF($C314="","",IFERROR(INDEX(RateValues,MATCH(SUMPRODUCT(MAX((RateDates&lt;=$A314)*RateDates)),RateDates,0)),0))</f>
        <v/>
      </c>
      <c r="V314" s="17" t="str">
        <f aca="false">IF($C314="","",$F314*$U314)</f>
        <v/>
      </c>
      <c r="W314" s="18" t="n">
        <f aca="false">$A314-WEEKDAY($A314,2)+1</f>
        <v>46594</v>
      </c>
      <c r="X314" s="19" t="str">
        <f aca="false">IF(AND($C314="",T314=""),"",IF(AND(N($C314)&gt;0,N(T314)=0),"nobody marked present",IF(N($D314)&gt;N($C314),"more broken than moulded",IF(AND($C314="",N(T314)&gt;0),"attendance marked but no blocks entered",IF(AND(N($C314)&gt;0,N(U314)=0),"no pay rate for this date - see Settings",IF(SUMPRODUCT((H314:S314&lt;&gt;"")*(H$4:S$4=""))&gt;0,"attendance in an empty worker slot",""))))))</f>
        <v/>
      </c>
      <c r="Y314" s="20"/>
    </row>
    <row r="315" customFormat="false" ht="15" hidden="false" customHeight="false" outlineLevel="0" collapsed="false">
      <c r="A315" s="10" t="n">
        <v>46595</v>
      </c>
      <c r="B315" s="11" t="str">
        <f aca="false">CHOOSE(WEEKDAY($A315,2),"Mon","Tue","Wed","Thu","Fri","Sat","Sun")</f>
        <v>Tue</v>
      </c>
      <c r="C315" s="12"/>
      <c r="D315" s="12"/>
      <c r="E315" s="13" t="str">
        <f aca="false">IF($C315="","",$C315-N($D315))</f>
        <v/>
      </c>
      <c r="F315" s="13" t="str">
        <f aca="false">IF($C315="","",$C315-MAX(0,N($D315)-BreakAllow*$C315))</f>
        <v/>
      </c>
      <c r="G315" s="12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5" t="str">
        <f aca="false">IF(COUNT(H315:S315)=0,"",SUM(H315:S315))</f>
        <v/>
      </c>
      <c r="U315" s="16" t="str">
        <f aca="false">IF($C315="","",IFERROR(INDEX(RateValues,MATCH(SUMPRODUCT(MAX((RateDates&lt;=$A315)*RateDates)),RateDates,0)),0))</f>
        <v/>
      </c>
      <c r="V315" s="17" t="str">
        <f aca="false">IF($C315="","",$F315*$U315)</f>
        <v/>
      </c>
      <c r="W315" s="18" t="n">
        <f aca="false">$A315-WEEKDAY($A315,2)+1</f>
        <v>46594</v>
      </c>
      <c r="X315" s="19" t="str">
        <f aca="false">IF(AND($C315="",T315=""),"",IF(AND(N($C315)&gt;0,N(T315)=0),"nobody marked present",IF(N($D315)&gt;N($C315),"more broken than moulded",IF(AND($C315="",N(T315)&gt;0),"attendance marked but no blocks entered",IF(AND(N($C315)&gt;0,N(U315)=0),"no pay rate for this date - see Settings",IF(SUMPRODUCT((H315:S315&lt;&gt;"")*(H$4:S$4=""))&gt;0,"attendance in an empty worker slot",""))))))</f>
        <v/>
      </c>
      <c r="Y315" s="20"/>
    </row>
    <row r="316" customFormat="false" ht="15" hidden="false" customHeight="false" outlineLevel="0" collapsed="false">
      <c r="A316" s="10" t="n">
        <v>46596</v>
      </c>
      <c r="B316" s="11" t="str">
        <f aca="false">CHOOSE(WEEKDAY($A316,2),"Mon","Tue","Wed","Thu","Fri","Sat","Sun")</f>
        <v>Wed</v>
      </c>
      <c r="C316" s="12"/>
      <c r="D316" s="12"/>
      <c r="E316" s="13" t="str">
        <f aca="false">IF($C316="","",$C316-N($D316))</f>
        <v/>
      </c>
      <c r="F316" s="13" t="str">
        <f aca="false">IF($C316="","",$C316-MAX(0,N($D316)-BreakAllow*$C316))</f>
        <v/>
      </c>
      <c r="G316" s="12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5" t="str">
        <f aca="false">IF(COUNT(H316:S316)=0,"",SUM(H316:S316))</f>
        <v/>
      </c>
      <c r="U316" s="16" t="str">
        <f aca="false">IF($C316="","",IFERROR(INDEX(RateValues,MATCH(SUMPRODUCT(MAX((RateDates&lt;=$A316)*RateDates)),RateDates,0)),0))</f>
        <v/>
      </c>
      <c r="V316" s="17" t="str">
        <f aca="false">IF($C316="","",$F316*$U316)</f>
        <v/>
      </c>
      <c r="W316" s="18" t="n">
        <f aca="false">$A316-WEEKDAY($A316,2)+1</f>
        <v>46594</v>
      </c>
      <c r="X316" s="19" t="str">
        <f aca="false">IF(AND($C316="",T316=""),"",IF(AND(N($C316)&gt;0,N(T316)=0),"nobody marked present",IF(N($D316)&gt;N($C316),"more broken than moulded",IF(AND($C316="",N(T316)&gt;0),"attendance marked but no blocks entered",IF(AND(N($C316)&gt;0,N(U316)=0),"no pay rate for this date - see Settings",IF(SUMPRODUCT((H316:S316&lt;&gt;"")*(H$4:S$4=""))&gt;0,"attendance in an empty worker slot",""))))))</f>
        <v/>
      </c>
      <c r="Y316" s="20"/>
    </row>
    <row r="317" customFormat="false" ht="15" hidden="false" customHeight="false" outlineLevel="0" collapsed="false">
      <c r="A317" s="10" t="n">
        <v>46597</v>
      </c>
      <c r="B317" s="11" t="str">
        <f aca="false">CHOOSE(WEEKDAY($A317,2),"Mon","Tue","Wed","Thu","Fri","Sat","Sun")</f>
        <v>Thu</v>
      </c>
      <c r="C317" s="12"/>
      <c r="D317" s="12"/>
      <c r="E317" s="13" t="str">
        <f aca="false">IF($C317="","",$C317-N($D317))</f>
        <v/>
      </c>
      <c r="F317" s="13" t="str">
        <f aca="false">IF($C317="","",$C317-MAX(0,N($D317)-BreakAllow*$C317))</f>
        <v/>
      </c>
      <c r="G317" s="12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5" t="str">
        <f aca="false">IF(COUNT(H317:S317)=0,"",SUM(H317:S317))</f>
        <v/>
      </c>
      <c r="U317" s="16" t="str">
        <f aca="false">IF($C317="","",IFERROR(INDEX(RateValues,MATCH(SUMPRODUCT(MAX((RateDates&lt;=$A317)*RateDates)),RateDates,0)),0))</f>
        <v/>
      </c>
      <c r="V317" s="17" t="str">
        <f aca="false">IF($C317="","",$F317*$U317)</f>
        <v/>
      </c>
      <c r="W317" s="18" t="n">
        <f aca="false">$A317-WEEKDAY($A317,2)+1</f>
        <v>46594</v>
      </c>
      <c r="X317" s="19" t="str">
        <f aca="false">IF(AND($C317="",T317=""),"",IF(AND(N($C317)&gt;0,N(T317)=0),"nobody marked present",IF(N($D317)&gt;N($C317),"more broken than moulded",IF(AND($C317="",N(T317)&gt;0),"attendance marked but no blocks entered",IF(AND(N($C317)&gt;0,N(U317)=0),"no pay rate for this date - see Settings",IF(SUMPRODUCT((H317:S317&lt;&gt;"")*(H$4:S$4=""))&gt;0,"attendance in an empty worker slot",""))))))</f>
        <v/>
      </c>
      <c r="Y317" s="20"/>
    </row>
    <row r="318" customFormat="false" ht="15" hidden="false" customHeight="false" outlineLevel="0" collapsed="false">
      <c r="A318" s="10" t="n">
        <v>46598</v>
      </c>
      <c r="B318" s="11" t="str">
        <f aca="false">CHOOSE(WEEKDAY($A318,2),"Mon","Tue","Wed","Thu","Fri","Sat","Sun")</f>
        <v>Fri</v>
      </c>
      <c r="C318" s="12"/>
      <c r="D318" s="12"/>
      <c r="E318" s="13" t="str">
        <f aca="false">IF($C318="","",$C318-N($D318))</f>
        <v/>
      </c>
      <c r="F318" s="13" t="str">
        <f aca="false">IF($C318="","",$C318-MAX(0,N($D318)-BreakAllow*$C318))</f>
        <v/>
      </c>
      <c r="G318" s="12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5" t="str">
        <f aca="false">IF(COUNT(H318:S318)=0,"",SUM(H318:S318))</f>
        <v/>
      </c>
      <c r="U318" s="16" t="str">
        <f aca="false">IF($C318="","",IFERROR(INDEX(RateValues,MATCH(SUMPRODUCT(MAX((RateDates&lt;=$A318)*RateDates)),RateDates,0)),0))</f>
        <v/>
      </c>
      <c r="V318" s="17" t="str">
        <f aca="false">IF($C318="","",$F318*$U318)</f>
        <v/>
      </c>
      <c r="W318" s="18" t="n">
        <f aca="false">$A318-WEEKDAY($A318,2)+1</f>
        <v>46594</v>
      </c>
      <c r="X318" s="19" t="str">
        <f aca="false">IF(AND($C318="",T318=""),"",IF(AND(N($C318)&gt;0,N(T318)=0),"nobody marked present",IF(N($D318)&gt;N($C318),"more broken than moulded",IF(AND($C318="",N(T318)&gt;0),"attendance marked but no blocks entered",IF(AND(N($C318)&gt;0,N(U318)=0),"no pay rate for this date - see Settings",IF(SUMPRODUCT((H318:S318&lt;&gt;"")*(H$4:S$4=""))&gt;0,"attendance in an empty worker slot",""))))))</f>
        <v/>
      </c>
      <c r="Y318" s="20"/>
    </row>
    <row r="319" customFormat="false" ht="15" hidden="false" customHeight="false" outlineLevel="0" collapsed="false">
      <c r="A319" s="10" t="n">
        <v>46599</v>
      </c>
      <c r="B319" s="11" t="str">
        <f aca="false">CHOOSE(WEEKDAY($A319,2),"Mon","Tue","Wed","Thu","Fri","Sat","Sun")</f>
        <v>Sat</v>
      </c>
      <c r="C319" s="12"/>
      <c r="D319" s="12"/>
      <c r="E319" s="13" t="str">
        <f aca="false">IF($C319="","",$C319-N($D319))</f>
        <v/>
      </c>
      <c r="F319" s="13" t="str">
        <f aca="false">IF($C319="","",$C319-MAX(0,N($D319)-BreakAllow*$C319))</f>
        <v/>
      </c>
      <c r="G319" s="12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5" t="str">
        <f aca="false">IF(COUNT(H319:S319)=0,"",SUM(H319:S319))</f>
        <v/>
      </c>
      <c r="U319" s="16" t="str">
        <f aca="false">IF($C319="","",IFERROR(INDEX(RateValues,MATCH(SUMPRODUCT(MAX((RateDates&lt;=$A319)*RateDates)),RateDates,0)),0))</f>
        <v/>
      </c>
      <c r="V319" s="17" t="str">
        <f aca="false">IF($C319="","",$F319*$U319)</f>
        <v/>
      </c>
      <c r="W319" s="18" t="n">
        <f aca="false">$A319-WEEKDAY($A319,2)+1</f>
        <v>46594</v>
      </c>
      <c r="X319" s="19" t="str">
        <f aca="false">IF(AND($C319="",T319=""),"",IF(AND(N($C319)&gt;0,N(T319)=0),"nobody marked present",IF(N($D319)&gt;N($C319),"more broken than moulded",IF(AND($C319="",N(T319)&gt;0),"attendance marked but no blocks entered",IF(AND(N($C319)&gt;0,N(U319)=0),"no pay rate for this date - see Settings",IF(SUMPRODUCT((H319:S319&lt;&gt;"")*(H$4:S$4=""))&gt;0,"attendance in an empty worker slot",""))))))</f>
        <v/>
      </c>
      <c r="Y319" s="20"/>
    </row>
    <row r="320" customFormat="false" ht="15" hidden="false" customHeight="false" outlineLevel="0" collapsed="false">
      <c r="A320" s="21" t="n">
        <v>46600</v>
      </c>
      <c r="B320" s="22" t="str">
        <f aca="false">CHOOSE(WEEKDAY($A320,2),"Mon","Tue","Wed","Thu","Fri","Sat","Sun")</f>
        <v>Sun</v>
      </c>
      <c r="C320" s="12"/>
      <c r="D320" s="12"/>
      <c r="E320" s="13" t="str">
        <f aca="false">IF($C320="","",$C320-N($D320))</f>
        <v/>
      </c>
      <c r="F320" s="13" t="str">
        <f aca="false">IF($C320="","",$C320-MAX(0,N($D320)-BreakAllow*$C320))</f>
        <v/>
      </c>
      <c r="G320" s="12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5" t="str">
        <f aca="false">IF(COUNT(H320:S320)=0,"",SUM(H320:S320))</f>
        <v/>
      </c>
      <c r="U320" s="16" t="str">
        <f aca="false">IF($C320="","",IFERROR(INDEX(RateValues,MATCH(SUMPRODUCT(MAX((RateDates&lt;=$A320)*RateDates)),RateDates,0)),0))</f>
        <v/>
      </c>
      <c r="V320" s="17" t="str">
        <f aca="false">IF($C320="","",$F320*$U320)</f>
        <v/>
      </c>
      <c r="W320" s="18" t="n">
        <f aca="false">$A320-WEEKDAY($A320,2)+1</f>
        <v>46594</v>
      </c>
      <c r="X320" s="19" t="str">
        <f aca="false">IF(AND($C320="",T320=""),"",IF(AND(N($C320)&gt;0,N(T320)=0),"nobody marked present",IF(N($D320)&gt;N($C320),"more broken than moulded",IF(AND($C320="",N(T320)&gt;0),"attendance marked but no blocks entered",IF(AND(N($C320)&gt;0,N(U320)=0),"no pay rate for this date - see Settings",IF(SUMPRODUCT((H320:S320&lt;&gt;"")*(H$4:S$4=""))&gt;0,"attendance in an empty worker slot",""))))))</f>
        <v/>
      </c>
      <c r="Y320" s="20"/>
    </row>
    <row r="321" customFormat="false" ht="15" hidden="false" customHeight="false" outlineLevel="0" collapsed="false">
      <c r="A321" s="10" t="n">
        <v>46601</v>
      </c>
      <c r="B321" s="11" t="str">
        <f aca="false">CHOOSE(WEEKDAY($A321,2),"Mon","Tue","Wed","Thu","Fri","Sat","Sun")</f>
        <v>Mon</v>
      </c>
      <c r="C321" s="12"/>
      <c r="D321" s="12"/>
      <c r="E321" s="13" t="str">
        <f aca="false">IF($C321="","",$C321-N($D321))</f>
        <v/>
      </c>
      <c r="F321" s="13" t="str">
        <f aca="false">IF($C321="","",$C321-MAX(0,N($D321)-BreakAllow*$C321))</f>
        <v/>
      </c>
      <c r="G321" s="12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5" t="str">
        <f aca="false">IF(COUNT(H321:S321)=0,"",SUM(H321:S321))</f>
        <v/>
      </c>
      <c r="U321" s="16" t="str">
        <f aca="false">IF($C321="","",IFERROR(INDEX(RateValues,MATCH(SUMPRODUCT(MAX((RateDates&lt;=$A321)*RateDates)),RateDates,0)),0))</f>
        <v/>
      </c>
      <c r="V321" s="17" t="str">
        <f aca="false">IF($C321="","",$F321*$U321)</f>
        <v/>
      </c>
      <c r="W321" s="18" t="n">
        <f aca="false">$A321-WEEKDAY($A321,2)+1</f>
        <v>46601</v>
      </c>
      <c r="X321" s="19" t="str">
        <f aca="false">IF(AND($C321="",T321=""),"",IF(AND(N($C321)&gt;0,N(T321)=0),"nobody marked present",IF(N($D321)&gt;N($C321),"more broken than moulded",IF(AND($C321="",N(T321)&gt;0),"attendance marked but no blocks entered",IF(AND(N($C321)&gt;0,N(U321)=0),"no pay rate for this date - see Settings",IF(SUMPRODUCT((H321:S321&lt;&gt;"")*(H$4:S$4=""))&gt;0,"attendance in an empty worker slot",""))))))</f>
        <v/>
      </c>
      <c r="Y321" s="20"/>
    </row>
    <row r="322" customFormat="false" ht="15" hidden="false" customHeight="false" outlineLevel="0" collapsed="false">
      <c r="A322" s="10" t="n">
        <v>46602</v>
      </c>
      <c r="B322" s="11" t="str">
        <f aca="false">CHOOSE(WEEKDAY($A322,2),"Mon","Tue","Wed","Thu","Fri","Sat","Sun")</f>
        <v>Tue</v>
      </c>
      <c r="C322" s="12"/>
      <c r="D322" s="12"/>
      <c r="E322" s="13" t="str">
        <f aca="false">IF($C322="","",$C322-N($D322))</f>
        <v/>
      </c>
      <c r="F322" s="13" t="str">
        <f aca="false">IF($C322="","",$C322-MAX(0,N($D322)-BreakAllow*$C322))</f>
        <v/>
      </c>
      <c r="G322" s="12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5" t="str">
        <f aca="false">IF(COUNT(H322:S322)=0,"",SUM(H322:S322))</f>
        <v/>
      </c>
      <c r="U322" s="16" t="str">
        <f aca="false">IF($C322="","",IFERROR(INDEX(RateValues,MATCH(SUMPRODUCT(MAX((RateDates&lt;=$A322)*RateDates)),RateDates,0)),0))</f>
        <v/>
      </c>
      <c r="V322" s="17" t="str">
        <f aca="false">IF($C322="","",$F322*$U322)</f>
        <v/>
      </c>
      <c r="W322" s="18" t="n">
        <f aca="false">$A322-WEEKDAY($A322,2)+1</f>
        <v>46601</v>
      </c>
      <c r="X322" s="19" t="str">
        <f aca="false">IF(AND($C322="",T322=""),"",IF(AND(N($C322)&gt;0,N(T322)=0),"nobody marked present",IF(N($D322)&gt;N($C322),"more broken than moulded",IF(AND($C322="",N(T322)&gt;0),"attendance marked but no blocks entered",IF(AND(N($C322)&gt;0,N(U322)=0),"no pay rate for this date - see Settings",IF(SUMPRODUCT((H322:S322&lt;&gt;"")*(H$4:S$4=""))&gt;0,"attendance in an empty worker slot",""))))))</f>
        <v/>
      </c>
      <c r="Y322" s="20"/>
    </row>
    <row r="323" customFormat="false" ht="15" hidden="false" customHeight="false" outlineLevel="0" collapsed="false">
      <c r="A323" s="10" t="n">
        <v>46603</v>
      </c>
      <c r="B323" s="11" t="str">
        <f aca="false">CHOOSE(WEEKDAY($A323,2),"Mon","Tue","Wed","Thu","Fri","Sat","Sun")</f>
        <v>Wed</v>
      </c>
      <c r="C323" s="12"/>
      <c r="D323" s="12"/>
      <c r="E323" s="13" t="str">
        <f aca="false">IF($C323="","",$C323-N($D323))</f>
        <v/>
      </c>
      <c r="F323" s="13" t="str">
        <f aca="false">IF($C323="","",$C323-MAX(0,N($D323)-BreakAllow*$C323))</f>
        <v/>
      </c>
      <c r="G323" s="12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5" t="str">
        <f aca="false">IF(COUNT(H323:S323)=0,"",SUM(H323:S323))</f>
        <v/>
      </c>
      <c r="U323" s="16" t="str">
        <f aca="false">IF($C323="","",IFERROR(INDEX(RateValues,MATCH(SUMPRODUCT(MAX((RateDates&lt;=$A323)*RateDates)),RateDates,0)),0))</f>
        <v/>
      </c>
      <c r="V323" s="17" t="str">
        <f aca="false">IF($C323="","",$F323*$U323)</f>
        <v/>
      </c>
      <c r="W323" s="18" t="n">
        <f aca="false">$A323-WEEKDAY($A323,2)+1</f>
        <v>46601</v>
      </c>
      <c r="X323" s="19" t="str">
        <f aca="false">IF(AND($C323="",T323=""),"",IF(AND(N($C323)&gt;0,N(T323)=0),"nobody marked present",IF(N($D323)&gt;N($C323),"more broken than moulded",IF(AND($C323="",N(T323)&gt;0),"attendance marked but no blocks entered",IF(AND(N($C323)&gt;0,N(U323)=0),"no pay rate for this date - see Settings",IF(SUMPRODUCT((H323:S323&lt;&gt;"")*(H$4:S$4=""))&gt;0,"attendance in an empty worker slot",""))))))</f>
        <v/>
      </c>
      <c r="Y323" s="20"/>
    </row>
    <row r="324" customFormat="false" ht="15" hidden="false" customHeight="false" outlineLevel="0" collapsed="false">
      <c r="A324" s="10" t="n">
        <v>46604</v>
      </c>
      <c r="B324" s="11" t="str">
        <f aca="false">CHOOSE(WEEKDAY($A324,2),"Mon","Tue","Wed","Thu","Fri","Sat","Sun")</f>
        <v>Thu</v>
      </c>
      <c r="C324" s="12"/>
      <c r="D324" s="12"/>
      <c r="E324" s="13" t="str">
        <f aca="false">IF($C324="","",$C324-N($D324))</f>
        <v/>
      </c>
      <c r="F324" s="13" t="str">
        <f aca="false">IF($C324="","",$C324-MAX(0,N($D324)-BreakAllow*$C324))</f>
        <v/>
      </c>
      <c r="G324" s="12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5" t="str">
        <f aca="false">IF(COUNT(H324:S324)=0,"",SUM(H324:S324))</f>
        <v/>
      </c>
      <c r="U324" s="16" t="str">
        <f aca="false">IF($C324="","",IFERROR(INDEX(RateValues,MATCH(SUMPRODUCT(MAX((RateDates&lt;=$A324)*RateDates)),RateDates,0)),0))</f>
        <v/>
      </c>
      <c r="V324" s="17" t="str">
        <f aca="false">IF($C324="","",$F324*$U324)</f>
        <v/>
      </c>
      <c r="W324" s="18" t="n">
        <f aca="false">$A324-WEEKDAY($A324,2)+1</f>
        <v>46601</v>
      </c>
      <c r="X324" s="19" t="str">
        <f aca="false">IF(AND($C324="",T324=""),"",IF(AND(N($C324)&gt;0,N(T324)=0),"nobody marked present",IF(N($D324)&gt;N($C324),"more broken than moulded",IF(AND($C324="",N(T324)&gt;0),"attendance marked but no blocks entered",IF(AND(N($C324)&gt;0,N(U324)=0),"no pay rate for this date - see Settings",IF(SUMPRODUCT((H324:S324&lt;&gt;"")*(H$4:S$4=""))&gt;0,"attendance in an empty worker slot",""))))))</f>
        <v/>
      </c>
      <c r="Y324" s="20"/>
    </row>
    <row r="325" customFormat="false" ht="15" hidden="false" customHeight="false" outlineLevel="0" collapsed="false">
      <c r="A325" s="10" t="n">
        <v>46605</v>
      </c>
      <c r="B325" s="11" t="str">
        <f aca="false">CHOOSE(WEEKDAY($A325,2),"Mon","Tue","Wed","Thu","Fri","Sat","Sun")</f>
        <v>Fri</v>
      </c>
      <c r="C325" s="12"/>
      <c r="D325" s="12"/>
      <c r="E325" s="13" t="str">
        <f aca="false">IF($C325="","",$C325-N($D325))</f>
        <v/>
      </c>
      <c r="F325" s="13" t="str">
        <f aca="false">IF($C325="","",$C325-MAX(0,N($D325)-BreakAllow*$C325))</f>
        <v/>
      </c>
      <c r="G325" s="12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5" t="str">
        <f aca="false">IF(COUNT(H325:S325)=0,"",SUM(H325:S325))</f>
        <v/>
      </c>
      <c r="U325" s="16" t="str">
        <f aca="false">IF($C325="","",IFERROR(INDEX(RateValues,MATCH(SUMPRODUCT(MAX((RateDates&lt;=$A325)*RateDates)),RateDates,0)),0))</f>
        <v/>
      </c>
      <c r="V325" s="17" t="str">
        <f aca="false">IF($C325="","",$F325*$U325)</f>
        <v/>
      </c>
      <c r="W325" s="18" t="n">
        <f aca="false">$A325-WEEKDAY($A325,2)+1</f>
        <v>46601</v>
      </c>
      <c r="X325" s="19" t="str">
        <f aca="false">IF(AND($C325="",T325=""),"",IF(AND(N($C325)&gt;0,N(T325)=0),"nobody marked present",IF(N($D325)&gt;N($C325),"more broken than moulded",IF(AND($C325="",N(T325)&gt;0),"attendance marked but no blocks entered",IF(AND(N($C325)&gt;0,N(U325)=0),"no pay rate for this date - see Settings",IF(SUMPRODUCT((H325:S325&lt;&gt;"")*(H$4:S$4=""))&gt;0,"attendance in an empty worker slot",""))))))</f>
        <v/>
      </c>
      <c r="Y325" s="20"/>
    </row>
    <row r="326" customFormat="false" ht="15" hidden="false" customHeight="false" outlineLevel="0" collapsed="false">
      <c r="A326" s="10" t="n">
        <v>46606</v>
      </c>
      <c r="B326" s="11" t="str">
        <f aca="false">CHOOSE(WEEKDAY($A326,2),"Mon","Tue","Wed","Thu","Fri","Sat","Sun")</f>
        <v>Sat</v>
      </c>
      <c r="C326" s="12"/>
      <c r="D326" s="12"/>
      <c r="E326" s="13" t="str">
        <f aca="false">IF($C326="","",$C326-N($D326))</f>
        <v/>
      </c>
      <c r="F326" s="13" t="str">
        <f aca="false">IF($C326="","",$C326-MAX(0,N($D326)-BreakAllow*$C326))</f>
        <v/>
      </c>
      <c r="G326" s="12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5" t="str">
        <f aca="false">IF(COUNT(H326:S326)=0,"",SUM(H326:S326))</f>
        <v/>
      </c>
      <c r="U326" s="16" t="str">
        <f aca="false">IF($C326="","",IFERROR(INDEX(RateValues,MATCH(SUMPRODUCT(MAX((RateDates&lt;=$A326)*RateDates)),RateDates,0)),0))</f>
        <v/>
      </c>
      <c r="V326" s="17" t="str">
        <f aca="false">IF($C326="","",$F326*$U326)</f>
        <v/>
      </c>
      <c r="W326" s="18" t="n">
        <f aca="false">$A326-WEEKDAY($A326,2)+1</f>
        <v>46601</v>
      </c>
      <c r="X326" s="19" t="str">
        <f aca="false">IF(AND($C326="",T326=""),"",IF(AND(N($C326)&gt;0,N(T326)=0),"nobody marked present",IF(N($D326)&gt;N($C326),"more broken than moulded",IF(AND($C326="",N(T326)&gt;0),"attendance marked but no blocks entered",IF(AND(N($C326)&gt;0,N(U326)=0),"no pay rate for this date - see Settings",IF(SUMPRODUCT((H326:S326&lt;&gt;"")*(H$4:S$4=""))&gt;0,"attendance in an empty worker slot",""))))))</f>
        <v/>
      </c>
      <c r="Y326" s="20"/>
    </row>
    <row r="327" customFormat="false" ht="15" hidden="false" customHeight="false" outlineLevel="0" collapsed="false">
      <c r="A327" s="21" t="n">
        <v>46607</v>
      </c>
      <c r="B327" s="22" t="str">
        <f aca="false">CHOOSE(WEEKDAY($A327,2),"Mon","Tue","Wed","Thu","Fri","Sat","Sun")</f>
        <v>Sun</v>
      </c>
      <c r="C327" s="12"/>
      <c r="D327" s="12"/>
      <c r="E327" s="13" t="str">
        <f aca="false">IF($C327="","",$C327-N($D327))</f>
        <v/>
      </c>
      <c r="F327" s="13" t="str">
        <f aca="false">IF($C327="","",$C327-MAX(0,N($D327)-BreakAllow*$C327))</f>
        <v/>
      </c>
      <c r="G327" s="12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5" t="str">
        <f aca="false">IF(COUNT(H327:S327)=0,"",SUM(H327:S327))</f>
        <v/>
      </c>
      <c r="U327" s="16" t="str">
        <f aca="false">IF($C327="","",IFERROR(INDEX(RateValues,MATCH(SUMPRODUCT(MAX((RateDates&lt;=$A327)*RateDates)),RateDates,0)),0))</f>
        <v/>
      </c>
      <c r="V327" s="17" t="str">
        <f aca="false">IF($C327="","",$F327*$U327)</f>
        <v/>
      </c>
      <c r="W327" s="18" t="n">
        <f aca="false">$A327-WEEKDAY($A327,2)+1</f>
        <v>46601</v>
      </c>
      <c r="X327" s="19" t="str">
        <f aca="false">IF(AND($C327="",T327=""),"",IF(AND(N($C327)&gt;0,N(T327)=0),"nobody marked present",IF(N($D327)&gt;N($C327),"more broken than moulded",IF(AND($C327="",N(T327)&gt;0),"attendance marked but no blocks entered",IF(AND(N($C327)&gt;0,N(U327)=0),"no pay rate for this date - see Settings",IF(SUMPRODUCT((H327:S327&lt;&gt;"")*(H$4:S$4=""))&gt;0,"attendance in an empty worker slot",""))))))</f>
        <v/>
      </c>
      <c r="Y327" s="20"/>
    </row>
    <row r="328" customFormat="false" ht="15" hidden="false" customHeight="false" outlineLevel="0" collapsed="false">
      <c r="A328" s="10" t="n">
        <v>46608</v>
      </c>
      <c r="B328" s="11" t="str">
        <f aca="false">CHOOSE(WEEKDAY($A328,2),"Mon","Tue","Wed","Thu","Fri","Sat","Sun")</f>
        <v>Mon</v>
      </c>
      <c r="C328" s="12"/>
      <c r="D328" s="12"/>
      <c r="E328" s="13" t="str">
        <f aca="false">IF($C328="","",$C328-N($D328))</f>
        <v/>
      </c>
      <c r="F328" s="13" t="str">
        <f aca="false">IF($C328="","",$C328-MAX(0,N($D328)-BreakAllow*$C328))</f>
        <v/>
      </c>
      <c r="G328" s="12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5" t="str">
        <f aca="false">IF(COUNT(H328:S328)=0,"",SUM(H328:S328))</f>
        <v/>
      </c>
      <c r="U328" s="16" t="str">
        <f aca="false">IF($C328="","",IFERROR(INDEX(RateValues,MATCH(SUMPRODUCT(MAX((RateDates&lt;=$A328)*RateDates)),RateDates,0)),0))</f>
        <v/>
      </c>
      <c r="V328" s="17" t="str">
        <f aca="false">IF($C328="","",$F328*$U328)</f>
        <v/>
      </c>
      <c r="W328" s="18" t="n">
        <f aca="false">$A328-WEEKDAY($A328,2)+1</f>
        <v>46608</v>
      </c>
      <c r="X328" s="19" t="str">
        <f aca="false">IF(AND($C328="",T328=""),"",IF(AND(N($C328)&gt;0,N(T328)=0),"nobody marked present",IF(N($D328)&gt;N($C328),"more broken than moulded",IF(AND($C328="",N(T328)&gt;0),"attendance marked but no blocks entered",IF(AND(N($C328)&gt;0,N(U328)=0),"no pay rate for this date - see Settings",IF(SUMPRODUCT((H328:S328&lt;&gt;"")*(H$4:S$4=""))&gt;0,"attendance in an empty worker slot",""))))))</f>
        <v/>
      </c>
      <c r="Y328" s="20"/>
    </row>
    <row r="329" customFormat="false" ht="15" hidden="false" customHeight="false" outlineLevel="0" collapsed="false">
      <c r="A329" s="10" t="n">
        <v>46609</v>
      </c>
      <c r="B329" s="11" t="str">
        <f aca="false">CHOOSE(WEEKDAY($A329,2),"Mon","Tue","Wed","Thu","Fri","Sat","Sun")</f>
        <v>Tue</v>
      </c>
      <c r="C329" s="12"/>
      <c r="D329" s="12"/>
      <c r="E329" s="13" t="str">
        <f aca="false">IF($C329="","",$C329-N($D329))</f>
        <v/>
      </c>
      <c r="F329" s="13" t="str">
        <f aca="false">IF($C329="","",$C329-MAX(0,N($D329)-BreakAllow*$C329))</f>
        <v/>
      </c>
      <c r="G329" s="12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5" t="str">
        <f aca="false">IF(COUNT(H329:S329)=0,"",SUM(H329:S329))</f>
        <v/>
      </c>
      <c r="U329" s="16" t="str">
        <f aca="false">IF($C329="","",IFERROR(INDEX(RateValues,MATCH(SUMPRODUCT(MAX((RateDates&lt;=$A329)*RateDates)),RateDates,0)),0))</f>
        <v/>
      </c>
      <c r="V329" s="17" t="str">
        <f aca="false">IF($C329="","",$F329*$U329)</f>
        <v/>
      </c>
      <c r="W329" s="18" t="n">
        <f aca="false">$A329-WEEKDAY($A329,2)+1</f>
        <v>46608</v>
      </c>
      <c r="X329" s="19" t="str">
        <f aca="false">IF(AND($C329="",T329=""),"",IF(AND(N($C329)&gt;0,N(T329)=0),"nobody marked present",IF(N($D329)&gt;N($C329),"more broken than moulded",IF(AND($C329="",N(T329)&gt;0),"attendance marked but no blocks entered",IF(AND(N($C329)&gt;0,N(U329)=0),"no pay rate for this date - see Settings",IF(SUMPRODUCT((H329:S329&lt;&gt;"")*(H$4:S$4=""))&gt;0,"attendance in an empty worker slot",""))))))</f>
        <v/>
      </c>
      <c r="Y329" s="20"/>
    </row>
    <row r="330" customFormat="false" ht="15" hidden="false" customHeight="false" outlineLevel="0" collapsed="false">
      <c r="A330" s="10" t="n">
        <v>46610</v>
      </c>
      <c r="B330" s="11" t="str">
        <f aca="false">CHOOSE(WEEKDAY($A330,2),"Mon","Tue","Wed","Thu","Fri","Sat","Sun")</f>
        <v>Wed</v>
      </c>
      <c r="C330" s="12"/>
      <c r="D330" s="12"/>
      <c r="E330" s="13" t="str">
        <f aca="false">IF($C330="","",$C330-N($D330))</f>
        <v/>
      </c>
      <c r="F330" s="13" t="str">
        <f aca="false">IF($C330="","",$C330-MAX(0,N($D330)-BreakAllow*$C330))</f>
        <v/>
      </c>
      <c r="G330" s="12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5" t="str">
        <f aca="false">IF(COUNT(H330:S330)=0,"",SUM(H330:S330))</f>
        <v/>
      </c>
      <c r="U330" s="16" t="str">
        <f aca="false">IF($C330="","",IFERROR(INDEX(RateValues,MATCH(SUMPRODUCT(MAX((RateDates&lt;=$A330)*RateDates)),RateDates,0)),0))</f>
        <v/>
      </c>
      <c r="V330" s="17" t="str">
        <f aca="false">IF($C330="","",$F330*$U330)</f>
        <v/>
      </c>
      <c r="W330" s="18" t="n">
        <f aca="false">$A330-WEEKDAY($A330,2)+1</f>
        <v>46608</v>
      </c>
      <c r="X330" s="19" t="str">
        <f aca="false">IF(AND($C330="",T330=""),"",IF(AND(N($C330)&gt;0,N(T330)=0),"nobody marked present",IF(N($D330)&gt;N($C330),"more broken than moulded",IF(AND($C330="",N(T330)&gt;0),"attendance marked but no blocks entered",IF(AND(N($C330)&gt;0,N(U330)=0),"no pay rate for this date - see Settings",IF(SUMPRODUCT((H330:S330&lt;&gt;"")*(H$4:S$4=""))&gt;0,"attendance in an empty worker slot",""))))))</f>
        <v/>
      </c>
      <c r="Y330" s="20"/>
    </row>
    <row r="331" customFormat="false" ht="15" hidden="false" customHeight="false" outlineLevel="0" collapsed="false">
      <c r="A331" s="10" t="n">
        <v>46611</v>
      </c>
      <c r="B331" s="11" t="str">
        <f aca="false">CHOOSE(WEEKDAY($A331,2),"Mon","Tue","Wed","Thu","Fri","Sat","Sun")</f>
        <v>Thu</v>
      </c>
      <c r="C331" s="12"/>
      <c r="D331" s="12"/>
      <c r="E331" s="13" t="str">
        <f aca="false">IF($C331="","",$C331-N($D331))</f>
        <v/>
      </c>
      <c r="F331" s="13" t="str">
        <f aca="false">IF($C331="","",$C331-MAX(0,N($D331)-BreakAllow*$C331))</f>
        <v/>
      </c>
      <c r="G331" s="12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5" t="str">
        <f aca="false">IF(COUNT(H331:S331)=0,"",SUM(H331:S331))</f>
        <v/>
      </c>
      <c r="U331" s="16" t="str">
        <f aca="false">IF($C331="","",IFERROR(INDEX(RateValues,MATCH(SUMPRODUCT(MAX((RateDates&lt;=$A331)*RateDates)),RateDates,0)),0))</f>
        <v/>
      </c>
      <c r="V331" s="17" t="str">
        <f aca="false">IF($C331="","",$F331*$U331)</f>
        <v/>
      </c>
      <c r="W331" s="18" t="n">
        <f aca="false">$A331-WEEKDAY($A331,2)+1</f>
        <v>46608</v>
      </c>
      <c r="X331" s="19" t="str">
        <f aca="false">IF(AND($C331="",T331=""),"",IF(AND(N($C331)&gt;0,N(T331)=0),"nobody marked present",IF(N($D331)&gt;N($C331),"more broken than moulded",IF(AND($C331="",N(T331)&gt;0),"attendance marked but no blocks entered",IF(AND(N($C331)&gt;0,N(U331)=0),"no pay rate for this date - see Settings",IF(SUMPRODUCT((H331:S331&lt;&gt;"")*(H$4:S$4=""))&gt;0,"attendance in an empty worker slot",""))))))</f>
        <v/>
      </c>
      <c r="Y331" s="20"/>
    </row>
    <row r="332" customFormat="false" ht="15" hidden="false" customHeight="false" outlineLevel="0" collapsed="false">
      <c r="A332" s="10" t="n">
        <v>46612</v>
      </c>
      <c r="B332" s="11" t="str">
        <f aca="false">CHOOSE(WEEKDAY($A332,2),"Mon","Tue","Wed","Thu","Fri","Sat","Sun")</f>
        <v>Fri</v>
      </c>
      <c r="C332" s="12"/>
      <c r="D332" s="12"/>
      <c r="E332" s="13" t="str">
        <f aca="false">IF($C332="","",$C332-N($D332))</f>
        <v/>
      </c>
      <c r="F332" s="13" t="str">
        <f aca="false">IF($C332="","",$C332-MAX(0,N($D332)-BreakAllow*$C332))</f>
        <v/>
      </c>
      <c r="G332" s="12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5" t="str">
        <f aca="false">IF(COUNT(H332:S332)=0,"",SUM(H332:S332))</f>
        <v/>
      </c>
      <c r="U332" s="16" t="str">
        <f aca="false">IF($C332="","",IFERROR(INDEX(RateValues,MATCH(SUMPRODUCT(MAX((RateDates&lt;=$A332)*RateDates)),RateDates,0)),0))</f>
        <v/>
      </c>
      <c r="V332" s="17" t="str">
        <f aca="false">IF($C332="","",$F332*$U332)</f>
        <v/>
      </c>
      <c r="W332" s="18" t="n">
        <f aca="false">$A332-WEEKDAY($A332,2)+1</f>
        <v>46608</v>
      </c>
      <c r="X332" s="19" t="str">
        <f aca="false">IF(AND($C332="",T332=""),"",IF(AND(N($C332)&gt;0,N(T332)=0),"nobody marked present",IF(N($D332)&gt;N($C332),"more broken than moulded",IF(AND($C332="",N(T332)&gt;0),"attendance marked but no blocks entered",IF(AND(N($C332)&gt;0,N(U332)=0),"no pay rate for this date - see Settings",IF(SUMPRODUCT((H332:S332&lt;&gt;"")*(H$4:S$4=""))&gt;0,"attendance in an empty worker slot",""))))))</f>
        <v/>
      </c>
      <c r="Y332" s="20"/>
    </row>
    <row r="333" customFormat="false" ht="15" hidden="false" customHeight="false" outlineLevel="0" collapsed="false">
      <c r="A333" s="10" t="n">
        <v>46613</v>
      </c>
      <c r="B333" s="11" t="str">
        <f aca="false">CHOOSE(WEEKDAY($A333,2),"Mon","Tue","Wed","Thu","Fri","Sat","Sun")</f>
        <v>Sat</v>
      </c>
      <c r="C333" s="12"/>
      <c r="D333" s="12"/>
      <c r="E333" s="13" t="str">
        <f aca="false">IF($C333="","",$C333-N($D333))</f>
        <v/>
      </c>
      <c r="F333" s="13" t="str">
        <f aca="false">IF($C333="","",$C333-MAX(0,N($D333)-BreakAllow*$C333))</f>
        <v/>
      </c>
      <c r="G333" s="12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5" t="str">
        <f aca="false">IF(COUNT(H333:S333)=0,"",SUM(H333:S333))</f>
        <v/>
      </c>
      <c r="U333" s="16" t="str">
        <f aca="false">IF($C333="","",IFERROR(INDEX(RateValues,MATCH(SUMPRODUCT(MAX((RateDates&lt;=$A333)*RateDates)),RateDates,0)),0))</f>
        <v/>
      </c>
      <c r="V333" s="17" t="str">
        <f aca="false">IF($C333="","",$F333*$U333)</f>
        <v/>
      </c>
      <c r="W333" s="18" t="n">
        <f aca="false">$A333-WEEKDAY($A333,2)+1</f>
        <v>46608</v>
      </c>
      <c r="X333" s="19" t="str">
        <f aca="false">IF(AND($C333="",T333=""),"",IF(AND(N($C333)&gt;0,N(T333)=0),"nobody marked present",IF(N($D333)&gt;N($C333),"more broken than moulded",IF(AND($C333="",N(T333)&gt;0),"attendance marked but no blocks entered",IF(AND(N($C333)&gt;0,N(U333)=0),"no pay rate for this date - see Settings",IF(SUMPRODUCT((H333:S333&lt;&gt;"")*(H$4:S$4=""))&gt;0,"attendance in an empty worker slot",""))))))</f>
        <v/>
      </c>
      <c r="Y333" s="20"/>
    </row>
    <row r="334" customFormat="false" ht="15" hidden="false" customHeight="false" outlineLevel="0" collapsed="false">
      <c r="A334" s="21" t="n">
        <v>46614</v>
      </c>
      <c r="B334" s="22" t="str">
        <f aca="false">CHOOSE(WEEKDAY($A334,2),"Mon","Tue","Wed","Thu","Fri","Sat","Sun")</f>
        <v>Sun</v>
      </c>
      <c r="C334" s="12"/>
      <c r="D334" s="12"/>
      <c r="E334" s="13" t="str">
        <f aca="false">IF($C334="","",$C334-N($D334))</f>
        <v/>
      </c>
      <c r="F334" s="13" t="str">
        <f aca="false">IF($C334="","",$C334-MAX(0,N($D334)-BreakAllow*$C334))</f>
        <v/>
      </c>
      <c r="G334" s="12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5" t="str">
        <f aca="false">IF(COUNT(H334:S334)=0,"",SUM(H334:S334))</f>
        <v/>
      </c>
      <c r="U334" s="16" t="str">
        <f aca="false">IF($C334="","",IFERROR(INDEX(RateValues,MATCH(SUMPRODUCT(MAX((RateDates&lt;=$A334)*RateDates)),RateDates,0)),0))</f>
        <v/>
      </c>
      <c r="V334" s="17" t="str">
        <f aca="false">IF($C334="","",$F334*$U334)</f>
        <v/>
      </c>
      <c r="W334" s="18" t="n">
        <f aca="false">$A334-WEEKDAY($A334,2)+1</f>
        <v>46608</v>
      </c>
      <c r="X334" s="19" t="str">
        <f aca="false">IF(AND($C334="",T334=""),"",IF(AND(N($C334)&gt;0,N(T334)=0),"nobody marked present",IF(N($D334)&gt;N($C334),"more broken than moulded",IF(AND($C334="",N(T334)&gt;0),"attendance marked but no blocks entered",IF(AND(N($C334)&gt;0,N(U334)=0),"no pay rate for this date - see Settings",IF(SUMPRODUCT((H334:S334&lt;&gt;"")*(H$4:S$4=""))&gt;0,"attendance in an empty worker slot",""))))))</f>
        <v/>
      </c>
      <c r="Y334" s="20"/>
    </row>
    <row r="335" customFormat="false" ht="15" hidden="false" customHeight="false" outlineLevel="0" collapsed="false">
      <c r="A335" s="10" t="n">
        <v>46615</v>
      </c>
      <c r="B335" s="11" t="str">
        <f aca="false">CHOOSE(WEEKDAY($A335,2),"Mon","Tue","Wed","Thu","Fri","Sat","Sun")</f>
        <v>Mon</v>
      </c>
      <c r="C335" s="12"/>
      <c r="D335" s="12"/>
      <c r="E335" s="13" t="str">
        <f aca="false">IF($C335="","",$C335-N($D335))</f>
        <v/>
      </c>
      <c r="F335" s="13" t="str">
        <f aca="false">IF($C335="","",$C335-MAX(0,N($D335)-BreakAllow*$C335))</f>
        <v/>
      </c>
      <c r="G335" s="12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5" t="str">
        <f aca="false">IF(COUNT(H335:S335)=0,"",SUM(H335:S335))</f>
        <v/>
      </c>
      <c r="U335" s="16" t="str">
        <f aca="false">IF($C335="","",IFERROR(INDEX(RateValues,MATCH(SUMPRODUCT(MAX((RateDates&lt;=$A335)*RateDates)),RateDates,0)),0))</f>
        <v/>
      </c>
      <c r="V335" s="17" t="str">
        <f aca="false">IF($C335="","",$F335*$U335)</f>
        <v/>
      </c>
      <c r="W335" s="18" t="n">
        <f aca="false">$A335-WEEKDAY($A335,2)+1</f>
        <v>46615</v>
      </c>
      <c r="X335" s="19" t="str">
        <f aca="false">IF(AND($C335="",T335=""),"",IF(AND(N($C335)&gt;0,N(T335)=0),"nobody marked present",IF(N($D335)&gt;N($C335),"more broken than moulded",IF(AND($C335="",N(T335)&gt;0),"attendance marked but no blocks entered",IF(AND(N($C335)&gt;0,N(U335)=0),"no pay rate for this date - see Settings",IF(SUMPRODUCT((H335:S335&lt;&gt;"")*(H$4:S$4=""))&gt;0,"attendance in an empty worker slot",""))))))</f>
        <v/>
      </c>
      <c r="Y335" s="20"/>
    </row>
    <row r="336" customFormat="false" ht="15" hidden="false" customHeight="false" outlineLevel="0" collapsed="false">
      <c r="A336" s="10" t="n">
        <v>46616</v>
      </c>
      <c r="B336" s="11" t="str">
        <f aca="false">CHOOSE(WEEKDAY($A336,2),"Mon","Tue","Wed","Thu","Fri","Sat","Sun")</f>
        <v>Tue</v>
      </c>
      <c r="C336" s="12"/>
      <c r="D336" s="12"/>
      <c r="E336" s="13" t="str">
        <f aca="false">IF($C336="","",$C336-N($D336))</f>
        <v/>
      </c>
      <c r="F336" s="13" t="str">
        <f aca="false">IF($C336="","",$C336-MAX(0,N($D336)-BreakAllow*$C336))</f>
        <v/>
      </c>
      <c r="G336" s="12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5" t="str">
        <f aca="false">IF(COUNT(H336:S336)=0,"",SUM(H336:S336))</f>
        <v/>
      </c>
      <c r="U336" s="16" t="str">
        <f aca="false">IF($C336="","",IFERROR(INDEX(RateValues,MATCH(SUMPRODUCT(MAX((RateDates&lt;=$A336)*RateDates)),RateDates,0)),0))</f>
        <v/>
      </c>
      <c r="V336" s="17" t="str">
        <f aca="false">IF($C336="","",$F336*$U336)</f>
        <v/>
      </c>
      <c r="W336" s="18" t="n">
        <f aca="false">$A336-WEEKDAY($A336,2)+1</f>
        <v>46615</v>
      </c>
      <c r="X336" s="19" t="str">
        <f aca="false">IF(AND($C336="",T336=""),"",IF(AND(N($C336)&gt;0,N(T336)=0),"nobody marked present",IF(N($D336)&gt;N($C336),"more broken than moulded",IF(AND($C336="",N(T336)&gt;0),"attendance marked but no blocks entered",IF(AND(N($C336)&gt;0,N(U336)=0),"no pay rate for this date - see Settings",IF(SUMPRODUCT((H336:S336&lt;&gt;"")*(H$4:S$4=""))&gt;0,"attendance in an empty worker slot",""))))))</f>
        <v/>
      </c>
      <c r="Y336" s="20"/>
    </row>
    <row r="337" customFormat="false" ht="15" hidden="false" customHeight="false" outlineLevel="0" collapsed="false">
      <c r="A337" s="10" t="n">
        <v>46617</v>
      </c>
      <c r="B337" s="11" t="str">
        <f aca="false">CHOOSE(WEEKDAY($A337,2),"Mon","Tue","Wed","Thu","Fri","Sat","Sun")</f>
        <v>Wed</v>
      </c>
      <c r="C337" s="12"/>
      <c r="D337" s="12"/>
      <c r="E337" s="13" t="str">
        <f aca="false">IF($C337="","",$C337-N($D337))</f>
        <v/>
      </c>
      <c r="F337" s="13" t="str">
        <f aca="false">IF($C337="","",$C337-MAX(0,N($D337)-BreakAllow*$C337))</f>
        <v/>
      </c>
      <c r="G337" s="12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5" t="str">
        <f aca="false">IF(COUNT(H337:S337)=0,"",SUM(H337:S337))</f>
        <v/>
      </c>
      <c r="U337" s="16" t="str">
        <f aca="false">IF($C337="","",IFERROR(INDEX(RateValues,MATCH(SUMPRODUCT(MAX((RateDates&lt;=$A337)*RateDates)),RateDates,0)),0))</f>
        <v/>
      </c>
      <c r="V337" s="17" t="str">
        <f aca="false">IF($C337="","",$F337*$U337)</f>
        <v/>
      </c>
      <c r="W337" s="18" t="n">
        <f aca="false">$A337-WEEKDAY($A337,2)+1</f>
        <v>46615</v>
      </c>
      <c r="X337" s="19" t="str">
        <f aca="false">IF(AND($C337="",T337=""),"",IF(AND(N($C337)&gt;0,N(T337)=0),"nobody marked present",IF(N($D337)&gt;N($C337),"more broken than moulded",IF(AND($C337="",N(T337)&gt;0),"attendance marked but no blocks entered",IF(AND(N($C337)&gt;0,N(U337)=0),"no pay rate for this date - see Settings",IF(SUMPRODUCT((H337:S337&lt;&gt;"")*(H$4:S$4=""))&gt;0,"attendance in an empty worker slot",""))))))</f>
        <v/>
      </c>
      <c r="Y337" s="20"/>
    </row>
    <row r="338" customFormat="false" ht="15" hidden="false" customHeight="false" outlineLevel="0" collapsed="false">
      <c r="A338" s="10" t="n">
        <v>46618</v>
      </c>
      <c r="B338" s="11" t="str">
        <f aca="false">CHOOSE(WEEKDAY($A338,2),"Mon","Tue","Wed","Thu","Fri","Sat","Sun")</f>
        <v>Thu</v>
      </c>
      <c r="C338" s="12"/>
      <c r="D338" s="12"/>
      <c r="E338" s="13" t="str">
        <f aca="false">IF($C338="","",$C338-N($D338))</f>
        <v/>
      </c>
      <c r="F338" s="13" t="str">
        <f aca="false">IF($C338="","",$C338-MAX(0,N($D338)-BreakAllow*$C338))</f>
        <v/>
      </c>
      <c r="G338" s="12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5" t="str">
        <f aca="false">IF(COUNT(H338:S338)=0,"",SUM(H338:S338))</f>
        <v/>
      </c>
      <c r="U338" s="16" t="str">
        <f aca="false">IF($C338="","",IFERROR(INDEX(RateValues,MATCH(SUMPRODUCT(MAX((RateDates&lt;=$A338)*RateDates)),RateDates,0)),0))</f>
        <v/>
      </c>
      <c r="V338" s="17" t="str">
        <f aca="false">IF($C338="","",$F338*$U338)</f>
        <v/>
      </c>
      <c r="W338" s="18" t="n">
        <f aca="false">$A338-WEEKDAY($A338,2)+1</f>
        <v>46615</v>
      </c>
      <c r="X338" s="19" t="str">
        <f aca="false">IF(AND($C338="",T338=""),"",IF(AND(N($C338)&gt;0,N(T338)=0),"nobody marked present",IF(N($D338)&gt;N($C338),"more broken than moulded",IF(AND($C338="",N(T338)&gt;0),"attendance marked but no blocks entered",IF(AND(N($C338)&gt;0,N(U338)=0),"no pay rate for this date - see Settings",IF(SUMPRODUCT((H338:S338&lt;&gt;"")*(H$4:S$4=""))&gt;0,"attendance in an empty worker slot",""))))))</f>
        <v/>
      </c>
      <c r="Y338" s="20"/>
    </row>
    <row r="339" customFormat="false" ht="15" hidden="false" customHeight="false" outlineLevel="0" collapsed="false">
      <c r="A339" s="10" t="n">
        <v>46619</v>
      </c>
      <c r="B339" s="11" t="str">
        <f aca="false">CHOOSE(WEEKDAY($A339,2),"Mon","Tue","Wed","Thu","Fri","Sat","Sun")</f>
        <v>Fri</v>
      </c>
      <c r="C339" s="12"/>
      <c r="D339" s="12"/>
      <c r="E339" s="13" t="str">
        <f aca="false">IF($C339="","",$C339-N($D339))</f>
        <v/>
      </c>
      <c r="F339" s="13" t="str">
        <f aca="false">IF($C339="","",$C339-MAX(0,N($D339)-BreakAllow*$C339))</f>
        <v/>
      </c>
      <c r="G339" s="12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5" t="str">
        <f aca="false">IF(COUNT(H339:S339)=0,"",SUM(H339:S339))</f>
        <v/>
      </c>
      <c r="U339" s="16" t="str">
        <f aca="false">IF($C339="","",IFERROR(INDEX(RateValues,MATCH(SUMPRODUCT(MAX((RateDates&lt;=$A339)*RateDates)),RateDates,0)),0))</f>
        <v/>
      </c>
      <c r="V339" s="17" t="str">
        <f aca="false">IF($C339="","",$F339*$U339)</f>
        <v/>
      </c>
      <c r="W339" s="18" t="n">
        <f aca="false">$A339-WEEKDAY($A339,2)+1</f>
        <v>46615</v>
      </c>
      <c r="X339" s="19" t="str">
        <f aca="false">IF(AND($C339="",T339=""),"",IF(AND(N($C339)&gt;0,N(T339)=0),"nobody marked present",IF(N($D339)&gt;N($C339),"more broken than moulded",IF(AND($C339="",N(T339)&gt;0),"attendance marked but no blocks entered",IF(AND(N($C339)&gt;0,N(U339)=0),"no pay rate for this date - see Settings",IF(SUMPRODUCT((H339:S339&lt;&gt;"")*(H$4:S$4=""))&gt;0,"attendance in an empty worker slot",""))))))</f>
        <v/>
      </c>
      <c r="Y339" s="20"/>
    </row>
    <row r="340" customFormat="false" ht="15" hidden="false" customHeight="false" outlineLevel="0" collapsed="false">
      <c r="A340" s="10" t="n">
        <v>46620</v>
      </c>
      <c r="B340" s="11" t="str">
        <f aca="false">CHOOSE(WEEKDAY($A340,2),"Mon","Tue","Wed","Thu","Fri","Sat","Sun")</f>
        <v>Sat</v>
      </c>
      <c r="C340" s="12"/>
      <c r="D340" s="12"/>
      <c r="E340" s="13" t="str">
        <f aca="false">IF($C340="","",$C340-N($D340))</f>
        <v/>
      </c>
      <c r="F340" s="13" t="str">
        <f aca="false">IF($C340="","",$C340-MAX(0,N($D340)-BreakAllow*$C340))</f>
        <v/>
      </c>
      <c r="G340" s="12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5" t="str">
        <f aca="false">IF(COUNT(H340:S340)=0,"",SUM(H340:S340))</f>
        <v/>
      </c>
      <c r="U340" s="16" t="str">
        <f aca="false">IF($C340="","",IFERROR(INDEX(RateValues,MATCH(SUMPRODUCT(MAX((RateDates&lt;=$A340)*RateDates)),RateDates,0)),0))</f>
        <v/>
      </c>
      <c r="V340" s="17" t="str">
        <f aca="false">IF($C340="","",$F340*$U340)</f>
        <v/>
      </c>
      <c r="W340" s="18" t="n">
        <f aca="false">$A340-WEEKDAY($A340,2)+1</f>
        <v>46615</v>
      </c>
      <c r="X340" s="19" t="str">
        <f aca="false">IF(AND($C340="",T340=""),"",IF(AND(N($C340)&gt;0,N(T340)=0),"nobody marked present",IF(N($D340)&gt;N($C340),"more broken than moulded",IF(AND($C340="",N(T340)&gt;0),"attendance marked but no blocks entered",IF(AND(N($C340)&gt;0,N(U340)=0),"no pay rate for this date - see Settings",IF(SUMPRODUCT((H340:S340&lt;&gt;"")*(H$4:S$4=""))&gt;0,"attendance in an empty worker slot",""))))))</f>
        <v/>
      </c>
      <c r="Y340" s="20"/>
    </row>
    <row r="341" customFormat="false" ht="15" hidden="false" customHeight="false" outlineLevel="0" collapsed="false">
      <c r="A341" s="21" t="n">
        <v>46621</v>
      </c>
      <c r="B341" s="22" t="str">
        <f aca="false">CHOOSE(WEEKDAY($A341,2),"Mon","Tue","Wed","Thu","Fri","Sat","Sun")</f>
        <v>Sun</v>
      </c>
      <c r="C341" s="12"/>
      <c r="D341" s="12"/>
      <c r="E341" s="13" t="str">
        <f aca="false">IF($C341="","",$C341-N($D341))</f>
        <v/>
      </c>
      <c r="F341" s="13" t="str">
        <f aca="false">IF($C341="","",$C341-MAX(0,N($D341)-BreakAllow*$C341))</f>
        <v/>
      </c>
      <c r="G341" s="12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5" t="str">
        <f aca="false">IF(COUNT(H341:S341)=0,"",SUM(H341:S341))</f>
        <v/>
      </c>
      <c r="U341" s="16" t="str">
        <f aca="false">IF($C341="","",IFERROR(INDEX(RateValues,MATCH(SUMPRODUCT(MAX((RateDates&lt;=$A341)*RateDates)),RateDates,0)),0))</f>
        <v/>
      </c>
      <c r="V341" s="17" t="str">
        <f aca="false">IF($C341="","",$F341*$U341)</f>
        <v/>
      </c>
      <c r="W341" s="18" t="n">
        <f aca="false">$A341-WEEKDAY($A341,2)+1</f>
        <v>46615</v>
      </c>
      <c r="X341" s="19" t="str">
        <f aca="false">IF(AND($C341="",T341=""),"",IF(AND(N($C341)&gt;0,N(T341)=0),"nobody marked present",IF(N($D341)&gt;N($C341),"more broken than moulded",IF(AND($C341="",N(T341)&gt;0),"attendance marked but no blocks entered",IF(AND(N($C341)&gt;0,N(U341)=0),"no pay rate for this date - see Settings",IF(SUMPRODUCT((H341:S341&lt;&gt;"")*(H$4:S$4=""))&gt;0,"attendance in an empty worker slot",""))))))</f>
        <v/>
      </c>
      <c r="Y341" s="20"/>
    </row>
    <row r="342" customFormat="false" ht="15" hidden="false" customHeight="false" outlineLevel="0" collapsed="false">
      <c r="A342" s="10" t="n">
        <v>46622</v>
      </c>
      <c r="B342" s="11" t="str">
        <f aca="false">CHOOSE(WEEKDAY($A342,2),"Mon","Tue","Wed","Thu","Fri","Sat","Sun")</f>
        <v>Mon</v>
      </c>
      <c r="C342" s="12"/>
      <c r="D342" s="12"/>
      <c r="E342" s="13" t="str">
        <f aca="false">IF($C342="","",$C342-N($D342))</f>
        <v/>
      </c>
      <c r="F342" s="13" t="str">
        <f aca="false">IF($C342="","",$C342-MAX(0,N($D342)-BreakAllow*$C342))</f>
        <v/>
      </c>
      <c r="G342" s="12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5" t="str">
        <f aca="false">IF(COUNT(H342:S342)=0,"",SUM(H342:S342))</f>
        <v/>
      </c>
      <c r="U342" s="16" t="str">
        <f aca="false">IF($C342="","",IFERROR(INDEX(RateValues,MATCH(SUMPRODUCT(MAX((RateDates&lt;=$A342)*RateDates)),RateDates,0)),0))</f>
        <v/>
      </c>
      <c r="V342" s="17" t="str">
        <f aca="false">IF($C342="","",$F342*$U342)</f>
        <v/>
      </c>
      <c r="W342" s="18" t="n">
        <f aca="false">$A342-WEEKDAY($A342,2)+1</f>
        <v>46622</v>
      </c>
      <c r="X342" s="19" t="str">
        <f aca="false">IF(AND($C342="",T342=""),"",IF(AND(N($C342)&gt;0,N(T342)=0),"nobody marked present",IF(N($D342)&gt;N($C342),"more broken than moulded",IF(AND($C342="",N(T342)&gt;0),"attendance marked but no blocks entered",IF(AND(N($C342)&gt;0,N(U342)=0),"no pay rate for this date - see Settings",IF(SUMPRODUCT((H342:S342&lt;&gt;"")*(H$4:S$4=""))&gt;0,"attendance in an empty worker slot",""))))))</f>
        <v/>
      </c>
      <c r="Y342" s="20"/>
    </row>
    <row r="343" customFormat="false" ht="15" hidden="false" customHeight="false" outlineLevel="0" collapsed="false">
      <c r="A343" s="10" t="n">
        <v>46623</v>
      </c>
      <c r="B343" s="11" t="str">
        <f aca="false">CHOOSE(WEEKDAY($A343,2),"Mon","Tue","Wed","Thu","Fri","Sat","Sun")</f>
        <v>Tue</v>
      </c>
      <c r="C343" s="12"/>
      <c r="D343" s="12"/>
      <c r="E343" s="13" t="str">
        <f aca="false">IF($C343="","",$C343-N($D343))</f>
        <v/>
      </c>
      <c r="F343" s="13" t="str">
        <f aca="false">IF($C343="","",$C343-MAX(0,N($D343)-BreakAllow*$C343))</f>
        <v/>
      </c>
      <c r="G343" s="12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5" t="str">
        <f aca="false">IF(COUNT(H343:S343)=0,"",SUM(H343:S343))</f>
        <v/>
      </c>
      <c r="U343" s="16" t="str">
        <f aca="false">IF($C343="","",IFERROR(INDEX(RateValues,MATCH(SUMPRODUCT(MAX((RateDates&lt;=$A343)*RateDates)),RateDates,0)),0))</f>
        <v/>
      </c>
      <c r="V343" s="17" t="str">
        <f aca="false">IF($C343="","",$F343*$U343)</f>
        <v/>
      </c>
      <c r="W343" s="18" t="n">
        <f aca="false">$A343-WEEKDAY($A343,2)+1</f>
        <v>46622</v>
      </c>
      <c r="X343" s="19" t="str">
        <f aca="false">IF(AND($C343="",T343=""),"",IF(AND(N($C343)&gt;0,N(T343)=0),"nobody marked present",IF(N($D343)&gt;N($C343),"more broken than moulded",IF(AND($C343="",N(T343)&gt;0),"attendance marked but no blocks entered",IF(AND(N($C343)&gt;0,N(U343)=0),"no pay rate for this date - see Settings",IF(SUMPRODUCT((H343:S343&lt;&gt;"")*(H$4:S$4=""))&gt;0,"attendance in an empty worker slot",""))))))</f>
        <v/>
      </c>
      <c r="Y343" s="20"/>
    </row>
    <row r="344" customFormat="false" ht="15" hidden="false" customHeight="false" outlineLevel="0" collapsed="false">
      <c r="A344" s="10" t="n">
        <v>46624</v>
      </c>
      <c r="B344" s="11" t="str">
        <f aca="false">CHOOSE(WEEKDAY($A344,2),"Mon","Tue","Wed","Thu","Fri","Sat","Sun")</f>
        <v>Wed</v>
      </c>
      <c r="C344" s="12"/>
      <c r="D344" s="12"/>
      <c r="E344" s="13" t="str">
        <f aca="false">IF($C344="","",$C344-N($D344))</f>
        <v/>
      </c>
      <c r="F344" s="13" t="str">
        <f aca="false">IF($C344="","",$C344-MAX(0,N($D344)-BreakAllow*$C344))</f>
        <v/>
      </c>
      <c r="G344" s="12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5" t="str">
        <f aca="false">IF(COUNT(H344:S344)=0,"",SUM(H344:S344))</f>
        <v/>
      </c>
      <c r="U344" s="16" t="str">
        <f aca="false">IF($C344="","",IFERROR(INDEX(RateValues,MATCH(SUMPRODUCT(MAX((RateDates&lt;=$A344)*RateDates)),RateDates,0)),0))</f>
        <v/>
      </c>
      <c r="V344" s="17" t="str">
        <f aca="false">IF($C344="","",$F344*$U344)</f>
        <v/>
      </c>
      <c r="W344" s="18" t="n">
        <f aca="false">$A344-WEEKDAY($A344,2)+1</f>
        <v>46622</v>
      </c>
      <c r="X344" s="19" t="str">
        <f aca="false">IF(AND($C344="",T344=""),"",IF(AND(N($C344)&gt;0,N(T344)=0),"nobody marked present",IF(N($D344)&gt;N($C344),"more broken than moulded",IF(AND($C344="",N(T344)&gt;0),"attendance marked but no blocks entered",IF(AND(N($C344)&gt;0,N(U344)=0),"no pay rate for this date - see Settings",IF(SUMPRODUCT((H344:S344&lt;&gt;"")*(H$4:S$4=""))&gt;0,"attendance in an empty worker slot",""))))))</f>
        <v/>
      </c>
      <c r="Y344" s="20"/>
    </row>
    <row r="345" customFormat="false" ht="15" hidden="false" customHeight="false" outlineLevel="0" collapsed="false">
      <c r="A345" s="10" t="n">
        <v>46625</v>
      </c>
      <c r="B345" s="11" t="str">
        <f aca="false">CHOOSE(WEEKDAY($A345,2),"Mon","Tue","Wed","Thu","Fri","Sat","Sun")</f>
        <v>Thu</v>
      </c>
      <c r="C345" s="12"/>
      <c r="D345" s="12"/>
      <c r="E345" s="13" t="str">
        <f aca="false">IF($C345="","",$C345-N($D345))</f>
        <v/>
      </c>
      <c r="F345" s="13" t="str">
        <f aca="false">IF($C345="","",$C345-MAX(0,N($D345)-BreakAllow*$C345))</f>
        <v/>
      </c>
      <c r="G345" s="12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5" t="str">
        <f aca="false">IF(COUNT(H345:S345)=0,"",SUM(H345:S345))</f>
        <v/>
      </c>
      <c r="U345" s="16" t="str">
        <f aca="false">IF($C345="","",IFERROR(INDEX(RateValues,MATCH(SUMPRODUCT(MAX((RateDates&lt;=$A345)*RateDates)),RateDates,0)),0))</f>
        <v/>
      </c>
      <c r="V345" s="17" t="str">
        <f aca="false">IF($C345="","",$F345*$U345)</f>
        <v/>
      </c>
      <c r="W345" s="18" t="n">
        <f aca="false">$A345-WEEKDAY($A345,2)+1</f>
        <v>46622</v>
      </c>
      <c r="X345" s="19" t="str">
        <f aca="false">IF(AND($C345="",T345=""),"",IF(AND(N($C345)&gt;0,N(T345)=0),"nobody marked present",IF(N($D345)&gt;N($C345),"more broken than moulded",IF(AND($C345="",N(T345)&gt;0),"attendance marked but no blocks entered",IF(AND(N($C345)&gt;0,N(U345)=0),"no pay rate for this date - see Settings",IF(SUMPRODUCT((H345:S345&lt;&gt;"")*(H$4:S$4=""))&gt;0,"attendance in an empty worker slot",""))))))</f>
        <v/>
      </c>
      <c r="Y345" s="20"/>
    </row>
    <row r="346" customFormat="false" ht="15" hidden="false" customHeight="false" outlineLevel="0" collapsed="false">
      <c r="A346" s="10" t="n">
        <v>46626</v>
      </c>
      <c r="B346" s="11" t="str">
        <f aca="false">CHOOSE(WEEKDAY($A346,2),"Mon","Tue","Wed","Thu","Fri","Sat","Sun")</f>
        <v>Fri</v>
      </c>
      <c r="C346" s="12"/>
      <c r="D346" s="12"/>
      <c r="E346" s="13" t="str">
        <f aca="false">IF($C346="","",$C346-N($D346))</f>
        <v/>
      </c>
      <c r="F346" s="13" t="str">
        <f aca="false">IF($C346="","",$C346-MAX(0,N($D346)-BreakAllow*$C346))</f>
        <v/>
      </c>
      <c r="G346" s="12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5" t="str">
        <f aca="false">IF(COUNT(H346:S346)=0,"",SUM(H346:S346))</f>
        <v/>
      </c>
      <c r="U346" s="16" t="str">
        <f aca="false">IF($C346="","",IFERROR(INDEX(RateValues,MATCH(SUMPRODUCT(MAX((RateDates&lt;=$A346)*RateDates)),RateDates,0)),0))</f>
        <v/>
      </c>
      <c r="V346" s="17" t="str">
        <f aca="false">IF($C346="","",$F346*$U346)</f>
        <v/>
      </c>
      <c r="W346" s="18" t="n">
        <f aca="false">$A346-WEEKDAY($A346,2)+1</f>
        <v>46622</v>
      </c>
      <c r="X346" s="19" t="str">
        <f aca="false">IF(AND($C346="",T346=""),"",IF(AND(N($C346)&gt;0,N(T346)=0),"nobody marked present",IF(N($D346)&gt;N($C346),"more broken than moulded",IF(AND($C346="",N(T346)&gt;0),"attendance marked but no blocks entered",IF(AND(N($C346)&gt;0,N(U346)=0),"no pay rate for this date - see Settings",IF(SUMPRODUCT((H346:S346&lt;&gt;"")*(H$4:S$4=""))&gt;0,"attendance in an empty worker slot",""))))))</f>
        <v/>
      </c>
      <c r="Y346" s="20"/>
    </row>
    <row r="347" customFormat="false" ht="15" hidden="false" customHeight="false" outlineLevel="0" collapsed="false">
      <c r="A347" s="10" t="n">
        <v>46627</v>
      </c>
      <c r="B347" s="11" t="str">
        <f aca="false">CHOOSE(WEEKDAY($A347,2),"Mon","Tue","Wed","Thu","Fri","Sat","Sun")</f>
        <v>Sat</v>
      </c>
      <c r="C347" s="12"/>
      <c r="D347" s="12"/>
      <c r="E347" s="13" t="str">
        <f aca="false">IF($C347="","",$C347-N($D347))</f>
        <v/>
      </c>
      <c r="F347" s="13" t="str">
        <f aca="false">IF($C347="","",$C347-MAX(0,N($D347)-BreakAllow*$C347))</f>
        <v/>
      </c>
      <c r="G347" s="12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5" t="str">
        <f aca="false">IF(COUNT(H347:S347)=0,"",SUM(H347:S347))</f>
        <v/>
      </c>
      <c r="U347" s="16" t="str">
        <f aca="false">IF($C347="","",IFERROR(INDEX(RateValues,MATCH(SUMPRODUCT(MAX((RateDates&lt;=$A347)*RateDates)),RateDates,0)),0))</f>
        <v/>
      </c>
      <c r="V347" s="17" t="str">
        <f aca="false">IF($C347="","",$F347*$U347)</f>
        <v/>
      </c>
      <c r="W347" s="18" t="n">
        <f aca="false">$A347-WEEKDAY($A347,2)+1</f>
        <v>46622</v>
      </c>
      <c r="X347" s="19" t="str">
        <f aca="false">IF(AND($C347="",T347=""),"",IF(AND(N($C347)&gt;0,N(T347)=0),"nobody marked present",IF(N($D347)&gt;N($C347),"more broken than moulded",IF(AND($C347="",N(T347)&gt;0),"attendance marked but no blocks entered",IF(AND(N($C347)&gt;0,N(U347)=0),"no pay rate for this date - see Settings",IF(SUMPRODUCT((H347:S347&lt;&gt;"")*(H$4:S$4=""))&gt;0,"attendance in an empty worker slot",""))))))</f>
        <v/>
      </c>
      <c r="Y347" s="20"/>
    </row>
    <row r="348" customFormat="false" ht="15" hidden="false" customHeight="false" outlineLevel="0" collapsed="false">
      <c r="A348" s="21" t="n">
        <v>46628</v>
      </c>
      <c r="B348" s="22" t="str">
        <f aca="false">CHOOSE(WEEKDAY($A348,2),"Mon","Tue","Wed","Thu","Fri","Sat","Sun")</f>
        <v>Sun</v>
      </c>
      <c r="C348" s="12"/>
      <c r="D348" s="12"/>
      <c r="E348" s="13" t="str">
        <f aca="false">IF($C348="","",$C348-N($D348))</f>
        <v/>
      </c>
      <c r="F348" s="13" t="str">
        <f aca="false">IF($C348="","",$C348-MAX(0,N($D348)-BreakAllow*$C348))</f>
        <v/>
      </c>
      <c r="G348" s="12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5" t="str">
        <f aca="false">IF(COUNT(H348:S348)=0,"",SUM(H348:S348))</f>
        <v/>
      </c>
      <c r="U348" s="16" t="str">
        <f aca="false">IF($C348="","",IFERROR(INDEX(RateValues,MATCH(SUMPRODUCT(MAX((RateDates&lt;=$A348)*RateDates)),RateDates,0)),0))</f>
        <v/>
      </c>
      <c r="V348" s="17" t="str">
        <f aca="false">IF($C348="","",$F348*$U348)</f>
        <v/>
      </c>
      <c r="W348" s="18" t="n">
        <f aca="false">$A348-WEEKDAY($A348,2)+1</f>
        <v>46622</v>
      </c>
      <c r="X348" s="19" t="str">
        <f aca="false">IF(AND($C348="",T348=""),"",IF(AND(N($C348)&gt;0,N(T348)=0),"nobody marked present",IF(N($D348)&gt;N($C348),"more broken than moulded",IF(AND($C348="",N(T348)&gt;0),"attendance marked but no blocks entered",IF(AND(N($C348)&gt;0,N(U348)=0),"no pay rate for this date - see Settings",IF(SUMPRODUCT((H348:S348&lt;&gt;"")*(H$4:S$4=""))&gt;0,"attendance in an empty worker slot",""))))))</f>
        <v/>
      </c>
      <c r="Y348" s="20"/>
    </row>
    <row r="349" customFormat="false" ht="15" hidden="false" customHeight="false" outlineLevel="0" collapsed="false">
      <c r="A349" s="10" t="n">
        <v>46629</v>
      </c>
      <c r="B349" s="11" t="str">
        <f aca="false">CHOOSE(WEEKDAY($A349,2),"Mon","Tue","Wed","Thu","Fri","Sat","Sun")</f>
        <v>Mon</v>
      </c>
      <c r="C349" s="12"/>
      <c r="D349" s="12"/>
      <c r="E349" s="13" t="str">
        <f aca="false">IF($C349="","",$C349-N($D349))</f>
        <v/>
      </c>
      <c r="F349" s="13" t="str">
        <f aca="false">IF($C349="","",$C349-MAX(0,N($D349)-BreakAllow*$C349))</f>
        <v/>
      </c>
      <c r="G349" s="12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5" t="str">
        <f aca="false">IF(COUNT(H349:S349)=0,"",SUM(H349:S349))</f>
        <v/>
      </c>
      <c r="U349" s="16" t="str">
        <f aca="false">IF($C349="","",IFERROR(INDEX(RateValues,MATCH(SUMPRODUCT(MAX((RateDates&lt;=$A349)*RateDates)),RateDates,0)),0))</f>
        <v/>
      </c>
      <c r="V349" s="17" t="str">
        <f aca="false">IF($C349="","",$F349*$U349)</f>
        <v/>
      </c>
      <c r="W349" s="18" t="n">
        <f aca="false">$A349-WEEKDAY($A349,2)+1</f>
        <v>46629</v>
      </c>
      <c r="X349" s="19" t="str">
        <f aca="false">IF(AND($C349="",T349=""),"",IF(AND(N($C349)&gt;0,N(T349)=0),"nobody marked present",IF(N($D349)&gt;N($C349),"more broken than moulded",IF(AND($C349="",N(T349)&gt;0),"attendance marked but no blocks entered",IF(AND(N($C349)&gt;0,N(U349)=0),"no pay rate for this date - see Settings",IF(SUMPRODUCT((H349:S349&lt;&gt;"")*(H$4:S$4=""))&gt;0,"attendance in an empty worker slot",""))))))</f>
        <v/>
      </c>
      <c r="Y349" s="20"/>
    </row>
    <row r="350" customFormat="false" ht="15" hidden="false" customHeight="false" outlineLevel="0" collapsed="false">
      <c r="A350" s="10" t="n">
        <v>46630</v>
      </c>
      <c r="B350" s="11" t="str">
        <f aca="false">CHOOSE(WEEKDAY($A350,2),"Mon","Tue","Wed","Thu","Fri","Sat","Sun")</f>
        <v>Tue</v>
      </c>
      <c r="C350" s="12"/>
      <c r="D350" s="12"/>
      <c r="E350" s="13" t="str">
        <f aca="false">IF($C350="","",$C350-N($D350))</f>
        <v/>
      </c>
      <c r="F350" s="13" t="str">
        <f aca="false">IF($C350="","",$C350-MAX(0,N($D350)-BreakAllow*$C350))</f>
        <v/>
      </c>
      <c r="G350" s="12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5" t="str">
        <f aca="false">IF(COUNT(H350:S350)=0,"",SUM(H350:S350))</f>
        <v/>
      </c>
      <c r="U350" s="16" t="str">
        <f aca="false">IF($C350="","",IFERROR(INDEX(RateValues,MATCH(SUMPRODUCT(MAX((RateDates&lt;=$A350)*RateDates)),RateDates,0)),0))</f>
        <v/>
      </c>
      <c r="V350" s="17" t="str">
        <f aca="false">IF($C350="","",$F350*$U350)</f>
        <v/>
      </c>
      <c r="W350" s="18" t="n">
        <f aca="false">$A350-WEEKDAY($A350,2)+1</f>
        <v>46629</v>
      </c>
      <c r="X350" s="19" t="str">
        <f aca="false">IF(AND($C350="",T350=""),"",IF(AND(N($C350)&gt;0,N(T350)=0),"nobody marked present",IF(N($D350)&gt;N($C350),"more broken than moulded",IF(AND($C350="",N(T350)&gt;0),"attendance marked but no blocks entered",IF(AND(N($C350)&gt;0,N(U350)=0),"no pay rate for this date - see Settings",IF(SUMPRODUCT((H350:S350&lt;&gt;"")*(H$4:S$4=""))&gt;0,"attendance in an empty worker slot",""))))))</f>
        <v/>
      </c>
      <c r="Y350" s="20"/>
    </row>
    <row r="351" customFormat="false" ht="15" hidden="false" customHeight="false" outlineLevel="0" collapsed="false">
      <c r="A351" s="10" t="n">
        <v>46631</v>
      </c>
      <c r="B351" s="11" t="str">
        <f aca="false">CHOOSE(WEEKDAY($A351,2),"Mon","Tue","Wed","Thu","Fri","Sat","Sun")</f>
        <v>Wed</v>
      </c>
      <c r="C351" s="12"/>
      <c r="D351" s="12"/>
      <c r="E351" s="13" t="str">
        <f aca="false">IF($C351="","",$C351-N($D351))</f>
        <v/>
      </c>
      <c r="F351" s="13" t="str">
        <f aca="false">IF($C351="","",$C351-MAX(0,N($D351)-BreakAllow*$C351))</f>
        <v/>
      </c>
      <c r="G351" s="12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5" t="str">
        <f aca="false">IF(COUNT(H351:S351)=0,"",SUM(H351:S351))</f>
        <v/>
      </c>
      <c r="U351" s="16" t="str">
        <f aca="false">IF($C351="","",IFERROR(INDEX(RateValues,MATCH(SUMPRODUCT(MAX((RateDates&lt;=$A351)*RateDates)),RateDates,0)),0))</f>
        <v/>
      </c>
      <c r="V351" s="17" t="str">
        <f aca="false">IF($C351="","",$F351*$U351)</f>
        <v/>
      </c>
      <c r="W351" s="18" t="n">
        <f aca="false">$A351-WEEKDAY($A351,2)+1</f>
        <v>46629</v>
      </c>
      <c r="X351" s="19" t="str">
        <f aca="false">IF(AND($C351="",T351=""),"",IF(AND(N($C351)&gt;0,N(T351)=0),"nobody marked present",IF(N($D351)&gt;N($C351),"more broken than moulded",IF(AND($C351="",N(T351)&gt;0),"attendance marked but no blocks entered",IF(AND(N($C351)&gt;0,N(U351)=0),"no pay rate for this date - see Settings",IF(SUMPRODUCT((H351:S351&lt;&gt;"")*(H$4:S$4=""))&gt;0,"attendance in an empty worker slot",""))))))</f>
        <v/>
      </c>
      <c r="Y351" s="20"/>
    </row>
    <row r="352" customFormat="false" ht="15" hidden="false" customHeight="false" outlineLevel="0" collapsed="false">
      <c r="A352" s="10" t="n">
        <v>46632</v>
      </c>
      <c r="B352" s="11" t="str">
        <f aca="false">CHOOSE(WEEKDAY($A352,2),"Mon","Tue","Wed","Thu","Fri","Sat","Sun")</f>
        <v>Thu</v>
      </c>
      <c r="C352" s="12"/>
      <c r="D352" s="12"/>
      <c r="E352" s="13" t="str">
        <f aca="false">IF($C352="","",$C352-N($D352))</f>
        <v/>
      </c>
      <c r="F352" s="13" t="str">
        <f aca="false">IF($C352="","",$C352-MAX(0,N($D352)-BreakAllow*$C352))</f>
        <v/>
      </c>
      <c r="G352" s="12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5" t="str">
        <f aca="false">IF(COUNT(H352:S352)=0,"",SUM(H352:S352))</f>
        <v/>
      </c>
      <c r="U352" s="16" t="str">
        <f aca="false">IF($C352="","",IFERROR(INDEX(RateValues,MATCH(SUMPRODUCT(MAX((RateDates&lt;=$A352)*RateDates)),RateDates,0)),0))</f>
        <v/>
      </c>
      <c r="V352" s="17" t="str">
        <f aca="false">IF($C352="","",$F352*$U352)</f>
        <v/>
      </c>
      <c r="W352" s="18" t="n">
        <f aca="false">$A352-WEEKDAY($A352,2)+1</f>
        <v>46629</v>
      </c>
      <c r="X352" s="19" t="str">
        <f aca="false">IF(AND($C352="",T352=""),"",IF(AND(N($C352)&gt;0,N(T352)=0),"nobody marked present",IF(N($D352)&gt;N($C352),"more broken than moulded",IF(AND($C352="",N(T352)&gt;0),"attendance marked but no blocks entered",IF(AND(N($C352)&gt;0,N(U352)=0),"no pay rate for this date - see Settings",IF(SUMPRODUCT((H352:S352&lt;&gt;"")*(H$4:S$4=""))&gt;0,"attendance in an empty worker slot",""))))))</f>
        <v/>
      </c>
      <c r="Y352" s="20"/>
    </row>
    <row r="353" customFormat="false" ht="15" hidden="false" customHeight="false" outlineLevel="0" collapsed="false">
      <c r="A353" s="10" t="n">
        <v>46633</v>
      </c>
      <c r="B353" s="11" t="str">
        <f aca="false">CHOOSE(WEEKDAY($A353,2),"Mon","Tue","Wed","Thu","Fri","Sat","Sun")</f>
        <v>Fri</v>
      </c>
      <c r="C353" s="12"/>
      <c r="D353" s="12"/>
      <c r="E353" s="13" t="str">
        <f aca="false">IF($C353="","",$C353-N($D353))</f>
        <v/>
      </c>
      <c r="F353" s="13" t="str">
        <f aca="false">IF($C353="","",$C353-MAX(0,N($D353)-BreakAllow*$C353))</f>
        <v/>
      </c>
      <c r="G353" s="12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5" t="str">
        <f aca="false">IF(COUNT(H353:S353)=0,"",SUM(H353:S353))</f>
        <v/>
      </c>
      <c r="U353" s="16" t="str">
        <f aca="false">IF($C353="","",IFERROR(INDEX(RateValues,MATCH(SUMPRODUCT(MAX((RateDates&lt;=$A353)*RateDates)),RateDates,0)),0))</f>
        <v/>
      </c>
      <c r="V353" s="17" t="str">
        <f aca="false">IF($C353="","",$F353*$U353)</f>
        <v/>
      </c>
      <c r="W353" s="18" t="n">
        <f aca="false">$A353-WEEKDAY($A353,2)+1</f>
        <v>46629</v>
      </c>
      <c r="X353" s="19" t="str">
        <f aca="false">IF(AND($C353="",T353=""),"",IF(AND(N($C353)&gt;0,N(T353)=0),"nobody marked present",IF(N($D353)&gt;N($C353),"more broken than moulded",IF(AND($C353="",N(T353)&gt;0),"attendance marked but no blocks entered",IF(AND(N($C353)&gt;0,N(U353)=0),"no pay rate for this date - see Settings",IF(SUMPRODUCT((H353:S353&lt;&gt;"")*(H$4:S$4=""))&gt;0,"attendance in an empty worker slot",""))))))</f>
        <v/>
      </c>
      <c r="Y353" s="20"/>
    </row>
    <row r="354" customFormat="false" ht="15" hidden="false" customHeight="false" outlineLevel="0" collapsed="false">
      <c r="A354" s="10" t="n">
        <v>46634</v>
      </c>
      <c r="B354" s="11" t="str">
        <f aca="false">CHOOSE(WEEKDAY($A354,2),"Mon","Tue","Wed","Thu","Fri","Sat","Sun")</f>
        <v>Sat</v>
      </c>
      <c r="C354" s="12"/>
      <c r="D354" s="12"/>
      <c r="E354" s="13" t="str">
        <f aca="false">IF($C354="","",$C354-N($D354))</f>
        <v/>
      </c>
      <c r="F354" s="13" t="str">
        <f aca="false">IF($C354="","",$C354-MAX(0,N($D354)-BreakAllow*$C354))</f>
        <v/>
      </c>
      <c r="G354" s="12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5" t="str">
        <f aca="false">IF(COUNT(H354:S354)=0,"",SUM(H354:S354))</f>
        <v/>
      </c>
      <c r="U354" s="16" t="str">
        <f aca="false">IF($C354="","",IFERROR(INDEX(RateValues,MATCH(SUMPRODUCT(MAX((RateDates&lt;=$A354)*RateDates)),RateDates,0)),0))</f>
        <v/>
      </c>
      <c r="V354" s="17" t="str">
        <f aca="false">IF($C354="","",$F354*$U354)</f>
        <v/>
      </c>
      <c r="W354" s="18" t="n">
        <f aca="false">$A354-WEEKDAY($A354,2)+1</f>
        <v>46629</v>
      </c>
      <c r="X354" s="19" t="str">
        <f aca="false">IF(AND($C354="",T354=""),"",IF(AND(N($C354)&gt;0,N(T354)=0),"nobody marked present",IF(N($D354)&gt;N($C354),"more broken than moulded",IF(AND($C354="",N(T354)&gt;0),"attendance marked but no blocks entered",IF(AND(N($C354)&gt;0,N(U354)=0),"no pay rate for this date - see Settings",IF(SUMPRODUCT((H354:S354&lt;&gt;"")*(H$4:S$4=""))&gt;0,"attendance in an empty worker slot",""))))))</f>
        <v/>
      </c>
      <c r="Y354" s="20"/>
    </row>
    <row r="355" customFormat="false" ht="15" hidden="false" customHeight="false" outlineLevel="0" collapsed="false">
      <c r="A355" s="21" t="n">
        <v>46635</v>
      </c>
      <c r="B355" s="22" t="str">
        <f aca="false">CHOOSE(WEEKDAY($A355,2),"Mon","Tue","Wed","Thu","Fri","Sat","Sun")</f>
        <v>Sun</v>
      </c>
      <c r="C355" s="12"/>
      <c r="D355" s="12"/>
      <c r="E355" s="13" t="str">
        <f aca="false">IF($C355="","",$C355-N($D355))</f>
        <v/>
      </c>
      <c r="F355" s="13" t="str">
        <f aca="false">IF($C355="","",$C355-MAX(0,N($D355)-BreakAllow*$C355))</f>
        <v/>
      </c>
      <c r="G355" s="12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5" t="str">
        <f aca="false">IF(COUNT(H355:S355)=0,"",SUM(H355:S355))</f>
        <v/>
      </c>
      <c r="U355" s="16" t="str">
        <f aca="false">IF($C355="","",IFERROR(INDEX(RateValues,MATCH(SUMPRODUCT(MAX((RateDates&lt;=$A355)*RateDates)),RateDates,0)),0))</f>
        <v/>
      </c>
      <c r="V355" s="17" t="str">
        <f aca="false">IF($C355="","",$F355*$U355)</f>
        <v/>
      </c>
      <c r="W355" s="18" t="n">
        <f aca="false">$A355-WEEKDAY($A355,2)+1</f>
        <v>46629</v>
      </c>
      <c r="X355" s="19" t="str">
        <f aca="false">IF(AND($C355="",T355=""),"",IF(AND(N($C355)&gt;0,N(T355)=0),"nobody marked present",IF(N($D355)&gt;N($C355),"more broken than moulded",IF(AND($C355="",N(T355)&gt;0),"attendance marked but no blocks entered",IF(AND(N($C355)&gt;0,N(U355)=0),"no pay rate for this date - see Settings",IF(SUMPRODUCT((H355:S355&lt;&gt;"")*(H$4:S$4=""))&gt;0,"attendance in an empty worker slot",""))))))</f>
        <v/>
      </c>
      <c r="Y355" s="20"/>
    </row>
    <row r="356" customFormat="false" ht="15" hidden="false" customHeight="false" outlineLevel="0" collapsed="false">
      <c r="A356" s="10" t="n">
        <v>46636</v>
      </c>
      <c r="B356" s="11" t="str">
        <f aca="false">CHOOSE(WEEKDAY($A356,2),"Mon","Tue","Wed","Thu","Fri","Sat","Sun")</f>
        <v>Mon</v>
      </c>
      <c r="C356" s="12"/>
      <c r="D356" s="12"/>
      <c r="E356" s="13" t="str">
        <f aca="false">IF($C356="","",$C356-N($D356))</f>
        <v/>
      </c>
      <c r="F356" s="13" t="str">
        <f aca="false">IF($C356="","",$C356-MAX(0,N($D356)-BreakAllow*$C356))</f>
        <v/>
      </c>
      <c r="G356" s="12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5" t="str">
        <f aca="false">IF(COUNT(H356:S356)=0,"",SUM(H356:S356))</f>
        <v/>
      </c>
      <c r="U356" s="16" t="str">
        <f aca="false">IF($C356="","",IFERROR(INDEX(RateValues,MATCH(SUMPRODUCT(MAX((RateDates&lt;=$A356)*RateDates)),RateDates,0)),0))</f>
        <v/>
      </c>
      <c r="V356" s="17" t="str">
        <f aca="false">IF($C356="","",$F356*$U356)</f>
        <v/>
      </c>
      <c r="W356" s="18" t="n">
        <f aca="false">$A356-WEEKDAY($A356,2)+1</f>
        <v>46636</v>
      </c>
      <c r="X356" s="19" t="str">
        <f aca="false">IF(AND($C356="",T356=""),"",IF(AND(N($C356)&gt;0,N(T356)=0),"nobody marked present",IF(N($D356)&gt;N($C356),"more broken than moulded",IF(AND($C356="",N(T356)&gt;0),"attendance marked but no blocks entered",IF(AND(N($C356)&gt;0,N(U356)=0),"no pay rate for this date - see Settings",IF(SUMPRODUCT((H356:S356&lt;&gt;"")*(H$4:S$4=""))&gt;0,"attendance in an empty worker slot",""))))))</f>
        <v/>
      </c>
      <c r="Y356" s="20"/>
    </row>
    <row r="357" customFormat="false" ht="15" hidden="false" customHeight="false" outlineLevel="0" collapsed="false">
      <c r="A357" s="10" t="n">
        <v>46637</v>
      </c>
      <c r="B357" s="11" t="str">
        <f aca="false">CHOOSE(WEEKDAY($A357,2),"Mon","Tue","Wed","Thu","Fri","Sat","Sun")</f>
        <v>Tue</v>
      </c>
      <c r="C357" s="12"/>
      <c r="D357" s="12"/>
      <c r="E357" s="13" t="str">
        <f aca="false">IF($C357="","",$C357-N($D357))</f>
        <v/>
      </c>
      <c r="F357" s="13" t="str">
        <f aca="false">IF($C357="","",$C357-MAX(0,N($D357)-BreakAllow*$C357))</f>
        <v/>
      </c>
      <c r="G357" s="12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5" t="str">
        <f aca="false">IF(COUNT(H357:S357)=0,"",SUM(H357:S357))</f>
        <v/>
      </c>
      <c r="U357" s="16" t="str">
        <f aca="false">IF($C357="","",IFERROR(INDEX(RateValues,MATCH(SUMPRODUCT(MAX((RateDates&lt;=$A357)*RateDates)),RateDates,0)),0))</f>
        <v/>
      </c>
      <c r="V357" s="17" t="str">
        <f aca="false">IF($C357="","",$F357*$U357)</f>
        <v/>
      </c>
      <c r="W357" s="18" t="n">
        <f aca="false">$A357-WEEKDAY($A357,2)+1</f>
        <v>46636</v>
      </c>
      <c r="X357" s="19" t="str">
        <f aca="false">IF(AND($C357="",T357=""),"",IF(AND(N($C357)&gt;0,N(T357)=0),"nobody marked present",IF(N($D357)&gt;N($C357),"more broken than moulded",IF(AND($C357="",N(T357)&gt;0),"attendance marked but no blocks entered",IF(AND(N($C357)&gt;0,N(U357)=0),"no pay rate for this date - see Settings",IF(SUMPRODUCT((H357:S357&lt;&gt;"")*(H$4:S$4=""))&gt;0,"attendance in an empty worker slot",""))))))</f>
        <v/>
      </c>
      <c r="Y357" s="20"/>
    </row>
    <row r="358" customFormat="false" ht="15" hidden="false" customHeight="false" outlineLevel="0" collapsed="false">
      <c r="A358" s="10" t="n">
        <v>46638</v>
      </c>
      <c r="B358" s="11" t="str">
        <f aca="false">CHOOSE(WEEKDAY($A358,2),"Mon","Tue","Wed","Thu","Fri","Sat","Sun")</f>
        <v>Wed</v>
      </c>
      <c r="C358" s="12"/>
      <c r="D358" s="12"/>
      <c r="E358" s="13" t="str">
        <f aca="false">IF($C358="","",$C358-N($D358))</f>
        <v/>
      </c>
      <c r="F358" s="13" t="str">
        <f aca="false">IF($C358="","",$C358-MAX(0,N($D358)-BreakAllow*$C358))</f>
        <v/>
      </c>
      <c r="G358" s="12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5" t="str">
        <f aca="false">IF(COUNT(H358:S358)=0,"",SUM(H358:S358))</f>
        <v/>
      </c>
      <c r="U358" s="16" t="str">
        <f aca="false">IF($C358="","",IFERROR(INDEX(RateValues,MATCH(SUMPRODUCT(MAX((RateDates&lt;=$A358)*RateDates)),RateDates,0)),0))</f>
        <v/>
      </c>
      <c r="V358" s="17" t="str">
        <f aca="false">IF($C358="","",$F358*$U358)</f>
        <v/>
      </c>
      <c r="W358" s="18" t="n">
        <f aca="false">$A358-WEEKDAY($A358,2)+1</f>
        <v>46636</v>
      </c>
      <c r="X358" s="19" t="str">
        <f aca="false">IF(AND($C358="",T358=""),"",IF(AND(N($C358)&gt;0,N(T358)=0),"nobody marked present",IF(N($D358)&gt;N($C358),"more broken than moulded",IF(AND($C358="",N(T358)&gt;0),"attendance marked but no blocks entered",IF(AND(N($C358)&gt;0,N(U358)=0),"no pay rate for this date - see Settings",IF(SUMPRODUCT((H358:S358&lt;&gt;"")*(H$4:S$4=""))&gt;0,"attendance in an empty worker slot",""))))))</f>
        <v/>
      </c>
      <c r="Y358" s="20"/>
    </row>
    <row r="359" customFormat="false" ht="15" hidden="false" customHeight="false" outlineLevel="0" collapsed="false">
      <c r="A359" s="10" t="n">
        <v>46639</v>
      </c>
      <c r="B359" s="11" t="str">
        <f aca="false">CHOOSE(WEEKDAY($A359,2),"Mon","Tue","Wed","Thu","Fri","Sat","Sun")</f>
        <v>Thu</v>
      </c>
      <c r="C359" s="12"/>
      <c r="D359" s="12"/>
      <c r="E359" s="13" t="str">
        <f aca="false">IF($C359="","",$C359-N($D359))</f>
        <v/>
      </c>
      <c r="F359" s="13" t="str">
        <f aca="false">IF($C359="","",$C359-MAX(0,N($D359)-BreakAllow*$C359))</f>
        <v/>
      </c>
      <c r="G359" s="12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5" t="str">
        <f aca="false">IF(COUNT(H359:S359)=0,"",SUM(H359:S359))</f>
        <v/>
      </c>
      <c r="U359" s="16" t="str">
        <f aca="false">IF($C359="","",IFERROR(INDEX(RateValues,MATCH(SUMPRODUCT(MAX((RateDates&lt;=$A359)*RateDates)),RateDates,0)),0))</f>
        <v/>
      </c>
      <c r="V359" s="17" t="str">
        <f aca="false">IF($C359="","",$F359*$U359)</f>
        <v/>
      </c>
      <c r="W359" s="18" t="n">
        <f aca="false">$A359-WEEKDAY($A359,2)+1</f>
        <v>46636</v>
      </c>
      <c r="X359" s="19" t="str">
        <f aca="false">IF(AND($C359="",T359=""),"",IF(AND(N($C359)&gt;0,N(T359)=0),"nobody marked present",IF(N($D359)&gt;N($C359),"more broken than moulded",IF(AND($C359="",N(T359)&gt;0),"attendance marked but no blocks entered",IF(AND(N($C359)&gt;0,N(U359)=0),"no pay rate for this date - see Settings",IF(SUMPRODUCT((H359:S359&lt;&gt;"")*(H$4:S$4=""))&gt;0,"attendance in an empty worker slot",""))))))</f>
        <v/>
      </c>
      <c r="Y359" s="20"/>
    </row>
    <row r="360" customFormat="false" ht="15" hidden="false" customHeight="false" outlineLevel="0" collapsed="false">
      <c r="A360" s="10" t="n">
        <v>46640</v>
      </c>
      <c r="B360" s="11" t="str">
        <f aca="false">CHOOSE(WEEKDAY($A360,2),"Mon","Tue","Wed","Thu","Fri","Sat","Sun")</f>
        <v>Fri</v>
      </c>
      <c r="C360" s="12"/>
      <c r="D360" s="12"/>
      <c r="E360" s="13" t="str">
        <f aca="false">IF($C360="","",$C360-N($D360))</f>
        <v/>
      </c>
      <c r="F360" s="13" t="str">
        <f aca="false">IF($C360="","",$C360-MAX(0,N($D360)-BreakAllow*$C360))</f>
        <v/>
      </c>
      <c r="G360" s="12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5" t="str">
        <f aca="false">IF(COUNT(H360:S360)=0,"",SUM(H360:S360))</f>
        <v/>
      </c>
      <c r="U360" s="16" t="str">
        <f aca="false">IF($C360="","",IFERROR(INDEX(RateValues,MATCH(SUMPRODUCT(MAX((RateDates&lt;=$A360)*RateDates)),RateDates,0)),0))</f>
        <v/>
      </c>
      <c r="V360" s="17" t="str">
        <f aca="false">IF($C360="","",$F360*$U360)</f>
        <v/>
      </c>
      <c r="W360" s="18" t="n">
        <f aca="false">$A360-WEEKDAY($A360,2)+1</f>
        <v>46636</v>
      </c>
      <c r="X360" s="19" t="str">
        <f aca="false">IF(AND($C360="",T360=""),"",IF(AND(N($C360)&gt;0,N(T360)=0),"nobody marked present",IF(N($D360)&gt;N($C360),"more broken than moulded",IF(AND($C360="",N(T360)&gt;0),"attendance marked but no blocks entered",IF(AND(N($C360)&gt;0,N(U360)=0),"no pay rate for this date - see Settings",IF(SUMPRODUCT((H360:S360&lt;&gt;"")*(H$4:S$4=""))&gt;0,"attendance in an empty worker slot",""))))))</f>
        <v/>
      </c>
      <c r="Y360" s="20"/>
    </row>
    <row r="361" customFormat="false" ht="15" hidden="false" customHeight="false" outlineLevel="0" collapsed="false">
      <c r="A361" s="10" t="n">
        <v>46641</v>
      </c>
      <c r="B361" s="11" t="str">
        <f aca="false">CHOOSE(WEEKDAY($A361,2),"Mon","Tue","Wed","Thu","Fri","Sat","Sun")</f>
        <v>Sat</v>
      </c>
      <c r="C361" s="12"/>
      <c r="D361" s="12"/>
      <c r="E361" s="13" t="str">
        <f aca="false">IF($C361="","",$C361-N($D361))</f>
        <v/>
      </c>
      <c r="F361" s="13" t="str">
        <f aca="false">IF($C361="","",$C361-MAX(0,N($D361)-BreakAllow*$C361))</f>
        <v/>
      </c>
      <c r="G361" s="12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5" t="str">
        <f aca="false">IF(COUNT(H361:S361)=0,"",SUM(H361:S361))</f>
        <v/>
      </c>
      <c r="U361" s="16" t="str">
        <f aca="false">IF($C361="","",IFERROR(INDEX(RateValues,MATCH(SUMPRODUCT(MAX((RateDates&lt;=$A361)*RateDates)),RateDates,0)),0))</f>
        <v/>
      </c>
      <c r="V361" s="17" t="str">
        <f aca="false">IF($C361="","",$F361*$U361)</f>
        <v/>
      </c>
      <c r="W361" s="18" t="n">
        <f aca="false">$A361-WEEKDAY($A361,2)+1</f>
        <v>46636</v>
      </c>
      <c r="X361" s="19" t="str">
        <f aca="false">IF(AND($C361="",T361=""),"",IF(AND(N($C361)&gt;0,N(T361)=0),"nobody marked present",IF(N($D361)&gt;N($C361),"more broken than moulded",IF(AND($C361="",N(T361)&gt;0),"attendance marked but no blocks entered",IF(AND(N($C361)&gt;0,N(U361)=0),"no pay rate for this date - see Settings",IF(SUMPRODUCT((H361:S361&lt;&gt;"")*(H$4:S$4=""))&gt;0,"attendance in an empty worker slot",""))))))</f>
        <v/>
      </c>
      <c r="Y361" s="20"/>
    </row>
    <row r="362" customFormat="false" ht="15" hidden="false" customHeight="false" outlineLevel="0" collapsed="false">
      <c r="A362" s="21" t="n">
        <v>46642</v>
      </c>
      <c r="B362" s="22" t="str">
        <f aca="false">CHOOSE(WEEKDAY($A362,2),"Mon","Tue","Wed","Thu","Fri","Sat","Sun")</f>
        <v>Sun</v>
      </c>
      <c r="C362" s="12"/>
      <c r="D362" s="12"/>
      <c r="E362" s="13" t="str">
        <f aca="false">IF($C362="","",$C362-N($D362))</f>
        <v/>
      </c>
      <c r="F362" s="13" t="str">
        <f aca="false">IF($C362="","",$C362-MAX(0,N($D362)-BreakAllow*$C362))</f>
        <v/>
      </c>
      <c r="G362" s="12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5" t="str">
        <f aca="false">IF(COUNT(H362:S362)=0,"",SUM(H362:S362))</f>
        <v/>
      </c>
      <c r="U362" s="16" t="str">
        <f aca="false">IF($C362="","",IFERROR(INDEX(RateValues,MATCH(SUMPRODUCT(MAX((RateDates&lt;=$A362)*RateDates)),RateDates,0)),0))</f>
        <v/>
      </c>
      <c r="V362" s="17" t="str">
        <f aca="false">IF($C362="","",$F362*$U362)</f>
        <v/>
      </c>
      <c r="W362" s="18" t="n">
        <f aca="false">$A362-WEEKDAY($A362,2)+1</f>
        <v>46636</v>
      </c>
      <c r="X362" s="19" t="str">
        <f aca="false">IF(AND($C362="",T362=""),"",IF(AND(N($C362)&gt;0,N(T362)=0),"nobody marked present",IF(N($D362)&gt;N($C362),"more broken than moulded",IF(AND($C362="",N(T362)&gt;0),"attendance marked but no blocks entered",IF(AND(N($C362)&gt;0,N(U362)=0),"no pay rate for this date - see Settings",IF(SUMPRODUCT((H362:S362&lt;&gt;"")*(H$4:S$4=""))&gt;0,"attendance in an empty worker slot",""))))))</f>
        <v/>
      </c>
      <c r="Y362" s="20"/>
    </row>
    <row r="363" customFormat="false" ht="15" hidden="false" customHeight="false" outlineLevel="0" collapsed="false">
      <c r="A363" s="10" t="n">
        <v>46643</v>
      </c>
      <c r="B363" s="11" t="str">
        <f aca="false">CHOOSE(WEEKDAY($A363,2),"Mon","Tue","Wed","Thu","Fri","Sat","Sun")</f>
        <v>Mon</v>
      </c>
      <c r="C363" s="12"/>
      <c r="D363" s="12"/>
      <c r="E363" s="13" t="str">
        <f aca="false">IF($C363="","",$C363-N($D363))</f>
        <v/>
      </c>
      <c r="F363" s="13" t="str">
        <f aca="false">IF($C363="","",$C363-MAX(0,N($D363)-BreakAllow*$C363))</f>
        <v/>
      </c>
      <c r="G363" s="12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5" t="str">
        <f aca="false">IF(COUNT(H363:S363)=0,"",SUM(H363:S363))</f>
        <v/>
      </c>
      <c r="U363" s="16" t="str">
        <f aca="false">IF($C363="","",IFERROR(INDEX(RateValues,MATCH(SUMPRODUCT(MAX((RateDates&lt;=$A363)*RateDates)),RateDates,0)),0))</f>
        <v/>
      </c>
      <c r="V363" s="17" t="str">
        <f aca="false">IF($C363="","",$F363*$U363)</f>
        <v/>
      </c>
      <c r="W363" s="18" t="n">
        <f aca="false">$A363-WEEKDAY($A363,2)+1</f>
        <v>46643</v>
      </c>
      <c r="X363" s="19" t="str">
        <f aca="false">IF(AND($C363="",T363=""),"",IF(AND(N($C363)&gt;0,N(T363)=0),"nobody marked present",IF(N($D363)&gt;N($C363),"more broken than moulded",IF(AND($C363="",N(T363)&gt;0),"attendance marked but no blocks entered",IF(AND(N($C363)&gt;0,N(U363)=0),"no pay rate for this date - see Settings",IF(SUMPRODUCT((H363:S363&lt;&gt;"")*(H$4:S$4=""))&gt;0,"attendance in an empty worker slot",""))))))</f>
        <v/>
      </c>
      <c r="Y363" s="20"/>
    </row>
    <row r="364" customFormat="false" ht="15" hidden="false" customHeight="false" outlineLevel="0" collapsed="false">
      <c r="A364" s="10" t="n">
        <v>46644</v>
      </c>
      <c r="B364" s="11" t="str">
        <f aca="false">CHOOSE(WEEKDAY($A364,2),"Mon","Tue","Wed","Thu","Fri","Sat","Sun")</f>
        <v>Tue</v>
      </c>
      <c r="C364" s="12"/>
      <c r="D364" s="12"/>
      <c r="E364" s="13" t="str">
        <f aca="false">IF($C364="","",$C364-N($D364))</f>
        <v/>
      </c>
      <c r="F364" s="13" t="str">
        <f aca="false">IF($C364="","",$C364-MAX(0,N($D364)-BreakAllow*$C364))</f>
        <v/>
      </c>
      <c r="G364" s="12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5" t="str">
        <f aca="false">IF(COUNT(H364:S364)=0,"",SUM(H364:S364))</f>
        <v/>
      </c>
      <c r="U364" s="16" t="str">
        <f aca="false">IF($C364="","",IFERROR(INDEX(RateValues,MATCH(SUMPRODUCT(MAX((RateDates&lt;=$A364)*RateDates)),RateDates,0)),0))</f>
        <v/>
      </c>
      <c r="V364" s="17" t="str">
        <f aca="false">IF($C364="","",$F364*$U364)</f>
        <v/>
      </c>
      <c r="W364" s="18" t="n">
        <f aca="false">$A364-WEEKDAY($A364,2)+1</f>
        <v>46643</v>
      </c>
      <c r="X364" s="19" t="str">
        <f aca="false">IF(AND($C364="",T364=""),"",IF(AND(N($C364)&gt;0,N(T364)=0),"nobody marked present",IF(N($D364)&gt;N($C364),"more broken than moulded",IF(AND($C364="",N(T364)&gt;0),"attendance marked but no blocks entered",IF(AND(N($C364)&gt;0,N(U364)=0),"no pay rate for this date - see Settings",IF(SUMPRODUCT((H364:S364&lt;&gt;"")*(H$4:S$4=""))&gt;0,"attendance in an empty worker slot",""))))))</f>
        <v/>
      </c>
      <c r="Y364" s="20"/>
    </row>
    <row r="365" customFormat="false" ht="15" hidden="false" customHeight="false" outlineLevel="0" collapsed="false">
      <c r="A365" s="10" t="n">
        <v>46645</v>
      </c>
      <c r="B365" s="11" t="str">
        <f aca="false">CHOOSE(WEEKDAY($A365,2),"Mon","Tue","Wed","Thu","Fri","Sat","Sun")</f>
        <v>Wed</v>
      </c>
      <c r="C365" s="12"/>
      <c r="D365" s="12"/>
      <c r="E365" s="13" t="str">
        <f aca="false">IF($C365="","",$C365-N($D365))</f>
        <v/>
      </c>
      <c r="F365" s="13" t="str">
        <f aca="false">IF($C365="","",$C365-MAX(0,N($D365)-BreakAllow*$C365))</f>
        <v/>
      </c>
      <c r="G365" s="12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5" t="str">
        <f aca="false">IF(COUNT(H365:S365)=0,"",SUM(H365:S365))</f>
        <v/>
      </c>
      <c r="U365" s="16" t="str">
        <f aca="false">IF($C365="","",IFERROR(INDEX(RateValues,MATCH(SUMPRODUCT(MAX((RateDates&lt;=$A365)*RateDates)),RateDates,0)),0))</f>
        <v/>
      </c>
      <c r="V365" s="17" t="str">
        <f aca="false">IF($C365="","",$F365*$U365)</f>
        <v/>
      </c>
      <c r="W365" s="18" t="n">
        <f aca="false">$A365-WEEKDAY($A365,2)+1</f>
        <v>46643</v>
      </c>
      <c r="X365" s="19" t="str">
        <f aca="false">IF(AND($C365="",T365=""),"",IF(AND(N($C365)&gt;0,N(T365)=0),"nobody marked present",IF(N($D365)&gt;N($C365),"more broken than moulded",IF(AND($C365="",N(T365)&gt;0),"attendance marked but no blocks entered",IF(AND(N($C365)&gt;0,N(U365)=0),"no pay rate for this date - see Settings",IF(SUMPRODUCT((H365:S365&lt;&gt;"")*(H$4:S$4=""))&gt;0,"attendance in an empty worker slot",""))))))</f>
        <v/>
      </c>
      <c r="Y365" s="20"/>
    </row>
    <row r="366" customFormat="false" ht="15" hidden="false" customHeight="false" outlineLevel="0" collapsed="false">
      <c r="A366" s="10" t="n">
        <v>46646</v>
      </c>
      <c r="B366" s="11" t="str">
        <f aca="false">CHOOSE(WEEKDAY($A366,2),"Mon","Tue","Wed","Thu","Fri","Sat","Sun")</f>
        <v>Thu</v>
      </c>
      <c r="C366" s="12"/>
      <c r="D366" s="12"/>
      <c r="E366" s="13" t="str">
        <f aca="false">IF($C366="","",$C366-N($D366))</f>
        <v/>
      </c>
      <c r="F366" s="13" t="str">
        <f aca="false">IF($C366="","",$C366-MAX(0,N($D366)-BreakAllow*$C366))</f>
        <v/>
      </c>
      <c r="G366" s="12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5" t="str">
        <f aca="false">IF(COUNT(H366:S366)=0,"",SUM(H366:S366))</f>
        <v/>
      </c>
      <c r="U366" s="16" t="str">
        <f aca="false">IF($C366="","",IFERROR(INDEX(RateValues,MATCH(SUMPRODUCT(MAX((RateDates&lt;=$A366)*RateDates)),RateDates,0)),0))</f>
        <v/>
      </c>
      <c r="V366" s="17" t="str">
        <f aca="false">IF($C366="","",$F366*$U366)</f>
        <v/>
      </c>
      <c r="W366" s="18" t="n">
        <f aca="false">$A366-WEEKDAY($A366,2)+1</f>
        <v>46643</v>
      </c>
      <c r="X366" s="19" t="str">
        <f aca="false">IF(AND($C366="",T366=""),"",IF(AND(N($C366)&gt;0,N(T366)=0),"nobody marked present",IF(N($D366)&gt;N($C366),"more broken than moulded",IF(AND($C366="",N(T366)&gt;0),"attendance marked but no blocks entered",IF(AND(N($C366)&gt;0,N(U366)=0),"no pay rate for this date - see Settings",IF(SUMPRODUCT((H366:S366&lt;&gt;"")*(H$4:S$4=""))&gt;0,"attendance in an empty worker slot",""))))))</f>
        <v/>
      </c>
      <c r="Y366" s="20"/>
    </row>
    <row r="367" customFormat="false" ht="15" hidden="false" customHeight="false" outlineLevel="0" collapsed="false">
      <c r="A367" s="10" t="n">
        <v>46647</v>
      </c>
      <c r="B367" s="11" t="str">
        <f aca="false">CHOOSE(WEEKDAY($A367,2),"Mon","Tue","Wed","Thu","Fri","Sat","Sun")</f>
        <v>Fri</v>
      </c>
      <c r="C367" s="12"/>
      <c r="D367" s="12"/>
      <c r="E367" s="13" t="str">
        <f aca="false">IF($C367="","",$C367-N($D367))</f>
        <v/>
      </c>
      <c r="F367" s="13" t="str">
        <f aca="false">IF($C367="","",$C367-MAX(0,N($D367)-BreakAllow*$C367))</f>
        <v/>
      </c>
      <c r="G367" s="12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5" t="str">
        <f aca="false">IF(COUNT(H367:S367)=0,"",SUM(H367:S367))</f>
        <v/>
      </c>
      <c r="U367" s="16" t="str">
        <f aca="false">IF($C367="","",IFERROR(INDEX(RateValues,MATCH(SUMPRODUCT(MAX((RateDates&lt;=$A367)*RateDates)),RateDates,0)),0))</f>
        <v/>
      </c>
      <c r="V367" s="17" t="str">
        <f aca="false">IF($C367="","",$F367*$U367)</f>
        <v/>
      </c>
      <c r="W367" s="18" t="n">
        <f aca="false">$A367-WEEKDAY($A367,2)+1</f>
        <v>46643</v>
      </c>
      <c r="X367" s="19" t="str">
        <f aca="false">IF(AND($C367="",T367=""),"",IF(AND(N($C367)&gt;0,N(T367)=0),"nobody marked present",IF(N($D367)&gt;N($C367),"more broken than moulded",IF(AND($C367="",N(T367)&gt;0),"attendance marked but no blocks entered",IF(AND(N($C367)&gt;0,N(U367)=0),"no pay rate for this date - see Settings",IF(SUMPRODUCT((H367:S367&lt;&gt;"")*(H$4:S$4=""))&gt;0,"attendance in an empty worker slot",""))))))</f>
        <v/>
      </c>
      <c r="Y367" s="20"/>
    </row>
    <row r="368" customFormat="false" ht="15" hidden="false" customHeight="false" outlineLevel="0" collapsed="false">
      <c r="A368" s="10" t="n">
        <v>46648</v>
      </c>
      <c r="B368" s="11" t="str">
        <f aca="false">CHOOSE(WEEKDAY($A368,2),"Mon","Tue","Wed","Thu","Fri","Sat","Sun")</f>
        <v>Sat</v>
      </c>
      <c r="C368" s="12"/>
      <c r="D368" s="12"/>
      <c r="E368" s="13" t="str">
        <f aca="false">IF($C368="","",$C368-N($D368))</f>
        <v/>
      </c>
      <c r="F368" s="13" t="str">
        <f aca="false">IF($C368="","",$C368-MAX(0,N($D368)-BreakAllow*$C368))</f>
        <v/>
      </c>
      <c r="G368" s="12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5" t="str">
        <f aca="false">IF(COUNT(H368:S368)=0,"",SUM(H368:S368))</f>
        <v/>
      </c>
      <c r="U368" s="16" t="str">
        <f aca="false">IF($C368="","",IFERROR(INDEX(RateValues,MATCH(SUMPRODUCT(MAX((RateDates&lt;=$A368)*RateDates)),RateDates,0)),0))</f>
        <v/>
      </c>
      <c r="V368" s="17" t="str">
        <f aca="false">IF($C368="","",$F368*$U368)</f>
        <v/>
      </c>
      <c r="W368" s="18" t="n">
        <f aca="false">$A368-WEEKDAY($A368,2)+1</f>
        <v>46643</v>
      </c>
      <c r="X368" s="19" t="str">
        <f aca="false">IF(AND($C368="",T368=""),"",IF(AND(N($C368)&gt;0,N(T368)=0),"nobody marked present",IF(N($D368)&gt;N($C368),"more broken than moulded",IF(AND($C368="",N(T368)&gt;0),"attendance marked but no blocks entered",IF(AND(N($C368)&gt;0,N(U368)=0),"no pay rate for this date - see Settings",IF(SUMPRODUCT((H368:S368&lt;&gt;"")*(H$4:S$4=""))&gt;0,"attendance in an empty worker slot",""))))))</f>
        <v/>
      </c>
      <c r="Y368" s="20"/>
    </row>
    <row r="369" customFormat="false" ht="15" hidden="false" customHeight="false" outlineLevel="0" collapsed="false">
      <c r="A369" s="21" t="n">
        <v>46649</v>
      </c>
      <c r="B369" s="22" t="str">
        <f aca="false">CHOOSE(WEEKDAY($A369,2),"Mon","Tue","Wed","Thu","Fri","Sat","Sun")</f>
        <v>Sun</v>
      </c>
      <c r="C369" s="12"/>
      <c r="D369" s="12"/>
      <c r="E369" s="13" t="str">
        <f aca="false">IF($C369="","",$C369-N($D369))</f>
        <v/>
      </c>
      <c r="F369" s="13" t="str">
        <f aca="false">IF($C369="","",$C369-MAX(0,N($D369)-BreakAllow*$C369))</f>
        <v/>
      </c>
      <c r="G369" s="12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5" t="str">
        <f aca="false">IF(COUNT(H369:S369)=0,"",SUM(H369:S369))</f>
        <v/>
      </c>
      <c r="U369" s="16" t="str">
        <f aca="false">IF($C369="","",IFERROR(INDEX(RateValues,MATCH(SUMPRODUCT(MAX((RateDates&lt;=$A369)*RateDates)),RateDates,0)),0))</f>
        <v/>
      </c>
      <c r="V369" s="17" t="str">
        <f aca="false">IF($C369="","",$F369*$U369)</f>
        <v/>
      </c>
      <c r="W369" s="18" t="n">
        <f aca="false">$A369-WEEKDAY($A369,2)+1</f>
        <v>46643</v>
      </c>
      <c r="X369" s="19" t="str">
        <f aca="false">IF(AND($C369="",T369=""),"",IF(AND(N($C369)&gt;0,N(T369)=0),"nobody marked present",IF(N($D369)&gt;N($C369),"more broken than moulded",IF(AND($C369="",N(T369)&gt;0),"attendance marked but no blocks entered",IF(AND(N($C369)&gt;0,N(U369)=0),"no pay rate for this date - see Settings",IF(SUMPRODUCT((H369:S369&lt;&gt;"")*(H$4:S$4=""))&gt;0,"attendance in an empty worker slot",""))))))</f>
        <v/>
      </c>
      <c r="Y369" s="20"/>
    </row>
    <row r="370" customFormat="false" ht="15" hidden="false" customHeight="false" outlineLevel="0" collapsed="false">
      <c r="A370" s="10" t="n">
        <v>46650</v>
      </c>
      <c r="B370" s="11" t="str">
        <f aca="false">CHOOSE(WEEKDAY($A370,2),"Mon","Tue","Wed","Thu","Fri","Sat","Sun")</f>
        <v>Mon</v>
      </c>
      <c r="C370" s="12"/>
      <c r="D370" s="12"/>
      <c r="E370" s="13" t="str">
        <f aca="false">IF($C370="","",$C370-N($D370))</f>
        <v/>
      </c>
      <c r="F370" s="13" t="str">
        <f aca="false">IF($C370="","",$C370-MAX(0,N($D370)-BreakAllow*$C370))</f>
        <v/>
      </c>
      <c r="G370" s="12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5" t="str">
        <f aca="false">IF(COUNT(H370:S370)=0,"",SUM(H370:S370))</f>
        <v/>
      </c>
      <c r="U370" s="16" t="str">
        <f aca="false">IF($C370="","",IFERROR(INDEX(RateValues,MATCH(SUMPRODUCT(MAX((RateDates&lt;=$A370)*RateDates)),RateDates,0)),0))</f>
        <v/>
      </c>
      <c r="V370" s="17" t="str">
        <f aca="false">IF($C370="","",$F370*$U370)</f>
        <v/>
      </c>
      <c r="W370" s="18" t="n">
        <f aca="false">$A370-WEEKDAY($A370,2)+1</f>
        <v>46650</v>
      </c>
      <c r="X370" s="19" t="str">
        <f aca="false">IF(AND($C370="",T370=""),"",IF(AND(N($C370)&gt;0,N(T370)=0),"nobody marked present",IF(N($D370)&gt;N($C370),"more broken than moulded",IF(AND($C370="",N(T370)&gt;0),"attendance marked but no blocks entered",IF(AND(N($C370)&gt;0,N(U370)=0),"no pay rate for this date - see Settings",IF(SUMPRODUCT((H370:S370&lt;&gt;"")*(H$4:S$4=""))&gt;0,"attendance in an empty worker slot",""))))))</f>
        <v/>
      </c>
      <c r="Y370" s="20"/>
    </row>
    <row r="371" customFormat="false" ht="15" hidden="false" customHeight="false" outlineLevel="0" collapsed="false">
      <c r="A371" s="10" t="n">
        <v>46651</v>
      </c>
      <c r="B371" s="11" t="str">
        <f aca="false">CHOOSE(WEEKDAY($A371,2),"Mon","Tue","Wed","Thu","Fri","Sat","Sun")</f>
        <v>Tue</v>
      </c>
      <c r="C371" s="12"/>
      <c r="D371" s="12"/>
      <c r="E371" s="13" t="str">
        <f aca="false">IF($C371="","",$C371-N($D371))</f>
        <v/>
      </c>
      <c r="F371" s="13" t="str">
        <f aca="false">IF($C371="","",$C371-MAX(0,N($D371)-BreakAllow*$C371))</f>
        <v/>
      </c>
      <c r="G371" s="12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5" t="str">
        <f aca="false">IF(COUNT(H371:S371)=0,"",SUM(H371:S371))</f>
        <v/>
      </c>
      <c r="U371" s="16" t="str">
        <f aca="false">IF($C371="","",IFERROR(INDEX(RateValues,MATCH(SUMPRODUCT(MAX((RateDates&lt;=$A371)*RateDates)),RateDates,0)),0))</f>
        <v/>
      </c>
      <c r="V371" s="17" t="str">
        <f aca="false">IF($C371="","",$F371*$U371)</f>
        <v/>
      </c>
      <c r="W371" s="18" t="n">
        <f aca="false">$A371-WEEKDAY($A371,2)+1</f>
        <v>46650</v>
      </c>
      <c r="X371" s="19" t="str">
        <f aca="false">IF(AND($C371="",T371=""),"",IF(AND(N($C371)&gt;0,N(T371)=0),"nobody marked present",IF(N($D371)&gt;N($C371),"more broken than moulded",IF(AND($C371="",N(T371)&gt;0),"attendance marked but no blocks entered",IF(AND(N($C371)&gt;0,N(U371)=0),"no pay rate for this date - see Settings",IF(SUMPRODUCT((H371:S371&lt;&gt;"")*(H$4:S$4=""))&gt;0,"attendance in an empty worker slot",""))))))</f>
        <v/>
      </c>
      <c r="Y371" s="20"/>
    </row>
    <row r="372" customFormat="false" ht="15" hidden="false" customHeight="false" outlineLevel="0" collapsed="false">
      <c r="A372" s="10" t="n">
        <v>46652</v>
      </c>
      <c r="B372" s="11" t="str">
        <f aca="false">CHOOSE(WEEKDAY($A372,2),"Mon","Tue","Wed","Thu","Fri","Sat","Sun")</f>
        <v>Wed</v>
      </c>
      <c r="C372" s="12"/>
      <c r="D372" s="12"/>
      <c r="E372" s="13" t="str">
        <f aca="false">IF($C372="","",$C372-N($D372))</f>
        <v/>
      </c>
      <c r="F372" s="13" t="str">
        <f aca="false">IF($C372="","",$C372-MAX(0,N($D372)-BreakAllow*$C372))</f>
        <v/>
      </c>
      <c r="G372" s="12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5" t="str">
        <f aca="false">IF(COUNT(H372:S372)=0,"",SUM(H372:S372))</f>
        <v/>
      </c>
      <c r="U372" s="16" t="str">
        <f aca="false">IF($C372="","",IFERROR(INDEX(RateValues,MATCH(SUMPRODUCT(MAX((RateDates&lt;=$A372)*RateDates)),RateDates,0)),0))</f>
        <v/>
      </c>
      <c r="V372" s="17" t="str">
        <f aca="false">IF($C372="","",$F372*$U372)</f>
        <v/>
      </c>
      <c r="W372" s="18" t="n">
        <f aca="false">$A372-WEEKDAY($A372,2)+1</f>
        <v>46650</v>
      </c>
      <c r="X372" s="19" t="str">
        <f aca="false">IF(AND($C372="",T372=""),"",IF(AND(N($C372)&gt;0,N(T372)=0),"nobody marked present",IF(N($D372)&gt;N($C372),"more broken than moulded",IF(AND($C372="",N(T372)&gt;0),"attendance marked but no blocks entered",IF(AND(N($C372)&gt;0,N(U372)=0),"no pay rate for this date - see Settings",IF(SUMPRODUCT((H372:S372&lt;&gt;"")*(H$4:S$4=""))&gt;0,"attendance in an empty worker slot",""))))))</f>
        <v/>
      </c>
      <c r="Y372" s="20"/>
    </row>
    <row r="373" customFormat="false" ht="15" hidden="false" customHeight="false" outlineLevel="0" collapsed="false">
      <c r="A373" s="10" t="n">
        <v>46653</v>
      </c>
      <c r="B373" s="11" t="str">
        <f aca="false">CHOOSE(WEEKDAY($A373,2),"Mon","Tue","Wed","Thu","Fri","Sat","Sun")</f>
        <v>Thu</v>
      </c>
      <c r="C373" s="12"/>
      <c r="D373" s="12"/>
      <c r="E373" s="13" t="str">
        <f aca="false">IF($C373="","",$C373-N($D373))</f>
        <v/>
      </c>
      <c r="F373" s="13" t="str">
        <f aca="false">IF($C373="","",$C373-MAX(0,N($D373)-BreakAllow*$C373))</f>
        <v/>
      </c>
      <c r="G373" s="12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5" t="str">
        <f aca="false">IF(COUNT(H373:S373)=0,"",SUM(H373:S373))</f>
        <v/>
      </c>
      <c r="U373" s="16" t="str">
        <f aca="false">IF($C373="","",IFERROR(INDEX(RateValues,MATCH(SUMPRODUCT(MAX((RateDates&lt;=$A373)*RateDates)),RateDates,0)),0))</f>
        <v/>
      </c>
      <c r="V373" s="17" t="str">
        <f aca="false">IF($C373="","",$F373*$U373)</f>
        <v/>
      </c>
      <c r="W373" s="18" t="n">
        <f aca="false">$A373-WEEKDAY($A373,2)+1</f>
        <v>46650</v>
      </c>
      <c r="X373" s="19" t="str">
        <f aca="false">IF(AND($C373="",T373=""),"",IF(AND(N($C373)&gt;0,N(T373)=0),"nobody marked present",IF(N($D373)&gt;N($C373),"more broken than moulded",IF(AND($C373="",N(T373)&gt;0),"attendance marked but no blocks entered",IF(AND(N($C373)&gt;0,N(U373)=0),"no pay rate for this date - see Settings",IF(SUMPRODUCT((H373:S373&lt;&gt;"")*(H$4:S$4=""))&gt;0,"attendance in an empty worker slot",""))))))</f>
        <v/>
      </c>
      <c r="Y373" s="20"/>
    </row>
    <row r="374" customFormat="false" ht="15" hidden="false" customHeight="false" outlineLevel="0" collapsed="false">
      <c r="A374" s="10" t="n">
        <v>46654</v>
      </c>
      <c r="B374" s="11" t="str">
        <f aca="false">CHOOSE(WEEKDAY($A374,2),"Mon","Tue","Wed","Thu","Fri","Sat","Sun")</f>
        <v>Fri</v>
      </c>
      <c r="C374" s="12"/>
      <c r="D374" s="12"/>
      <c r="E374" s="13" t="str">
        <f aca="false">IF($C374="","",$C374-N($D374))</f>
        <v/>
      </c>
      <c r="F374" s="13" t="str">
        <f aca="false">IF($C374="","",$C374-MAX(0,N($D374)-BreakAllow*$C374))</f>
        <v/>
      </c>
      <c r="G374" s="12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5" t="str">
        <f aca="false">IF(COUNT(H374:S374)=0,"",SUM(H374:S374))</f>
        <v/>
      </c>
      <c r="U374" s="16" t="str">
        <f aca="false">IF($C374="","",IFERROR(INDEX(RateValues,MATCH(SUMPRODUCT(MAX((RateDates&lt;=$A374)*RateDates)),RateDates,0)),0))</f>
        <v/>
      </c>
      <c r="V374" s="17" t="str">
        <f aca="false">IF($C374="","",$F374*$U374)</f>
        <v/>
      </c>
      <c r="W374" s="18" t="n">
        <f aca="false">$A374-WEEKDAY($A374,2)+1</f>
        <v>46650</v>
      </c>
      <c r="X374" s="19" t="str">
        <f aca="false">IF(AND($C374="",T374=""),"",IF(AND(N($C374)&gt;0,N(T374)=0),"nobody marked present",IF(N($D374)&gt;N($C374),"more broken than moulded",IF(AND($C374="",N(T374)&gt;0),"attendance marked but no blocks entered",IF(AND(N($C374)&gt;0,N(U374)=0),"no pay rate for this date - see Settings",IF(SUMPRODUCT((H374:S374&lt;&gt;"")*(H$4:S$4=""))&gt;0,"attendance in an empty worker slot",""))))))</f>
        <v/>
      </c>
      <c r="Y374" s="20"/>
    </row>
    <row r="375" customFormat="false" ht="15" hidden="false" customHeight="false" outlineLevel="0" collapsed="false">
      <c r="A375" s="10" t="n">
        <v>46655</v>
      </c>
      <c r="B375" s="11" t="str">
        <f aca="false">CHOOSE(WEEKDAY($A375,2),"Mon","Tue","Wed","Thu","Fri","Sat","Sun")</f>
        <v>Sat</v>
      </c>
      <c r="C375" s="12"/>
      <c r="D375" s="12"/>
      <c r="E375" s="13" t="str">
        <f aca="false">IF($C375="","",$C375-N($D375))</f>
        <v/>
      </c>
      <c r="F375" s="13" t="str">
        <f aca="false">IF($C375="","",$C375-MAX(0,N($D375)-BreakAllow*$C375))</f>
        <v/>
      </c>
      <c r="G375" s="12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5" t="str">
        <f aca="false">IF(COUNT(H375:S375)=0,"",SUM(H375:S375))</f>
        <v/>
      </c>
      <c r="U375" s="16" t="str">
        <f aca="false">IF($C375="","",IFERROR(INDEX(RateValues,MATCH(SUMPRODUCT(MAX((RateDates&lt;=$A375)*RateDates)),RateDates,0)),0))</f>
        <v/>
      </c>
      <c r="V375" s="17" t="str">
        <f aca="false">IF($C375="","",$F375*$U375)</f>
        <v/>
      </c>
      <c r="W375" s="18" t="n">
        <f aca="false">$A375-WEEKDAY($A375,2)+1</f>
        <v>46650</v>
      </c>
      <c r="X375" s="19" t="str">
        <f aca="false">IF(AND($C375="",T375=""),"",IF(AND(N($C375)&gt;0,N(T375)=0),"nobody marked present",IF(N($D375)&gt;N($C375),"more broken than moulded",IF(AND($C375="",N(T375)&gt;0),"attendance marked but no blocks entered",IF(AND(N($C375)&gt;0,N(U375)=0),"no pay rate for this date - see Settings",IF(SUMPRODUCT((H375:S375&lt;&gt;"")*(H$4:S$4=""))&gt;0,"attendance in an empty worker slot",""))))))</f>
        <v/>
      </c>
      <c r="Y375" s="20"/>
    </row>
    <row r="376" customFormat="false" ht="15" hidden="false" customHeight="false" outlineLevel="0" collapsed="false">
      <c r="A376" s="21" t="n">
        <v>46656</v>
      </c>
      <c r="B376" s="22" t="str">
        <f aca="false">CHOOSE(WEEKDAY($A376,2),"Mon","Tue","Wed","Thu","Fri","Sat","Sun")</f>
        <v>Sun</v>
      </c>
      <c r="C376" s="12"/>
      <c r="D376" s="12"/>
      <c r="E376" s="13" t="str">
        <f aca="false">IF($C376="","",$C376-N($D376))</f>
        <v/>
      </c>
      <c r="F376" s="13" t="str">
        <f aca="false">IF($C376="","",$C376-MAX(0,N($D376)-BreakAllow*$C376))</f>
        <v/>
      </c>
      <c r="G376" s="12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5" t="str">
        <f aca="false">IF(COUNT(H376:S376)=0,"",SUM(H376:S376))</f>
        <v/>
      </c>
      <c r="U376" s="16" t="str">
        <f aca="false">IF($C376="","",IFERROR(INDEX(RateValues,MATCH(SUMPRODUCT(MAX((RateDates&lt;=$A376)*RateDates)),RateDates,0)),0))</f>
        <v/>
      </c>
      <c r="V376" s="17" t="str">
        <f aca="false">IF($C376="","",$F376*$U376)</f>
        <v/>
      </c>
      <c r="W376" s="18" t="n">
        <f aca="false">$A376-WEEKDAY($A376,2)+1</f>
        <v>46650</v>
      </c>
      <c r="X376" s="19" t="str">
        <f aca="false">IF(AND($C376="",T376=""),"",IF(AND(N($C376)&gt;0,N(T376)=0),"nobody marked present",IF(N($D376)&gt;N($C376),"more broken than moulded",IF(AND($C376="",N(T376)&gt;0),"attendance marked but no blocks entered",IF(AND(N($C376)&gt;0,N(U376)=0),"no pay rate for this date - see Settings",IF(SUMPRODUCT((H376:S376&lt;&gt;"")*(H$4:S$4=""))&gt;0,"attendance in an empty worker slot",""))))))</f>
        <v/>
      </c>
      <c r="Y376" s="20"/>
    </row>
  </sheetData>
  <conditionalFormatting sqref="X6:X376">
    <cfRule type="expression" priority="2" aboveAverage="0" equalAverage="0" bottom="0" percent="0" rank="0" text="" dxfId="1">
      <formula>LEN(X6)&gt;0</formula>
    </cfRule>
  </conditionalFormatting>
  <dataValidations count="3">
    <dataValidation allowBlank="true" error="Type a whole number of blocks." errorStyle="stop" operator="between" showDropDown="false" showErrorMessage="true" showInputMessage="false" sqref="C6:D376" type="whole">
      <formula1>0</formula1>
      <formula2>100000</formula2>
    </dataValidation>
    <dataValidation allowBlank="true" error="Type the number of cement bags used." errorStyle="stop" operator="between" showDropDown="false" showErrorMessage="true" showInputMessage="false" sqref="G6:G376" type="decimal">
      <formula1>0</formula1>
      <formula2>10000</formula2>
    </dataValidation>
    <dataValidation allowBlank="true" error="Use 1 for a full day, 0.5 for a half day, or leave empty." errorStyle="stop" operator="between" showDropDown="false" showErrorMessage="true" showInputMessage="false" sqref="H6:S37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4"/>
    <col collapsed="false" customWidth="true" hidden="false" outlineLevel="0" max="12" min="12" style="0" width="16"/>
    <col collapsed="false" customWidth="true" hidden="false" outlineLevel="0" max="13" min="13" style="0" width="44"/>
  </cols>
  <sheetData>
    <row r="1" customFormat="false" ht="24" hidden="false" customHeight="true" outlineLevel="0" collapsed="false">
      <c r="A1" s="1" t="s">
        <v>12</v>
      </c>
    </row>
    <row r="2" customFormat="false" ht="15" hidden="false" customHeight="false" outlineLevel="0" collapsed="false">
      <c r="A2" s="2" t="s">
        <v>56</v>
      </c>
    </row>
    <row r="3" customFormat="false" ht="15" hidden="false" customHeight="false" outlineLevel="0" collapsed="false">
      <c r="C3" s="3" t="s">
        <v>57</v>
      </c>
      <c r="D3" s="23" t="s">
        <v>58</v>
      </c>
      <c r="E3" s="8" t="n">
        <f aca="false">SUMIFS($E$6:$E$1005,$D$6:$D$1005,"Advance")</f>
        <v>0</v>
      </c>
      <c r="F3" s="23" t="s">
        <v>59</v>
      </c>
      <c r="G3" s="8" t="n">
        <f aca="false">SUMIFS($E$6:$E$1005,$D$6:$D$1005,"Weekly pay")</f>
        <v>0</v>
      </c>
      <c r="H3" s="23" t="s">
        <v>60</v>
      </c>
      <c r="I3" s="8" t="n">
        <f aca="false">SUMIFS($E$6:$E$1005,$D$6:$D$1005,"Correction")</f>
        <v>0</v>
      </c>
    </row>
    <row r="5" customFormat="false" ht="30" hidden="false" customHeight="true" outlineLevel="0" collapsed="false">
      <c r="A5" s="9" t="s">
        <v>61</v>
      </c>
      <c r="B5" s="9" t="s">
        <v>43</v>
      </c>
      <c r="C5" s="9" t="s">
        <v>62</v>
      </c>
      <c r="D5" s="9" t="s">
        <v>63</v>
      </c>
      <c r="E5" s="9" t="s">
        <v>64</v>
      </c>
      <c r="F5" s="9" t="s">
        <v>65</v>
      </c>
      <c r="G5" s="9" t="s">
        <v>66</v>
      </c>
      <c r="H5" s="9" t="s">
        <v>67</v>
      </c>
      <c r="I5" s="9" t="s">
        <v>68</v>
      </c>
      <c r="J5" s="9" t="s">
        <v>53</v>
      </c>
      <c r="K5" s="9" t="s">
        <v>69</v>
      </c>
      <c r="L5" s="9" t="s">
        <v>70</v>
      </c>
      <c r="M5" s="9" t="s">
        <v>54</v>
      </c>
    </row>
    <row r="6" customFormat="false" ht="15" hidden="false" customHeight="false" outlineLevel="0" collapsed="false">
      <c r="A6" s="24" t="str">
        <f aca="false">IF($B6="","",ROW()-5)</f>
        <v/>
      </c>
      <c r="B6" s="25"/>
      <c r="C6" s="20"/>
      <c r="D6" s="26"/>
      <c r="E6" s="27"/>
      <c r="F6" s="20"/>
      <c r="G6" s="20"/>
      <c r="H6" s="26"/>
      <c r="I6" s="24" t="str">
        <f aca="false">IF($C6="","",IFERROR(INDEX(WorkerIDs,MATCH($C6,WorkerNames,0)),"?"))</f>
        <v/>
      </c>
      <c r="J6" s="18" t="str">
        <f aca="false">IF($B6="","",$B6-WEEKDAY($B6,2)+1)</f>
        <v/>
      </c>
      <c r="K6" s="28" t="str">
        <f aca="false">IF(OR($I6="",$I6="?",$D6&lt;&gt;"Advance",$B6=""),"",$I6&amp;"|"&amp;$J6&amp;"|"&amp;COUNTIFS($I$6:$I6,$I6,$J$6:$J6,$J6,$D$6:$D6,"Advance"))</f>
        <v/>
      </c>
      <c r="L6" s="29" t="str">
        <f aca="false">IF(OR($I6="",$I6="?",$B6=""),"",SUMPRODUCT((Weeks!$A$6:$A$58&lt;=$J6)*(Weeks!$Z$4:$AK$4=$I6)*Weeks!$Z$6:$AK$58)-SUMIFS($E$6:$E$1005,$I$6:$I$1005,$I6,$B$6:$B$1005,"&lt;="&amp;$B6))</f>
        <v/>
      </c>
      <c r="M6" s="19" t="str">
        <f aca="false">IF($B6&amp;$C6&amp;$D6&amp;$E6="","",IF($B6="","missing date",IF($C6="","missing worker",IF($I6="?","unknown worker - was the name changed on Workers?",IF($D6="","missing type",IF(N($E6)=0,"missing amount",IF(AND($E6&lt;0,$D6&lt;&gt;"Correction"),"negative amount - use a Correction to undo",IF(OR($B6&lt;Weeks!$A$6,$B6&gt;Weeks!$B$58),"date outside this workbook's year",IF(AND($D6="Advance",N($L6)&lt;0),"Warning: more than earned so far - worker now owes "&amp;ROUND(-$L6,0),"")))))))))</f>
        <v/>
      </c>
    </row>
    <row r="7" customFormat="false" ht="15" hidden="false" customHeight="false" outlineLevel="0" collapsed="false">
      <c r="A7" s="24" t="str">
        <f aca="false">IF($B7="","",ROW()-5)</f>
        <v/>
      </c>
      <c r="B7" s="25"/>
      <c r="C7" s="20"/>
      <c r="D7" s="26"/>
      <c r="E7" s="27"/>
      <c r="F7" s="20"/>
      <c r="G7" s="20"/>
      <c r="H7" s="26"/>
      <c r="I7" s="24" t="str">
        <f aca="false">IF($C7="","",IFERROR(INDEX(WorkerIDs,MATCH($C7,WorkerNames,0)),"?"))</f>
        <v/>
      </c>
      <c r="J7" s="18" t="str">
        <f aca="false">IF($B7="","",$B7-WEEKDAY($B7,2)+1)</f>
        <v/>
      </c>
      <c r="K7" s="28" t="str">
        <f aca="false">IF(OR($I7="",$I7="?",$D7&lt;&gt;"Advance",$B7=""),"",$I7&amp;"|"&amp;$J7&amp;"|"&amp;COUNTIFS($I$6:$I7,$I7,$J$6:$J7,$J7,$D$6:$D7,"Advance"))</f>
        <v/>
      </c>
      <c r="L7" s="29" t="str">
        <f aca="false">IF(OR($I7="",$I7="?",$B7=""),"",SUMPRODUCT((Weeks!$A$6:$A$58&lt;=$J7)*(Weeks!$Z$4:$AK$4=$I7)*Weeks!$Z$6:$AK$58)-SUMIFS($E$6:$E$1005,$I$6:$I$1005,$I7,$B$6:$B$1005,"&lt;="&amp;$B7))</f>
        <v/>
      </c>
      <c r="M7" s="19" t="str">
        <f aca="false">IF($B7&amp;$C7&amp;$D7&amp;$E7="","",IF($B7="","missing date",IF($C7="","missing worker",IF($I7="?","unknown worker - was the name changed on Workers?",IF($D7="","missing type",IF(N($E7)=0,"missing amount",IF(AND($E7&lt;0,$D7&lt;&gt;"Correction"),"negative amount - use a Correction to undo",IF(OR($B7&lt;Weeks!$A$6,$B7&gt;Weeks!$B$58),"date outside this workbook's year",IF(AND($D7="Advance",N($L7)&lt;0),"Warning: more than earned so far - worker now owes "&amp;ROUND(-$L7,0),"")))))))))</f>
        <v/>
      </c>
    </row>
    <row r="8" customFormat="false" ht="15" hidden="false" customHeight="false" outlineLevel="0" collapsed="false">
      <c r="A8" s="24" t="str">
        <f aca="false">IF($B8="","",ROW()-5)</f>
        <v/>
      </c>
      <c r="B8" s="25"/>
      <c r="C8" s="20"/>
      <c r="D8" s="26"/>
      <c r="E8" s="27"/>
      <c r="F8" s="20"/>
      <c r="G8" s="20"/>
      <c r="H8" s="26"/>
      <c r="I8" s="24" t="str">
        <f aca="false">IF($C8="","",IFERROR(INDEX(WorkerIDs,MATCH($C8,WorkerNames,0)),"?"))</f>
        <v/>
      </c>
      <c r="J8" s="18" t="str">
        <f aca="false">IF($B8="","",$B8-WEEKDAY($B8,2)+1)</f>
        <v/>
      </c>
      <c r="K8" s="28" t="str">
        <f aca="false">IF(OR($I8="",$I8="?",$D8&lt;&gt;"Advance",$B8=""),"",$I8&amp;"|"&amp;$J8&amp;"|"&amp;COUNTIFS($I$6:$I8,$I8,$J$6:$J8,$J8,$D$6:$D8,"Advance"))</f>
        <v/>
      </c>
      <c r="L8" s="29" t="str">
        <f aca="false">IF(OR($I8="",$I8="?",$B8=""),"",SUMPRODUCT((Weeks!$A$6:$A$58&lt;=$J8)*(Weeks!$Z$4:$AK$4=$I8)*Weeks!$Z$6:$AK$58)-SUMIFS($E$6:$E$1005,$I$6:$I$1005,$I8,$B$6:$B$1005,"&lt;="&amp;$B8))</f>
        <v/>
      </c>
      <c r="M8" s="19" t="str">
        <f aca="false">IF($B8&amp;$C8&amp;$D8&amp;$E8="","",IF($B8="","missing date",IF($C8="","missing worker",IF($I8="?","unknown worker - was the name changed on Workers?",IF($D8="","missing type",IF(N($E8)=0,"missing amount",IF(AND($E8&lt;0,$D8&lt;&gt;"Correction"),"negative amount - use a Correction to undo",IF(OR($B8&lt;Weeks!$A$6,$B8&gt;Weeks!$B$58),"date outside this workbook's year",IF(AND($D8="Advance",N($L8)&lt;0),"Warning: more than earned so far - worker now owes "&amp;ROUND(-$L8,0),"")))))))))</f>
        <v/>
      </c>
    </row>
    <row r="9" customFormat="false" ht="15" hidden="false" customHeight="false" outlineLevel="0" collapsed="false">
      <c r="A9" s="24" t="str">
        <f aca="false">IF($B9="","",ROW()-5)</f>
        <v/>
      </c>
      <c r="B9" s="25"/>
      <c r="C9" s="20"/>
      <c r="D9" s="26"/>
      <c r="E9" s="27"/>
      <c r="F9" s="20"/>
      <c r="G9" s="20"/>
      <c r="H9" s="26"/>
      <c r="I9" s="24" t="str">
        <f aca="false">IF($C9="","",IFERROR(INDEX(WorkerIDs,MATCH($C9,WorkerNames,0)),"?"))</f>
        <v/>
      </c>
      <c r="J9" s="18" t="str">
        <f aca="false">IF($B9="","",$B9-WEEKDAY($B9,2)+1)</f>
        <v/>
      </c>
      <c r="K9" s="28" t="str">
        <f aca="false">IF(OR($I9="",$I9="?",$D9&lt;&gt;"Advance",$B9=""),"",$I9&amp;"|"&amp;$J9&amp;"|"&amp;COUNTIFS($I$6:$I9,$I9,$J$6:$J9,$J9,$D$6:$D9,"Advance"))</f>
        <v/>
      </c>
      <c r="L9" s="29" t="str">
        <f aca="false">IF(OR($I9="",$I9="?",$B9=""),"",SUMPRODUCT((Weeks!$A$6:$A$58&lt;=$J9)*(Weeks!$Z$4:$AK$4=$I9)*Weeks!$Z$6:$AK$58)-SUMIFS($E$6:$E$1005,$I$6:$I$1005,$I9,$B$6:$B$1005,"&lt;="&amp;$B9))</f>
        <v/>
      </c>
      <c r="M9" s="19" t="str">
        <f aca="false">IF($B9&amp;$C9&amp;$D9&amp;$E9="","",IF($B9="","missing date",IF($C9="","missing worker",IF($I9="?","unknown worker - was the name changed on Workers?",IF($D9="","missing type",IF(N($E9)=0,"missing amount",IF(AND($E9&lt;0,$D9&lt;&gt;"Correction"),"negative amount - use a Correction to undo",IF(OR($B9&lt;Weeks!$A$6,$B9&gt;Weeks!$B$58),"date outside this workbook's year",IF(AND($D9="Advance",N($L9)&lt;0),"Warning: more than earned so far - worker now owes "&amp;ROUND(-$L9,0),"")))))))))</f>
        <v/>
      </c>
    </row>
    <row r="10" customFormat="false" ht="15" hidden="false" customHeight="false" outlineLevel="0" collapsed="false">
      <c r="A10" s="24" t="str">
        <f aca="false">IF($B10="","",ROW()-5)</f>
        <v/>
      </c>
      <c r="B10" s="25"/>
      <c r="C10" s="20"/>
      <c r="D10" s="26"/>
      <c r="E10" s="27"/>
      <c r="F10" s="20"/>
      <c r="G10" s="20"/>
      <c r="H10" s="26"/>
      <c r="I10" s="24" t="str">
        <f aca="false">IF($C10="","",IFERROR(INDEX(WorkerIDs,MATCH($C10,WorkerNames,0)),"?"))</f>
        <v/>
      </c>
      <c r="J10" s="18" t="str">
        <f aca="false">IF($B10="","",$B10-WEEKDAY($B10,2)+1)</f>
        <v/>
      </c>
      <c r="K10" s="28" t="str">
        <f aca="false">IF(OR($I10="",$I10="?",$D10&lt;&gt;"Advance",$B10=""),"",$I10&amp;"|"&amp;$J10&amp;"|"&amp;COUNTIFS($I$6:$I10,$I10,$J$6:$J10,$J10,$D$6:$D10,"Advance"))</f>
        <v/>
      </c>
      <c r="L10" s="29" t="str">
        <f aca="false">IF(OR($I10="",$I10="?",$B10=""),"",SUMPRODUCT((Weeks!$A$6:$A$58&lt;=$J10)*(Weeks!$Z$4:$AK$4=$I10)*Weeks!$Z$6:$AK$58)-SUMIFS($E$6:$E$1005,$I$6:$I$1005,$I10,$B$6:$B$1005,"&lt;="&amp;$B10))</f>
        <v/>
      </c>
      <c r="M10" s="19" t="str">
        <f aca="false">IF($B10&amp;$C10&amp;$D10&amp;$E10="","",IF($B10="","missing date",IF($C10="","missing worker",IF($I10="?","unknown worker - was the name changed on Workers?",IF($D10="","missing type",IF(N($E10)=0,"missing amount",IF(AND($E10&lt;0,$D10&lt;&gt;"Correction"),"negative amount - use a Correction to undo",IF(OR($B10&lt;Weeks!$A$6,$B10&gt;Weeks!$B$58),"date outside this workbook's year",IF(AND($D10="Advance",N($L10)&lt;0),"Warning: more than earned so far - worker now owes "&amp;ROUND(-$L10,0),"")))))))))</f>
        <v/>
      </c>
    </row>
    <row r="11" customFormat="false" ht="15" hidden="false" customHeight="false" outlineLevel="0" collapsed="false">
      <c r="A11" s="24" t="str">
        <f aca="false">IF($B11="","",ROW()-5)</f>
        <v/>
      </c>
      <c r="B11" s="25"/>
      <c r="C11" s="20"/>
      <c r="D11" s="26"/>
      <c r="E11" s="27"/>
      <c r="F11" s="20"/>
      <c r="G11" s="20"/>
      <c r="H11" s="26"/>
      <c r="I11" s="24" t="str">
        <f aca="false">IF($C11="","",IFERROR(INDEX(WorkerIDs,MATCH($C11,WorkerNames,0)),"?"))</f>
        <v/>
      </c>
      <c r="J11" s="18" t="str">
        <f aca="false">IF($B11="","",$B11-WEEKDAY($B11,2)+1)</f>
        <v/>
      </c>
      <c r="K11" s="28" t="str">
        <f aca="false">IF(OR($I11="",$I11="?",$D11&lt;&gt;"Advance",$B11=""),"",$I11&amp;"|"&amp;$J11&amp;"|"&amp;COUNTIFS($I$6:$I11,$I11,$J$6:$J11,$J11,$D$6:$D11,"Advance"))</f>
        <v/>
      </c>
      <c r="L11" s="29" t="str">
        <f aca="false">IF(OR($I11="",$I11="?",$B11=""),"",SUMPRODUCT((Weeks!$A$6:$A$58&lt;=$J11)*(Weeks!$Z$4:$AK$4=$I11)*Weeks!$Z$6:$AK$58)-SUMIFS($E$6:$E$1005,$I$6:$I$1005,$I11,$B$6:$B$1005,"&lt;="&amp;$B11))</f>
        <v/>
      </c>
      <c r="M11" s="19" t="str">
        <f aca="false">IF($B11&amp;$C11&amp;$D11&amp;$E11="","",IF($B11="","missing date",IF($C11="","missing worker",IF($I11="?","unknown worker - was the name changed on Workers?",IF($D11="","missing type",IF(N($E11)=0,"missing amount",IF(AND($E11&lt;0,$D11&lt;&gt;"Correction"),"negative amount - use a Correction to undo",IF(OR($B11&lt;Weeks!$A$6,$B11&gt;Weeks!$B$58),"date outside this workbook's year",IF(AND($D11="Advance",N($L11)&lt;0),"Warning: more than earned so far - worker now owes "&amp;ROUND(-$L11,0),"")))))))))</f>
        <v/>
      </c>
    </row>
    <row r="12" customFormat="false" ht="15" hidden="false" customHeight="false" outlineLevel="0" collapsed="false">
      <c r="A12" s="24" t="str">
        <f aca="false">IF($B12="","",ROW()-5)</f>
        <v/>
      </c>
      <c r="B12" s="25"/>
      <c r="C12" s="20"/>
      <c r="D12" s="26"/>
      <c r="E12" s="27"/>
      <c r="F12" s="20"/>
      <c r="G12" s="20"/>
      <c r="H12" s="26"/>
      <c r="I12" s="24" t="str">
        <f aca="false">IF($C12="","",IFERROR(INDEX(WorkerIDs,MATCH($C12,WorkerNames,0)),"?"))</f>
        <v/>
      </c>
      <c r="J12" s="18" t="str">
        <f aca="false">IF($B12="","",$B12-WEEKDAY($B12,2)+1)</f>
        <v/>
      </c>
      <c r="K12" s="28" t="str">
        <f aca="false">IF(OR($I12="",$I12="?",$D12&lt;&gt;"Advance",$B12=""),"",$I12&amp;"|"&amp;$J12&amp;"|"&amp;COUNTIFS($I$6:$I12,$I12,$J$6:$J12,$J12,$D$6:$D12,"Advance"))</f>
        <v/>
      </c>
      <c r="L12" s="29" t="str">
        <f aca="false">IF(OR($I12="",$I12="?",$B12=""),"",SUMPRODUCT((Weeks!$A$6:$A$58&lt;=$J12)*(Weeks!$Z$4:$AK$4=$I12)*Weeks!$Z$6:$AK$58)-SUMIFS($E$6:$E$1005,$I$6:$I$1005,$I12,$B$6:$B$1005,"&lt;="&amp;$B12))</f>
        <v/>
      </c>
      <c r="M12" s="19" t="str">
        <f aca="false">IF($B12&amp;$C12&amp;$D12&amp;$E12="","",IF($B12="","missing date",IF($C12="","missing worker",IF($I12="?","unknown worker - was the name changed on Workers?",IF($D12="","missing type",IF(N($E12)=0,"missing amount",IF(AND($E12&lt;0,$D12&lt;&gt;"Correction"),"negative amount - use a Correction to undo",IF(OR($B12&lt;Weeks!$A$6,$B12&gt;Weeks!$B$58),"date outside this workbook's year",IF(AND($D12="Advance",N($L12)&lt;0),"Warning: more than earned so far - worker now owes "&amp;ROUND(-$L12,0),"")))))))))</f>
        <v/>
      </c>
    </row>
    <row r="13" customFormat="false" ht="15" hidden="false" customHeight="false" outlineLevel="0" collapsed="false">
      <c r="A13" s="24" t="str">
        <f aca="false">IF($B13="","",ROW()-5)</f>
        <v/>
      </c>
      <c r="B13" s="25"/>
      <c r="C13" s="20"/>
      <c r="D13" s="26"/>
      <c r="E13" s="27"/>
      <c r="F13" s="20"/>
      <c r="G13" s="20"/>
      <c r="H13" s="26"/>
      <c r="I13" s="24" t="str">
        <f aca="false">IF($C13="","",IFERROR(INDEX(WorkerIDs,MATCH($C13,WorkerNames,0)),"?"))</f>
        <v/>
      </c>
      <c r="J13" s="18" t="str">
        <f aca="false">IF($B13="","",$B13-WEEKDAY($B13,2)+1)</f>
        <v/>
      </c>
      <c r="K13" s="28" t="str">
        <f aca="false">IF(OR($I13="",$I13="?",$D13&lt;&gt;"Advance",$B13=""),"",$I13&amp;"|"&amp;$J13&amp;"|"&amp;COUNTIFS($I$6:$I13,$I13,$J$6:$J13,$J13,$D$6:$D13,"Advance"))</f>
        <v/>
      </c>
      <c r="L13" s="29" t="str">
        <f aca="false">IF(OR($I13="",$I13="?",$B13=""),"",SUMPRODUCT((Weeks!$A$6:$A$58&lt;=$J13)*(Weeks!$Z$4:$AK$4=$I13)*Weeks!$Z$6:$AK$58)-SUMIFS($E$6:$E$1005,$I$6:$I$1005,$I13,$B$6:$B$1005,"&lt;="&amp;$B13))</f>
        <v/>
      </c>
      <c r="M13" s="19" t="str">
        <f aca="false">IF($B13&amp;$C13&amp;$D13&amp;$E13="","",IF($B13="","missing date",IF($C13="","missing worker",IF($I13="?","unknown worker - was the name changed on Workers?",IF($D13="","missing type",IF(N($E13)=0,"missing amount",IF(AND($E13&lt;0,$D13&lt;&gt;"Correction"),"negative amount - use a Correction to undo",IF(OR($B13&lt;Weeks!$A$6,$B13&gt;Weeks!$B$58),"date outside this workbook's year",IF(AND($D13="Advance",N($L13)&lt;0),"Warning: more than earned so far - worker now owes "&amp;ROUND(-$L13,0),"")))))))))</f>
        <v/>
      </c>
    </row>
    <row r="14" customFormat="false" ht="15" hidden="false" customHeight="false" outlineLevel="0" collapsed="false">
      <c r="A14" s="24" t="str">
        <f aca="false">IF($B14="","",ROW()-5)</f>
        <v/>
      </c>
      <c r="B14" s="25"/>
      <c r="C14" s="20"/>
      <c r="D14" s="26"/>
      <c r="E14" s="27"/>
      <c r="F14" s="20"/>
      <c r="G14" s="20"/>
      <c r="H14" s="26"/>
      <c r="I14" s="24" t="str">
        <f aca="false">IF($C14="","",IFERROR(INDEX(WorkerIDs,MATCH($C14,WorkerNames,0)),"?"))</f>
        <v/>
      </c>
      <c r="J14" s="18" t="str">
        <f aca="false">IF($B14="","",$B14-WEEKDAY($B14,2)+1)</f>
        <v/>
      </c>
      <c r="K14" s="28" t="str">
        <f aca="false">IF(OR($I14="",$I14="?",$D14&lt;&gt;"Advance",$B14=""),"",$I14&amp;"|"&amp;$J14&amp;"|"&amp;COUNTIFS($I$6:$I14,$I14,$J$6:$J14,$J14,$D$6:$D14,"Advance"))</f>
        <v/>
      </c>
      <c r="L14" s="29" t="str">
        <f aca="false">IF(OR($I14="",$I14="?",$B14=""),"",SUMPRODUCT((Weeks!$A$6:$A$58&lt;=$J14)*(Weeks!$Z$4:$AK$4=$I14)*Weeks!$Z$6:$AK$58)-SUMIFS($E$6:$E$1005,$I$6:$I$1005,$I14,$B$6:$B$1005,"&lt;="&amp;$B14))</f>
        <v/>
      </c>
      <c r="M14" s="19" t="str">
        <f aca="false">IF($B14&amp;$C14&amp;$D14&amp;$E14="","",IF($B14="","missing date",IF($C14="","missing worker",IF($I14="?","unknown worker - was the name changed on Workers?",IF($D14="","missing type",IF(N($E14)=0,"missing amount",IF(AND($E14&lt;0,$D14&lt;&gt;"Correction"),"negative amount - use a Correction to undo",IF(OR($B14&lt;Weeks!$A$6,$B14&gt;Weeks!$B$58),"date outside this workbook's year",IF(AND($D14="Advance",N($L14)&lt;0),"Warning: more than earned so far - worker now owes "&amp;ROUND(-$L14,0),"")))))))))</f>
        <v/>
      </c>
    </row>
    <row r="15" customFormat="false" ht="15" hidden="false" customHeight="false" outlineLevel="0" collapsed="false">
      <c r="A15" s="24" t="str">
        <f aca="false">IF($B15="","",ROW()-5)</f>
        <v/>
      </c>
      <c r="B15" s="25"/>
      <c r="C15" s="20"/>
      <c r="D15" s="26"/>
      <c r="E15" s="27"/>
      <c r="F15" s="20"/>
      <c r="G15" s="20"/>
      <c r="H15" s="26"/>
      <c r="I15" s="24" t="str">
        <f aca="false">IF($C15="","",IFERROR(INDEX(WorkerIDs,MATCH($C15,WorkerNames,0)),"?"))</f>
        <v/>
      </c>
      <c r="J15" s="18" t="str">
        <f aca="false">IF($B15="","",$B15-WEEKDAY($B15,2)+1)</f>
        <v/>
      </c>
      <c r="K15" s="28" t="str">
        <f aca="false">IF(OR($I15="",$I15="?",$D15&lt;&gt;"Advance",$B15=""),"",$I15&amp;"|"&amp;$J15&amp;"|"&amp;COUNTIFS($I$6:$I15,$I15,$J$6:$J15,$J15,$D$6:$D15,"Advance"))</f>
        <v/>
      </c>
      <c r="L15" s="29" t="str">
        <f aca="false">IF(OR($I15="",$I15="?",$B15=""),"",SUMPRODUCT((Weeks!$A$6:$A$58&lt;=$J15)*(Weeks!$Z$4:$AK$4=$I15)*Weeks!$Z$6:$AK$58)-SUMIFS($E$6:$E$1005,$I$6:$I$1005,$I15,$B$6:$B$1005,"&lt;="&amp;$B15))</f>
        <v/>
      </c>
      <c r="M15" s="19" t="str">
        <f aca="false">IF($B15&amp;$C15&amp;$D15&amp;$E15="","",IF($B15="","missing date",IF($C15="","missing worker",IF($I15="?","unknown worker - was the name changed on Workers?",IF($D15="","missing type",IF(N($E15)=0,"missing amount",IF(AND($E15&lt;0,$D15&lt;&gt;"Correction"),"negative amount - use a Correction to undo",IF(OR($B15&lt;Weeks!$A$6,$B15&gt;Weeks!$B$58),"date outside this workbook's year",IF(AND($D15="Advance",N($L15)&lt;0),"Warning: more than earned so far - worker now owes "&amp;ROUND(-$L15,0),"")))))))))</f>
        <v/>
      </c>
    </row>
    <row r="16" customFormat="false" ht="15" hidden="false" customHeight="false" outlineLevel="0" collapsed="false">
      <c r="A16" s="24" t="str">
        <f aca="false">IF($B16="","",ROW()-5)</f>
        <v/>
      </c>
      <c r="B16" s="25"/>
      <c r="C16" s="20"/>
      <c r="D16" s="26"/>
      <c r="E16" s="27"/>
      <c r="F16" s="20"/>
      <c r="G16" s="20"/>
      <c r="H16" s="26"/>
      <c r="I16" s="24" t="str">
        <f aca="false">IF($C16="","",IFERROR(INDEX(WorkerIDs,MATCH($C16,WorkerNames,0)),"?"))</f>
        <v/>
      </c>
      <c r="J16" s="18" t="str">
        <f aca="false">IF($B16="","",$B16-WEEKDAY($B16,2)+1)</f>
        <v/>
      </c>
      <c r="K16" s="28" t="str">
        <f aca="false">IF(OR($I16="",$I16="?",$D16&lt;&gt;"Advance",$B16=""),"",$I16&amp;"|"&amp;$J16&amp;"|"&amp;COUNTIFS($I$6:$I16,$I16,$J$6:$J16,$J16,$D$6:$D16,"Advance"))</f>
        <v/>
      </c>
      <c r="L16" s="29" t="str">
        <f aca="false">IF(OR($I16="",$I16="?",$B16=""),"",SUMPRODUCT((Weeks!$A$6:$A$58&lt;=$J16)*(Weeks!$Z$4:$AK$4=$I16)*Weeks!$Z$6:$AK$58)-SUMIFS($E$6:$E$1005,$I$6:$I$1005,$I16,$B$6:$B$1005,"&lt;="&amp;$B16))</f>
        <v/>
      </c>
      <c r="M16" s="19" t="str">
        <f aca="false">IF($B16&amp;$C16&amp;$D16&amp;$E16="","",IF($B16="","missing date",IF($C16="","missing worker",IF($I16="?","unknown worker - was the name changed on Workers?",IF($D16="","missing type",IF(N($E16)=0,"missing amount",IF(AND($E16&lt;0,$D16&lt;&gt;"Correction"),"negative amount - use a Correction to undo",IF(OR($B16&lt;Weeks!$A$6,$B16&gt;Weeks!$B$58),"date outside this workbook's year",IF(AND($D16="Advance",N($L16)&lt;0),"Warning: more than earned so far - worker now owes "&amp;ROUND(-$L16,0),"")))))))))</f>
        <v/>
      </c>
    </row>
    <row r="17" customFormat="false" ht="15" hidden="false" customHeight="false" outlineLevel="0" collapsed="false">
      <c r="A17" s="24" t="str">
        <f aca="false">IF($B17="","",ROW()-5)</f>
        <v/>
      </c>
      <c r="B17" s="25"/>
      <c r="C17" s="20"/>
      <c r="D17" s="26"/>
      <c r="E17" s="27"/>
      <c r="F17" s="20"/>
      <c r="G17" s="20"/>
      <c r="H17" s="26"/>
      <c r="I17" s="24" t="str">
        <f aca="false">IF($C17="","",IFERROR(INDEX(WorkerIDs,MATCH($C17,WorkerNames,0)),"?"))</f>
        <v/>
      </c>
      <c r="J17" s="18" t="str">
        <f aca="false">IF($B17="","",$B17-WEEKDAY($B17,2)+1)</f>
        <v/>
      </c>
      <c r="K17" s="28" t="str">
        <f aca="false">IF(OR($I17="",$I17="?",$D17&lt;&gt;"Advance",$B17=""),"",$I17&amp;"|"&amp;$J17&amp;"|"&amp;COUNTIFS($I$6:$I17,$I17,$J$6:$J17,$J17,$D$6:$D17,"Advance"))</f>
        <v/>
      </c>
      <c r="L17" s="29" t="str">
        <f aca="false">IF(OR($I17="",$I17="?",$B17=""),"",SUMPRODUCT((Weeks!$A$6:$A$58&lt;=$J17)*(Weeks!$Z$4:$AK$4=$I17)*Weeks!$Z$6:$AK$58)-SUMIFS($E$6:$E$1005,$I$6:$I$1005,$I17,$B$6:$B$1005,"&lt;="&amp;$B17))</f>
        <v/>
      </c>
      <c r="M17" s="19" t="str">
        <f aca="false">IF($B17&amp;$C17&amp;$D17&amp;$E17="","",IF($B17="","missing date",IF($C17="","missing worker",IF($I17="?","unknown worker - was the name changed on Workers?",IF($D17="","missing type",IF(N($E17)=0,"missing amount",IF(AND($E17&lt;0,$D17&lt;&gt;"Correction"),"negative amount - use a Correction to undo",IF(OR($B17&lt;Weeks!$A$6,$B17&gt;Weeks!$B$58),"date outside this workbook's year",IF(AND($D17="Advance",N($L17)&lt;0),"Warning: more than earned so far - worker now owes "&amp;ROUND(-$L17,0),"")))))))))</f>
        <v/>
      </c>
    </row>
    <row r="18" customFormat="false" ht="15" hidden="false" customHeight="false" outlineLevel="0" collapsed="false">
      <c r="A18" s="24" t="str">
        <f aca="false">IF($B18="","",ROW()-5)</f>
        <v/>
      </c>
      <c r="B18" s="25"/>
      <c r="C18" s="20"/>
      <c r="D18" s="26"/>
      <c r="E18" s="27"/>
      <c r="F18" s="20"/>
      <c r="G18" s="20"/>
      <c r="H18" s="26"/>
      <c r="I18" s="24" t="str">
        <f aca="false">IF($C18="","",IFERROR(INDEX(WorkerIDs,MATCH($C18,WorkerNames,0)),"?"))</f>
        <v/>
      </c>
      <c r="J18" s="18" t="str">
        <f aca="false">IF($B18="","",$B18-WEEKDAY($B18,2)+1)</f>
        <v/>
      </c>
      <c r="K18" s="28" t="str">
        <f aca="false">IF(OR($I18="",$I18="?",$D18&lt;&gt;"Advance",$B18=""),"",$I18&amp;"|"&amp;$J18&amp;"|"&amp;COUNTIFS($I$6:$I18,$I18,$J$6:$J18,$J18,$D$6:$D18,"Advance"))</f>
        <v/>
      </c>
      <c r="L18" s="29" t="str">
        <f aca="false">IF(OR($I18="",$I18="?",$B18=""),"",SUMPRODUCT((Weeks!$A$6:$A$58&lt;=$J18)*(Weeks!$Z$4:$AK$4=$I18)*Weeks!$Z$6:$AK$58)-SUMIFS($E$6:$E$1005,$I$6:$I$1005,$I18,$B$6:$B$1005,"&lt;="&amp;$B18))</f>
        <v/>
      </c>
      <c r="M18" s="19" t="str">
        <f aca="false">IF($B18&amp;$C18&amp;$D18&amp;$E18="","",IF($B18="","missing date",IF($C18="","missing worker",IF($I18="?","unknown worker - was the name changed on Workers?",IF($D18="","missing type",IF(N($E18)=0,"missing amount",IF(AND($E18&lt;0,$D18&lt;&gt;"Correction"),"negative amount - use a Correction to undo",IF(OR($B18&lt;Weeks!$A$6,$B18&gt;Weeks!$B$58),"date outside this workbook's year",IF(AND($D18="Advance",N($L18)&lt;0),"Warning: more than earned so far - worker now owes "&amp;ROUND(-$L18,0),"")))))))))</f>
        <v/>
      </c>
    </row>
    <row r="19" customFormat="false" ht="15" hidden="false" customHeight="false" outlineLevel="0" collapsed="false">
      <c r="A19" s="24" t="str">
        <f aca="false">IF($B19="","",ROW()-5)</f>
        <v/>
      </c>
      <c r="B19" s="25"/>
      <c r="C19" s="20"/>
      <c r="D19" s="26"/>
      <c r="E19" s="27"/>
      <c r="F19" s="20"/>
      <c r="G19" s="20"/>
      <c r="H19" s="26"/>
      <c r="I19" s="24" t="str">
        <f aca="false">IF($C19="","",IFERROR(INDEX(WorkerIDs,MATCH($C19,WorkerNames,0)),"?"))</f>
        <v/>
      </c>
      <c r="J19" s="18" t="str">
        <f aca="false">IF($B19="","",$B19-WEEKDAY($B19,2)+1)</f>
        <v/>
      </c>
      <c r="K19" s="28" t="str">
        <f aca="false">IF(OR($I19="",$I19="?",$D19&lt;&gt;"Advance",$B19=""),"",$I19&amp;"|"&amp;$J19&amp;"|"&amp;COUNTIFS($I$6:$I19,$I19,$J$6:$J19,$J19,$D$6:$D19,"Advance"))</f>
        <v/>
      </c>
      <c r="L19" s="29" t="str">
        <f aca="false">IF(OR($I19="",$I19="?",$B19=""),"",SUMPRODUCT((Weeks!$A$6:$A$58&lt;=$J19)*(Weeks!$Z$4:$AK$4=$I19)*Weeks!$Z$6:$AK$58)-SUMIFS($E$6:$E$1005,$I$6:$I$1005,$I19,$B$6:$B$1005,"&lt;="&amp;$B19))</f>
        <v/>
      </c>
      <c r="M19" s="19" t="str">
        <f aca="false">IF($B19&amp;$C19&amp;$D19&amp;$E19="","",IF($B19="","missing date",IF($C19="","missing worker",IF($I19="?","unknown worker - was the name changed on Workers?",IF($D19="","missing type",IF(N($E19)=0,"missing amount",IF(AND($E19&lt;0,$D19&lt;&gt;"Correction"),"negative amount - use a Correction to undo",IF(OR($B19&lt;Weeks!$A$6,$B19&gt;Weeks!$B$58),"date outside this workbook's year",IF(AND($D19="Advance",N($L19)&lt;0),"Warning: more than earned so far - worker now owes "&amp;ROUND(-$L19,0),"")))))))))</f>
        <v/>
      </c>
    </row>
    <row r="20" customFormat="false" ht="15" hidden="false" customHeight="false" outlineLevel="0" collapsed="false">
      <c r="A20" s="24" t="str">
        <f aca="false">IF($B20="","",ROW()-5)</f>
        <v/>
      </c>
      <c r="B20" s="25"/>
      <c r="C20" s="20"/>
      <c r="D20" s="26"/>
      <c r="E20" s="27"/>
      <c r="F20" s="20"/>
      <c r="G20" s="20"/>
      <c r="H20" s="26"/>
      <c r="I20" s="24" t="str">
        <f aca="false">IF($C20="","",IFERROR(INDEX(WorkerIDs,MATCH($C20,WorkerNames,0)),"?"))</f>
        <v/>
      </c>
      <c r="J20" s="18" t="str">
        <f aca="false">IF($B20="","",$B20-WEEKDAY($B20,2)+1)</f>
        <v/>
      </c>
      <c r="K20" s="28" t="str">
        <f aca="false">IF(OR($I20="",$I20="?",$D20&lt;&gt;"Advance",$B20=""),"",$I20&amp;"|"&amp;$J20&amp;"|"&amp;COUNTIFS($I$6:$I20,$I20,$J$6:$J20,$J20,$D$6:$D20,"Advance"))</f>
        <v/>
      </c>
      <c r="L20" s="29" t="str">
        <f aca="false">IF(OR($I20="",$I20="?",$B20=""),"",SUMPRODUCT((Weeks!$A$6:$A$58&lt;=$J20)*(Weeks!$Z$4:$AK$4=$I20)*Weeks!$Z$6:$AK$58)-SUMIFS($E$6:$E$1005,$I$6:$I$1005,$I20,$B$6:$B$1005,"&lt;="&amp;$B20))</f>
        <v/>
      </c>
      <c r="M20" s="19" t="str">
        <f aca="false">IF($B20&amp;$C20&amp;$D20&amp;$E20="","",IF($B20="","missing date",IF($C20="","missing worker",IF($I20="?","unknown worker - was the name changed on Workers?",IF($D20="","missing type",IF(N($E20)=0,"missing amount",IF(AND($E20&lt;0,$D20&lt;&gt;"Correction"),"negative amount - use a Correction to undo",IF(OR($B20&lt;Weeks!$A$6,$B20&gt;Weeks!$B$58),"date outside this workbook's year",IF(AND($D20="Advance",N($L20)&lt;0),"Warning: more than earned so far - worker now owes "&amp;ROUND(-$L20,0),"")))))))))</f>
        <v/>
      </c>
    </row>
    <row r="21" customFormat="false" ht="15" hidden="false" customHeight="false" outlineLevel="0" collapsed="false">
      <c r="A21" s="24" t="str">
        <f aca="false">IF($B21="","",ROW()-5)</f>
        <v/>
      </c>
      <c r="B21" s="25"/>
      <c r="C21" s="20"/>
      <c r="D21" s="26"/>
      <c r="E21" s="27"/>
      <c r="F21" s="20"/>
      <c r="G21" s="20"/>
      <c r="H21" s="26"/>
      <c r="I21" s="24" t="str">
        <f aca="false">IF($C21="","",IFERROR(INDEX(WorkerIDs,MATCH($C21,WorkerNames,0)),"?"))</f>
        <v/>
      </c>
      <c r="J21" s="18" t="str">
        <f aca="false">IF($B21="","",$B21-WEEKDAY($B21,2)+1)</f>
        <v/>
      </c>
      <c r="K21" s="28" t="str">
        <f aca="false">IF(OR($I21="",$I21="?",$D21&lt;&gt;"Advance",$B21=""),"",$I21&amp;"|"&amp;$J21&amp;"|"&amp;COUNTIFS($I$6:$I21,$I21,$J$6:$J21,$J21,$D$6:$D21,"Advance"))</f>
        <v/>
      </c>
      <c r="L21" s="29" t="str">
        <f aca="false">IF(OR($I21="",$I21="?",$B21=""),"",SUMPRODUCT((Weeks!$A$6:$A$58&lt;=$J21)*(Weeks!$Z$4:$AK$4=$I21)*Weeks!$Z$6:$AK$58)-SUMIFS($E$6:$E$1005,$I$6:$I$1005,$I21,$B$6:$B$1005,"&lt;="&amp;$B21))</f>
        <v/>
      </c>
      <c r="M21" s="19" t="str">
        <f aca="false">IF($B21&amp;$C21&amp;$D21&amp;$E21="","",IF($B21="","missing date",IF($C21="","missing worker",IF($I21="?","unknown worker - was the name changed on Workers?",IF($D21="","missing type",IF(N($E21)=0,"missing amount",IF(AND($E21&lt;0,$D21&lt;&gt;"Correction"),"negative amount - use a Correction to undo",IF(OR($B21&lt;Weeks!$A$6,$B21&gt;Weeks!$B$58),"date outside this workbook's year",IF(AND($D21="Advance",N($L21)&lt;0),"Warning: more than earned so far - worker now owes "&amp;ROUND(-$L21,0),"")))))))))</f>
        <v/>
      </c>
    </row>
    <row r="22" customFormat="false" ht="15" hidden="false" customHeight="false" outlineLevel="0" collapsed="false">
      <c r="A22" s="24" t="str">
        <f aca="false">IF($B22="","",ROW()-5)</f>
        <v/>
      </c>
      <c r="B22" s="25"/>
      <c r="C22" s="20"/>
      <c r="D22" s="26"/>
      <c r="E22" s="27"/>
      <c r="F22" s="20"/>
      <c r="G22" s="20"/>
      <c r="H22" s="26"/>
      <c r="I22" s="24" t="str">
        <f aca="false">IF($C22="","",IFERROR(INDEX(WorkerIDs,MATCH($C22,WorkerNames,0)),"?"))</f>
        <v/>
      </c>
      <c r="J22" s="18" t="str">
        <f aca="false">IF($B22="","",$B22-WEEKDAY($B22,2)+1)</f>
        <v/>
      </c>
      <c r="K22" s="28" t="str">
        <f aca="false">IF(OR($I22="",$I22="?",$D22&lt;&gt;"Advance",$B22=""),"",$I22&amp;"|"&amp;$J22&amp;"|"&amp;COUNTIFS($I$6:$I22,$I22,$J$6:$J22,$J22,$D$6:$D22,"Advance"))</f>
        <v/>
      </c>
      <c r="L22" s="29" t="str">
        <f aca="false">IF(OR($I22="",$I22="?",$B22=""),"",SUMPRODUCT((Weeks!$A$6:$A$58&lt;=$J22)*(Weeks!$Z$4:$AK$4=$I22)*Weeks!$Z$6:$AK$58)-SUMIFS($E$6:$E$1005,$I$6:$I$1005,$I22,$B$6:$B$1005,"&lt;="&amp;$B22))</f>
        <v/>
      </c>
      <c r="M22" s="19" t="str">
        <f aca="false">IF($B22&amp;$C22&amp;$D22&amp;$E22="","",IF($B22="","missing date",IF($C22="","missing worker",IF($I22="?","unknown worker - was the name changed on Workers?",IF($D22="","missing type",IF(N($E22)=0,"missing amount",IF(AND($E22&lt;0,$D22&lt;&gt;"Correction"),"negative amount - use a Correction to undo",IF(OR($B22&lt;Weeks!$A$6,$B22&gt;Weeks!$B$58),"date outside this workbook's year",IF(AND($D22="Advance",N($L22)&lt;0),"Warning: more than earned so far - worker now owes "&amp;ROUND(-$L22,0),"")))))))))</f>
        <v/>
      </c>
    </row>
    <row r="23" customFormat="false" ht="15" hidden="false" customHeight="false" outlineLevel="0" collapsed="false">
      <c r="A23" s="24" t="str">
        <f aca="false">IF($B23="","",ROW()-5)</f>
        <v/>
      </c>
      <c r="B23" s="25"/>
      <c r="C23" s="20"/>
      <c r="D23" s="26"/>
      <c r="E23" s="27"/>
      <c r="F23" s="20"/>
      <c r="G23" s="20"/>
      <c r="H23" s="26"/>
      <c r="I23" s="24" t="str">
        <f aca="false">IF($C23="","",IFERROR(INDEX(WorkerIDs,MATCH($C23,WorkerNames,0)),"?"))</f>
        <v/>
      </c>
      <c r="J23" s="18" t="str">
        <f aca="false">IF($B23="","",$B23-WEEKDAY($B23,2)+1)</f>
        <v/>
      </c>
      <c r="K23" s="28" t="str">
        <f aca="false">IF(OR($I23="",$I23="?",$D23&lt;&gt;"Advance",$B23=""),"",$I23&amp;"|"&amp;$J23&amp;"|"&amp;COUNTIFS($I$6:$I23,$I23,$J$6:$J23,$J23,$D$6:$D23,"Advance"))</f>
        <v/>
      </c>
      <c r="L23" s="29" t="str">
        <f aca="false">IF(OR($I23="",$I23="?",$B23=""),"",SUMPRODUCT((Weeks!$A$6:$A$58&lt;=$J23)*(Weeks!$Z$4:$AK$4=$I23)*Weeks!$Z$6:$AK$58)-SUMIFS($E$6:$E$1005,$I$6:$I$1005,$I23,$B$6:$B$1005,"&lt;="&amp;$B23))</f>
        <v/>
      </c>
      <c r="M23" s="19" t="str">
        <f aca="false">IF($B23&amp;$C23&amp;$D23&amp;$E23="","",IF($B23="","missing date",IF($C23="","missing worker",IF($I23="?","unknown worker - was the name changed on Workers?",IF($D23="","missing type",IF(N($E23)=0,"missing amount",IF(AND($E23&lt;0,$D23&lt;&gt;"Correction"),"negative amount - use a Correction to undo",IF(OR($B23&lt;Weeks!$A$6,$B23&gt;Weeks!$B$58),"date outside this workbook's year",IF(AND($D23="Advance",N($L23)&lt;0),"Warning: more than earned so far - worker now owes "&amp;ROUND(-$L23,0),"")))))))))</f>
        <v/>
      </c>
    </row>
    <row r="24" customFormat="false" ht="15" hidden="false" customHeight="false" outlineLevel="0" collapsed="false">
      <c r="A24" s="24" t="str">
        <f aca="false">IF($B24="","",ROW()-5)</f>
        <v/>
      </c>
      <c r="B24" s="25"/>
      <c r="C24" s="20"/>
      <c r="D24" s="26"/>
      <c r="E24" s="27"/>
      <c r="F24" s="20"/>
      <c r="G24" s="20"/>
      <c r="H24" s="26"/>
      <c r="I24" s="24" t="str">
        <f aca="false">IF($C24="","",IFERROR(INDEX(WorkerIDs,MATCH($C24,WorkerNames,0)),"?"))</f>
        <v/>
      </c>
      <c r="J24" s="18" t="str">
        <f aca="false">IF($B24="","",$B24-WEEKDAY($B24,2)+1)</f>
        <v/>
      </c>
      <c r="K24" s="28" t="str">
        <f aca="false">IF(OR($I24="",$I24="?",$D24&lt;&gt;"Advance",$B24=""),"",$I24&amp;"|"&amp;$J24&amp;"|"&amp;COUNTIFS($I$6:$I24,$I24,$J$6:$J24,$J24,$D$6:$D24,"Advance"))</f>
        <v/>
      </c>
      <c r="L24" s="29" t="str">
        <f aca="false">IF(OR($I24="",$I24="?",$B24=""),"",SUMPRODUCT((Weeks!$A$6:$A$58&lt;=$J24)*(Weeks!$Z$4:$AK$4=$I24)*Weeks!$Z$6:$AK$58)-SUMIFS($E$6:$E$1005,$I$6:$I$1005,$I24,$B$6:$B$1005,"&lt;="&amp;$B24))</f>
        <v/>
      </c>
      <c r="M24" s="19" t="str">
        <f aca="false">IF($B24&amp;$C24&amp;$D24&amp;$E24="","",IF($B24="","missing date",IF($C24="","missing worker",IF($I24="?","unknown worker - was the name changed on Workers?",IF($D24="","missing type",IF(N($E24)=0,"missing amount",IF(AND($E24&lt;0,$D24&lt;&gt;"Correction"),"negative amount - use a Correction to undo",IF(OR($B24&lt;Weeks!$A$6,$B24&gt;Weeks!$B$58),"date outside this workbook's year",IF(AND($D24="Advance",N($L24)&lt;0),"Warning: more than earned so far - worker now owes "&amp;ROUND(-$L24,0),"")))))))))</f>
        <v/>
      </c>
    </row>
    <row r="25" customFormat="false" ht="15" hidden="false" customHeight="false" outlineLevel="0" collapsed="false">
      <c r="A25" s="24" t="str">
        <f aca="false">IF($B25="","",ROW()-5)</f>
        <v/>
      </c>
      <c r="B25" s="25"/>
      <c r="C25" s="20"/>
      <c r="D25" s="26"/>
      <c r="E25" s="27"/>
      <c r="F25" s="20"/>
      <c r="G25" s="20"/>
      <c r="H25" s="26"/>
      <c r="I25" s="24" t="str">
        <f aca="false">IF($C25="","",IFERROR(INDEX(WorkerIDs,MATCH($C25,WorkerNames,0)),"?"))</f>
        <v/>
      </c>
      <c r="J25" s="18" t="str">
        <f aca="false">IF($B25="","",$B25-WEEKDAY($B25,2)+1)</f>
        <v/>
      </c>
      <c r="K25" s="28" t="str">
        <f aca="false">IF(OR($I25="",$I25="?",$D25&lt;&gt;"Advance",$B25=""),"",$I25&amp;"|"&amp;$J25&amp;"|"&amp;COUNTIFS($I$6:$I25,$I25,$J$6:$J25,$J25,$D$6:$D25,"Advance"))</f>
        <v/>
      </c>
      <c r="L25" s="29" t="str">
        <f aca="false">IF(OR($I25="",$I25="?",$B25=""),"",SUMPRODUCT((Weeks!$A$6:$A$58&lt;=$J25)*(Weeks!$Z$4:$AK$4=$I25)*Weeks!$Z$6:$AK$58)-SUMIFS($E$6:$E$1005,$I$6:$I$1005,$I25,$B$6:$B$1005,"&lt;="&amp;$B25))</f>
        <v/>
      </c>
      <c r="M25" s="19" t="str">
        <f aca="false">IF($B25&amp;$C25&amp;$D25&amp;$E25="","",IF($B25="","missing date",IF($C25="","missing worker",IF($I25="?","unknown worker - was the name changed on Workers?",IF($D25="","missing type",IF(N($E25)=0,"missing amount",IF(AND($E25&lt;0,$D25&lt;&gt;"Correction"),"negative amount - use a Correction to undo",IF(OR($B25&lt;Weeks!$A$6,$B25&gt;Weeks!$B$58),"date outside this workbook's year",IF(AND($D25="Advance",N($L25)&lt;0),"Warning: more than earned so far - worker now owes "&amp;ROUND(-$L25,0),"")))))))))</f>
        <v/>
      </c>
    </row>
    <row r="26" customFormat="false" ht="15" hidden="false" customHeight="false" outlineLevel="0" collapsed="false">
      <c r="A26" s="24" t="str">
        <f aca="false">IF($B26="","",ROW()-5)</f>
        <v/>
      </c>
      <c r="B26" s="25"/>
      <c r="C26" s="20"/>
      <c r="D26" s="26"/>
      <c r="E26" s="27"/>
      <c r="F26" s="20"/>
      <c r="G26" s="20"/>
      <c r="H26" s="26"/>
      <c r="I26" s="24" t="str">
        <f aca="false">IF($C26="","",IFERROR(INDEX(WorkerIDs,MATCH($C26,WorkerNames,0)),"?"))</f>
        <v/>
      </c>
      <c r="J26" s="18" t="str">
        <f aca="false">IF($B26="","",$B26-WEEKDAY($B26,2)+1)</f>
        <v/>
      </c>
      <c r="K26" s="28" t="str">
        <f aca="false">IF(OR($I26="",$I26="?",$D26&lt;&gt;"Advance",$B26=""),"",$I26&amp;"|"&amp;$J26&amp;"|"&amp;COUNTIFS($I$6:$I26,$I26,$J$6:$J26,$J26,$D$6:$D26,"Advance"))</f>
        <v/>
      </c>
      <c r="L26" s="29" t="str">
        <f aca="false">IF(OR($I26="",$I26="?",$B26=""),"",SUMPRODUCT((Weeks!$A$6:$A$58&lt;=$J26)*(Weeks!$Z$4:$AK$4=$I26)*Weeks!$Z$6:$AK$58)-SUMIFS($E$6:$E$1005,$I$6:$I$1005,$I26,$B$6:$B$1005,"&lt;="&amp;$B26))</f>
        <v/>
      </c>
      <c r="M26" s="19" t="str">
        <f aca="false">IF($B26&amp;$C26&amp;$D26&amp;$E26="","",IF($B26="","missing date",IF($C26="","missing worker",IF($I26="?","unknown worker - was the name changed on Workers?",IF($D26="","missing type",IF(N($E26)=0,"missing amount",IF(AND($E26&lt;0,$D26&lt;&gt;"Correction"),"negative amount - use a Correction to undo",IF(OR($B26&lt;Weeks!$A$6,$B26&gt;Weeks!$B$58),"date outside this workbook's year",IF(AND($D26="Advance",N($L26)&lt;0),"Warning: more than earned so far - worker now owes "&amp;ROUND(-$L26,0),"")))))))))</f>
        <v/>
      </c>
    </row>
    <row r="27" customFormat="false" ht="15" hidden="false" customHeight="false" outlineLevel="0" collapsed="false">
      <c r="A27" s="24" t="str">
        <f aca="false">IF($B27="","",ROW()-5)</f>
        <v/>
      </c>
      <c r="B27" s="25"/>
      <c r="C27" s="20"/>
      <c r="D27" s="26"/>
      <c r="E27" s="27"/>
      <c r="F27" s="20"/>
      <c r="G27" s="20"/>
      <c r="H27" s="26"/>
      <c r="I27" s="24" t="str">
        <f aca="false">IF($C27="","",IFERROR(INDEX(WorkerIDs,MATCH($C27,WorkerNames,0)),"?"))</f>
        <v/>
      </c>
      <c r="J27" s="18" t="str">
        <f aca="false">IF($B27="","",$B27-WEEKDAY($B27,2)+1)</f>
        <v/>
      </c>
      <c r="K27" s="28" t="str">
        <f aca="false">IF(OR($I27="",$I27="?",$D27&lt;&gt;"Advance",$B27=""),"",$I27&amp;"|"&amp;$J27&amp;"|"&amp;COUNTIFS($I$6:$I27,$I27,$J$6:$J27,$J27,$D$6:$D27,"Advance"))</f>
        <v/>
      </c>
      <c r="L27" s="29" t="str">
        <f aca="false">IF(OR($I27="",$I27="?",$B27=""),"",SUMPRODUCT((Weeks!$A$6:$A$58&lt;=$J27)*(Weeks!$Z$4:$AK$4=$I27)*Weeks!$Z$6:$AK$58)-SUMIFS($E$6:$E$1005,$I$6:$I$1005,$I27,$B$6:$B$1005,"&lt;="&amp;$B27))</f>
        <v/>
      </c>
      <c r="M27" s="19" t="str">
        <f aca="false">IF($B27&amp;$C27&amp;$D27&amp;$E27="","",IF($B27="","missing date",IF($C27="","missing worker",IF($I27="?","unknown worker - was the name changed on Workers?",IF($D27="","missing type",IF(N($E27)=0,"missing amount",IF(AND($E27&lt;0,$D27&lt;&gt;"Correction"),"negative amount - use a Correction to undo",IF(OR($B27&lt;Weeks!$A$6,$B27&gt;Weeks!$B$58),"date outside this workbook's year",IF(AND($D27="Advance",N($L27)&lt;0),"Warning: more than earned so far - worker now owes "&amp;ROUND(-$L27,0),"")))))))))</f>
        <v/>
      </c>
    </row>
    <row r="28" customFormat="false" ht="15" hidden="false" customHeight="false" outlineLevel="0" collapsed="false">
      <c r="A28" s="24" t="str">
        <f aca="false">IF($B28="","",ROW()-5)</f>
        <v/>
      </c>
      <c r="B28" s="25"/>
      <c r="C28" s="20"/>
      <c r="D28" s="26"/>
      <c r="E28" s="27"/>
      <c r="F28" s="20"/>
      <c r="G28" s="20"/>
      <c r="H28" s="26"/>
      <c r="I28" s="24" t="str">
        <f aca="false">IF($C28="","",IFERROR(INDEX(WorkerIDs,MATCH($C28,WorkerNames,0)),"?"))</f>
        <v/>
      </c>
      <c r="J28" s="18" t="str">
        <f aca="false">IF($B28="","",$B28-WEEKDAY($B28,2)+1)</f>
        <v/>
      </c>
      <c r="K28" s="28" t="str">
        <f aca="false">IF(OR($I28="",$I28="?",$D28&lt;&gt;"Advance",$B28=""),"",$I28&amp;"|"&amp;$J28&amp;"|"&amp;COUNTIFS($I$6:$I28,$I28,$J$6:$J28,$J28,$D$6:$D28,"Advance"))</f>
        <v/>
      </c>
      <c r="L28" s="29" t="str">
        <f aca="false">IF(OR($I28="",$I28="?",$B28=""),"",SUMPRODUCT((Weeks!$A$6:$A$58&lt;=$J28)*(Weeks!$Z$4:$AK$4=$I28)*Weeks!$Z$6:$AK$58)-SUMIFS($E$6:$E$1005,$I$6:$I$1005,$I28,$B$6:$B$1005,"&lt;="&amp;$B28))</f>
        <v/>
      </c>
      <c r="M28" s="19" t="str">
        <f aca="false">IF($B28&amp;$C28&amp;$D28&amp;$E28="","",IF($B28="","missing date",IF($C28="","missing worker",IF($I28="?","unknown worker - was the name changed on Workers?",IF($D28="","missing type",IF(N($E28)=0,"missing amount",IF(AND($E28&lt;0,$D28&lt;&gt;"Correction"),"negative amount - use a Correction to undo",IF(OR($B28&lt;Weeks!$A$6,$B28&gt;Weeks!$B$58),"date outside this workbook's year",IF(AND($D28="Advance",N($L28)&lt;0),"Warning: more than earned so far - worker now owes "&amp;ROUND(-$L28,0),"")))))))))</f>
        <v/>
      </c>
    </row>
    <row r="29" customFormat="false" ht="15" hidden="false" customHeight="false" outlineLevel="0" collapsed="false">
      <c r="A29" s="24" t="str">
        <f aca="false">IF($B29="","",ROW()-5)</f>
        <v/>
      </c>
      <c r="B29" s="25"/>
      <c r="C29" s="20"/>
      <c r="D29" s="26"/>
      <c r="E29" s="27"/>
      <c r="F29" s="20"/>
      <c r="G29" s="20"/>
      <c r="H29" s="26"/>
      <c r="I29" s="24" t="str">
        <f aca="false">IF($C29="","",IFERROR(INDEX(WorkerIDs,MATCH($C29,WorkerNames,0)),"?"))</f>
        <v/>
      </c>
      <c r="J29" s="18" t="str">
        <f aca="false">IF($B29="","",$B29-WEEKDAY($B29,2)+1)</f>
        <v/>
      </c>
      <c r="K29" s="28" t="str">
        <f aca="false">IF(OR($I29="",$I29="?",$D29&lt;&gt;"Advance",$B29=""),"",$I29&amp;"|"&amp;$J29&amp;"|"&amp;COUNTIFS($I$6:$I29,$I29,$J$6:$J29,$J29,$D$6:$D29,"Advance"))</f>
        <v/>
      </c>
      <c r="L29" s="29" t="str">
        <f aca="false">IF(OR($I29="",$I29="?",$B29=""),"",SUMPRODUCT((Weeks!$A$6:$A$58&lt;=$J29)*(Weeks!$Z$4:$AK$4=$I29)*Weeks!$Z$6:$AK$58)-SUMIFS($E$6:$E$1005,$I$6:$I$1005,$I29,$B$6:$B$1005,"&lt;="&amp;$B29))</f>
        <v/>
      </c>
      <c r="M29" s="19" t="str">
        <f aca="false">IF($B29&amp;$C29&amp;$D29&amp;$E29="","",IF($B29="","missing date",IF($C29="","missing worker",IF($I29="?","unknown worker - was the name changed on Workers?",IF($D29="","missing type",IF(N($E29)=0,"missing amount",IF(AND($E29&lt;0,$D29&lt;&gt;"Correction"),"negative amount - use a Correction to undo",IF(OR($B29&lt;Weeks!$A$6,$B29&gt;Weeks!$B$58),"date outside this workbook's year",IF(AND($D29="Advance",N($L29)&lt;0),"Warning: more than earned so far - worker now owes "&amp;ROUND(-$L29,0),"")))))))))</f>
        <v/>
      </c>
    </row>
    <row r="30" customFormat="false" ht="15" hidden="false" customHeight="false" outlineLevel="0" collapsed="false">
      <c r="A30" s="24" t="str">
        <f aca="false">IF($B30="","",ROW()-5)</f>
        <v/>
      </c>
      <c r="B30" s="25"/>
      <c r="C30" s="20"/>
      <c r="D30" s="26"/>
      <c r="E30" s="27"/>
      <c r="F30" s="20"/>
      <c r="G30" s="20"/>
      <c r="H30" s="26"/>
      <c r="I30" s="24" t="str">
        <f aca="false">IF($C30="","",IFERROR(INDEX(WorkerIDs,MATCH($C30,WorkerNames,0)),"?"))</f>
        <v/>
      </c>
      <c r="J30" s="18" t="str">
        <f aca="false">IF($B30="","",$B30-WEEKDAY($B30,2)+1)</f>
        <v/>
      </c>
      <c r="K30" s="28" t="str">
        <f aca="false">IF(OR($I30="",$I30="?",$D30&lt;&gt;"Advance",$B30=""),"",$I30&amp;"|"&amp;$J30&amp;"|"&amp;COUNTIFS($I$6:$I30,$I30,$J$6:$J30,$J30,$D$6:$D30,"Advance"))</f>
        <v/>
      </c>
      <c r="L30" s="29" t="str">
        <f aca="false">IF(OR($I30="",$I30="?",$B30=""),"",SUMPRODUCT((Weeks!$A$6:$A$58&lt;=$J30)*(Weeks!$Z$4:$AK$4=$I30)*Weeks!$Z$6:$AK$58)-SUMIFS($E$6:$E$1005,$I$6:$I$1005,$I30,$B$6:$B$1005,"&lt;="&amp;$B30))</f>
        <v/>
      </c>
      <c r="M30" s="19" t="str">
        <f aca="false">IF($B30&amp;$C30&amp;$D30&amp;$E30="","",IF($B30="","missing date",IF($C30="","missing worker",IF($I30="?","unknown worker - was the name changed on Workers?",IF($D30="","missing type",IF(N($E30)=0,"missing amount",IF(AND($E30&lt;0,$D30&lt;&gt;"Correction"),"negative amount - use a Correction to undo",IF(OR($B30&lt;Weeks!$A$6,$B30&gt;Weeks!$B$58),"date outside this workbook's year",IF(AND($D30="Advance",N($L30)&lt;0),"Warning: more than earned so far - worker now owes "&amp;ROUND(-$L30,0),"")))))))))</f>
        <v/>
      </c>
    </row>
    <row r="31" customFormat="false" ht="15" hidden="false" customHeight="false" outlineLevel="0" collapsed="false">
      <c r="A31" s="24" t="str">
        <f aca="false">IF($B31="","",ROW()-5)</f>
        <v/>
      </c>
      <c r="B31" s="25"/>
      <c r="C31" s="20"/>
      <c r="D31" s="26"/>
      <c r="E31" s="27"/>
      <c r="F31" s="20"/>
      <c r="G31" s="20"/>
      <c r="H31" s="26"/>
      <c r="I31" s="24" t="str">
        <f aca="false">IF($C31="","",IFERROR(INDEX(WorkerIDs,MATCH($C31,WorkerNames,0)),"?"))</f>
        <v/>
      </c>
      <c r="J31" s="18" t="str">
        <f aca="false">IF($B31="","",$B31-WEEKDAY($B31,2)+1)</f>
        <v/>
      </c>
      <c r="K31" s="28" t="str">
        <f aca="false">IF(OR($I31="",$I31="?",$D31&lt;&gt;"Advance",$B31=""),"",$I31&amp;"|"&amp;$J31&amp;"|"&amp;COUNTIFS($I$6:$I31,$I31,$J$6:$J31,$J31,$D$6:$D31,"Advance"))</f>
        <v/>
      </c>
      <c r="L31" s="29" t="str">
        <f aca="false">IF(OR($I31="",$I31="?",$B31=""),"",SUMPRODUCT((Weeks!$A$6:$A$58&lt;=$J31)*(Weeks!$Z$4:$AK$4=$I31)*Weeks!$Z$6:$AK$58)-SUMIFS($E$6:$E$1005,$I$6:$I$1005,$I31,$B$6:$B$1005,"&lt;="&amp;$B31))</f>
        <v/>
      </c>
      <c r="M31" s="19" t="str">
        <f aca="false">IF($B31&amp;$C31&amp;$D31&amp;$E31="","",IF($B31="","missing date",IF($C31="","missing worker",IF($I31="?","unknown worker - was the name changed on Workers?",IF($D31="","missing type",IF(N($E31)=0,"missing amount",IF(AND($E31&lt;0,$D31&lt;&gt;"Correction"),"negative amount - use a Correction to undo",IF(OR($B31&lt;Weeks!$A$6,$B31&gt;Weeks!$B$58),"date outside this workbook's year",IF(AND($D31="Advance",N($L31)&lt;0),"Warning: more than earned so far - worker now owes "&amp;ROUND(-$L31,0),"")))))))))</f>
        <v/>
      </c>
    </row>
    <row r="32" customFormat="false" ht="15" hidden="false" customHeight="false" outlineLevel="0" collapsed="false">
      <c r="A32" s="24" t="str">
        <f aca="false">IF($B32="","",ROW()-5)</f>
        <v/>
      </c>
      <c r="B32" s="25"/>
      <c r="C32" s="20"/>
      <c r="D32" s="26"/>
      <c r="E32" s="27"/>
      <c r="F32" s="20"/>
      <c r="G32" s="20"/>
      <c r="H32" s="26"/>
      <c r="I32" s="24" t="str">
        <f aca="false">IF($C32="","",IFERROR(INDEX(WorkerIDs,MATCH($C32,WorkerNames,0)),"?"))</f>
        <v/>
      </c>
      <c r="J32" s="18" t="str">
        <f aca="false">IF($B32="","",$B32-WEEKDAY($B32,2)+1)</f>
        <v/>
      </c>
      <c r="K32" s="28" t="str">
        <f aca="false">IF(OR($I32="",$I32="?",$D32&lt;&gt;"Advance",$B32=""),"",$I32&amp;"|"&amp;$J32&amp;"|"&amp;COUNTIFS($I$6:$I32,$I32,$J$6:$J32,$J32,$D$6:$D32,"Advance"))</f>
        <v/>
      </c>
      <c r="L32" s="29" t="str">
        <f aca="false">IF(OR($I32="",$I32="?",$B32=""),"",SUMPRODUCT((Weeks!$A$6:$A$58&lt;=$J32)*(Weeks!$Z$4:$AK$4=$I32)*Weeks!$Z$6:$AK$58)-SUMIFS($E$6:$E$1005,$I$6:$I$1005,$I32,$B$6:$B$1005,"&lt;="&amp;$B32))</f>
        <v/>
      </c>
      <c r="M32" s="19" t="str">
        <f aca="false">IF($B32&amp;$C32&amp;$D32&amp;$E32="","",IF($B32="","missing date",IF($C32="","missing worker",IF($I32="?","unknown worker - was the name changed on Workers?",IF($D32="","missing type",IF(N($E32)=0,"missing amount",IF(AND($E32&lt;0,$D32&lt;&gt;"Correction"),"negative amount - use a Correction to undo",IF(OR($B32&lt;Weeks!$A$6,$B32&gt;Weeks!$B$58),"date outside this workbook's year",IF(AND($D32="Advance",N($L32)&lt;0),"Warning: more than earned so far - worker now owes "&amp;ROUND(-$L32,0),"")))))))))</f>
        <v/>
      </c>
    </row>
    <row r="33" customFormat="false" ht="15" hidden="false" customHeight="false" outlineLevel="0" collapsed="false">
      <c r="A33" s="24" t="str">
        <f aca="false">IF($B33="","",ROW()-5)</f>
        <v/>
      </c>
      <c r="B33" s="25"/>
      <c r="C33" s="20"/>
      <c r="D33" s="26"/>
      <c r="E33" s="27"/>
      <c r="F33" s="20"/>
      <c r="G33" s="20"/>
      <c r="H33" s="26"/>
      <c r="I33" s="24" t="str">
        <f aca="false">IF($C33="","",IFERROR(INDEX(WorkerIDs,MATCH($C33,WorkerNames,0)),"?"))</f>
        <v/>
      </c>
      <c r="J33" s="18" t="str">
        <f aca="false">IF($B33="","",$B33-WEEKDAY($B33,2)+1)</f>
        <v/>
      </c>
      <c r="K33" s="28" t="str">
        <f aca="false">IF(OR($I33="",$I33="?",$D33&lt;&gt;"Advance",$B33=""),"",$I33&amp;"|"&amp;$J33&amp;"|"&amp;COUNTIFS($I$6:$I33,$I33,$J$6:$J33,$J33,$D$6:$D33,"Advance"))</f>
        <v/>
      </c>
      <c r="L33" s="29" t="str">
        <f aca="false">IF(OR($I33="",$I33="?",$B33=""),"",SUMPRODUCT((Weeks!$A$6:$A$58&lt;=$J33)*(Weeks!$Z$4:$AK$4=$I33)*Weeks!$Z$6:$AK$58)-SUMIFS($E$6:$E$1005,$I$6:$I$1005,$I33,$B$6:$B$1005,"&lt;="&amp;$B33))</f>
        <v/>
      </c>
      <c r="M33" s="19" t="str">
        <f aca="false">IF($B33&amp;$C33&amp;$D33&amp;$E33="","",IF($B33="","missing date",IF($C33="","missing worker",IF($I33="?","unknown worker - was the name changed on Workers?",IF($D33="","missing type",IF(N($E33)=0,"missing amount",IF(AND($E33&lt;0,$D33&lt;&gt;"Correction"),"negative amount - use a Correction to undo",IF(OR($B33&lt;Weeks!$A$6,$B33&gt;Weeks!$B$58),"date outside this workbook's year",IF(AND($D33="Advance",N($L33)&lt;0),"Warning: more than earned so far - worker now owes "&amp;ROUND(-$L33,0),"")))))))))</f>
        <v/>
      </c>
    </row>
    <row r="34" customFormat="false" ht="15" hidden="false" customHeight="false" outlineLevel="0" collapsed="false">
      <c r="A34" s="24" t="str">
        <f aca="false">IF($B34="","",ROW()-5)</f>
        <v/>
      </c>
      <c r="B34" s="25"/>
      <c r="C34" s="20"/>
      <c r="D34" s="26"/>
      <c r="E34" s="27"/>
      <c r="F34" s="20"/>
      <c r="G34" s="20"/>
      <c r="H34" s="26"/>
      <c r="I34" s="24" t="str">
        <f aca="false">IF($C34="","",IFERROR(INDEX(WorkerIDs,MATCH($C34,WorkerNames,0)),"?"))</f>
        <v/>
      </c>
      <c r="J34" s="18" t="str">
        <f aca="false">IF($B34="","",$B34-WEEKDAY($B34,2)+1)</f>
        <v/>
      </c>
      <c r="K34" s="28" t="str">
        <f aca="false">IF(OR($I34="",$I34="?",$D34&lt;&gt;"Advance",$B34=""),"",$I34&amp;"|"&amp;$J34&amp;"|"&amp;COUNTIFS($I$6:$I34,$I34,$J$6:$J34,$J34,$D$6:$D34,"Advance"))</f>
        <v/>
      </c>
      <c r="L34" s="29" t="str">
        <f aca="false">IF(OR($I34="",$I34="?",$B34=""),"",SUMPRODUCT((Weeks!$A$6:$A$58&lt;=$J34)*(Weeks!$Z$4:$AK$4=$I34)*Weeks!$Z$6:$AK$58)-SUMIFS($E$6:$E$1005,$I$6:$I$1005,$I34,$B$6:$B$1005,"&lt;="&amp;$B34))</f>
        <v/>
      </c>
      <c r="M34" s="19" t="str">
        <f aca="false">IF($B34&amp;$C34&amp;$D34&amp;$E34="","",IF($B34="","missing date",IF($C34="","missing worker",IF($I34="?","unknown worker - was the name changed on Workers?",IF($D34="","missing type",IF(N($E34)=0,"missing amount",IF(AND($E34&lt;0,$D34&lt;&gt;"Correction"),"negative amount - use a Correction to undo",IF(OR($B34&lt;Weeks!$A$6,$B34&gt;Weeks!$B$58),"date outside this workbook's year",IF(AND($D34="Advance",N($L34)&lt;0),"Warning: more than earned so far - worker now owes "&amp;ROUND(-$L34,0),"")))))))))</f>
        <v/>
      </c>
    </row>
    <row r="35" customFormat="false" ht="15" hidden="false" customHeight="false" outlineLevel="0" collapsed="false">
      <c r="A35" s="24" t="str">
        <f aca="false">IF($B35="","",ROW()-5)</f>
        <v/>
      </c>
      <c r="B35" s="25"/>
      <c r="C35" s="20"/>
      <c r="D35" s="26"/>
      <c r="E35" s="27"/>
      <c r="F35" s="20"/>
      <c r="G35" s="20"/>
      <c r="H35" s="26"/>
      <c r="I35" s="24" t="str">
        <f aca="false">IF($C35="","",IFERROR(INDEX(WorkerIDs,MATCH($C35,WorkerNames,0)),"?"))</f>
        <v/>
      </c>
      <c r="J35" s="18" t="str">
        <f aca="false">IF($B35="","",$B35-WEEKDAY($B35,2)+1)</f>
        <v/>
      </c>
      <c r="K35" s="28" t="str">
        <f aca="false">IF(OR($I35="",$I35="?",$D35&lt;&gt;"Advance",$B35=""),"",$I35&amp;"|"&amp;$J35&amp;"|"&amp;COUNTIFS($I$6:$I35,$I35,$J$6:$J35,$J35,$D$6:$D35,"Advance"))</f>
        <v/>
      </c>
      <c r="L35" s="29" t="str">
        <f aca="false">IF(OR($I35="",$I35="?",$B35=""),"",SUMPRODUCT((Weeks!$A$6:$A$58&lt;=$J35)*(Weeks!$Z$4:$AK$4=$I35)*Weeks!$Z$6:$AK$58)-SUMIFS($E$6:$E$1005,$I$6:$I$1005,$I35,$B$6:$B$1005,"&lt;="&amp;$B35))</f>
        <v/>
      </c>
      <c r="M35" s="19" t="str">
        <f aca="false">IF($B35&amp;$C35&amp;$D35&amp;$E35="","",IF($B35="","missing date",IF($C35="","missing worker",IF($I35="?","unknown worker - was the name changed on Workers?",IF($D35="","missing type",IF(N($E35)=0,"missing amount",IF(AND($E35&lt;0,$D35&lt;&gt;"Correction"),"negative amount - use a Correction to undo",IF(OR($B35&lt;Weeks!$A$6,$B35&gt;Weeks!$B$58),"date outside this workbook's year",IF(AND($D35="Advance",N($L35)&lt;0),"Warning: more than earned so far - worker now owes "&amp;ROUND(-$L35,0),"")))))))))</f>
        <v/>
      </c>
    </row>
    <row r="36" customFormat="false" ht="15" hidden="false" customHeight="false" outlineLevel="0" collapsed="false">
      <c r="A36" s="24" t="str">
        <f aca="false">IF($B36="","",ROW()-5)</f>
        <v/>
      </c>
      <c r="B36" s="25"/>
      <c r="C36" s="20"/>
      <c r="D36" s="26"/>
      <c r="E36" s="27"/>
      <c r="F36" s="20"/>
      <c r="G36" s="20"/>
      <c r="H36" s="26"/>
      <c r="I36" s="24" t="str">
        <f aca="false">IF($C36="","",IFERROR(INDEX(WorkerIDs,MATCH($C36,WorkerNames,0)),"?"))</f>
        <v/>
      </c>
      <c r="J36" s="18" t="str">
        <f aca="false">IF($B36="","",$B36-WEEKDAY($B36,2)+1)</f>
        <v/>
      </c>
      <c r="K36" s="28" t="str">
        <f aca="false">IF(OR($I36="",$I36="?",$D36&lt;&gt;"Advance",$B36=""),"",$I36&amp;"|"&amp;$J36&amp;"|"&amp;COUNTIFS($I$6:$I36,$I36,$J$6:$J36,$J36,$D$6:$D36,"Advance"))</f>
        <v/>
      </c>
      <c r="L36" s="29" t="str">
        <f aca="false">IF(OR($I36="",$I36="?",$B36=""),"",SUMPRODUCT((Weeks!$A$6:$A$58&lt;=$J36)*(Weeks!$Z$4:$AK$4=$I36)*Weeks!$Z$6:$AK$58)-SUMIFS($E$6:$E$1005,$I$6:$I$1005,$I36,$B$6:$B$1005,"&lt;="&amp;$B36))</f>
        <v/>
      </c>
      <c r="M36" s="19" t="str">
        <f aca="false">IF($B36&amp;$C36&amp;$D36&amp;$E36="","",IF($B36="","missing date",IF($C36="","missing worker",IF($I36="?","unknown worker - was the name changed on Workers?",IF($D36="","missing type",IF(N($E36)=0,"missing amount",IF(AND($E36&lt;0,$D36&lt;&gt;"Correction"),"negative amount - use a Correction to undo",IF(OR($B36&lt;Weeks!$A$6,$B36&gt;Weeks!$B$58),"date outside this workbook's year",IF(AND($D36="Advance",N($L36)&lt;0),"Warning: more than earned so far - worker now owes "&amp;ROUND(-$L36,0),"")))))))))</f>
        <v/>
      </c>
    </row>
    <row r="37" customFormat="false" ht="15" hidden="false" customHeight="false" outlineLevel="0" collapsed="false">
      <c r="A37" s="24" t="str">
        <f aca="false">IF($B37="","",ROW()-5)</f>
        <v/>
      </c>
      <c r="B37" s="25"/>
      <c r="C37" s="20"/>
      <c r="D37" s="26"/>
      <c r="E37" s="27"/>
      <c r="F37" s="20"/>
      <c r="G37" s="20"/>
      <c r="H37" s="26"/>
      <c r="I37" s="24" t="str">
        <f aca="false">IF($C37="","",IFERROR(INDEX(WorkerIDs,MATCH($C37,WorkerNames,0)),"?"))</f>
        <v/>
      </c>
      <c r="J37" s="18" t="str">
        <f aca="false">IF($B37="","",$B37-WEEKDAY($B37,2)+1)</f>
        <v/>
      </c>
      <c r="K37" s="28" t="str">
        <f aca="false">IF(OR($I37="",$I37="?",$D37&lt;&gt;"Advance",$B37=""),"",$I37&amp;"|"&amp;$J37&amp;"|"&amp;COUNTIFS($I$6:$I37,$I37,$J$6:$J37,$J37,$D$6:$D37,"Advance"))</f>
        <v/>
      </c>
      <c r="L37" s="29" t="str">
        <f aca="false">IF(OR($I37="",$I37="?",$B37=""),"",SUMPRODUCT((Weeks!$A$6:$A$58&lt;=$J37)*(Weeks!$Z$4:$AK$4=$I37)*Weeks!$Z$6:$AK$58)-SUMIFS($E$6:$E$1005,$I$6:$I$1005,$I37,$B$6:$B$1005,"&lt;="&amp;$B37))</f>
        <v/>
      </c>
      <c r="M37" s="19" t="str">
        <f aca="false">IF($B37&amp;$C37&amp;$D37&amp;$E37="","",IF($B37="","missing date",IF($C37="","missing worker",IF($I37="?","unknown worker - was the name changed on Workers?",IF($D37="","missing type",IF(N($E37)=0,"missing amount",IF(AND($E37&lt;0,$D37&lt;&gt;"Correction"),"negative amount - use a Correction to undo",IF(OR($B37&lt;Weeks!$A$6,$B37&gt;Weeks!$B$58),"date outside this workbook's year",IF(AND($D37="Advance",N($L37)&lt;0),"Warning: more than earned so far - worker now owes "&amp;ROUND(-$L37,0),"")))))))))</f>
        <v/>
      </c>
    </row>
    <row r="38" customFormat="false" ht="15" hidden="false" customHeight="false" outlineLevel="0" collapsed="false">
      <c r="A38" s="24" t="str">
        <f aca="false">IF($B38="","",ROW()-5)</f>
        <v/>
      </c>
      <c r="B38" s="25"/>
      <c r="C38" s="20"/>
      <c r="D38" s="26"/>
      <c r="E38" s="27"/>
      <c r="F38" s="20"/>
      <c r="G38" s="20"/>
      <c r="H38" s="26"/>
      <c r="I38" s="24" t="str">
        <f aca="false">IF($C38="","",IFERROR(INDEX(WorkerIDs,MATCH($C38,WorkerNames,0)),"?"))</f>
        <v/>
      </c>
      <c r="J38" s="18" t="str">
        <f aca="false">IF($B38="","",$B38-WEEKDAY($B38,2)+1)</f>
        <v/>
      </c>
      <c r="K38" s="28" t="str">
        <f aca="false">IF(OR($I38="",$I38="?",$D38&lt;&gt;"Advance",$B38=""),"",$I38&amp;"|"&amp;$J38&amp;"|"&amp;COUNTIFS($I$6:$I38,$I38,$J$6:$J38,$J38,$D$6:$D38,"Advance"))</f>
        <v/>
      </c>
      <c r="L38" s="29" t="str">
        <f aca="false">IF(OR($I38="",$I38="?",$B38=""),"",SUMPRODUCT((Weeks!$A$6:$A$58&lt;=$J38)*(Weeks!$Z$4:$AK$4=$I38)*Weeks!$Z$6:$AK$58)-SUMIFS($E$6:$E$1005,$I$6:$I$1005,$I38,$B$6:$B$1005,"&lt;="&amp;$B38))</f>
        <v/>
      </c>
      <c r="M38" s="19" t="str">
        <f aca="false">IF($B38&amp;$C38&amp;$D38&amp;$E38="","",IF($B38="","missing date",IF($C38="","missing worker",IF($I38="?","unknown worker - was the name changed on Workers?",IF($D38="","missing type",IF(N($E38)=0,"missing amount",IF(AND($E38&lt;0,$D38&lt;&gt;"Correction"),"negative amount - use a Correction to undo",IF(OR($B38&lt;Weeks!$A$6,$B38&gt;Weeks!$B$58),"date outside this workbook's year",IF(AND($D38="Advance",N($L38)&lt;0),"Warning: more than earned so far - worker now owes "&amp;ROUND(-$L38,0),"")))))))))</f>
        <v/>
      </c>
    </row>
    <row r="39" customFormat="false" ht="15" hidden="false" customHeight="false" outlineLevel="0" collapsed="false">
      <c r="A39" s="24" t="str">
        <f aca="false">IF($B39="","",ROW()-5)</f>
        <v/>
      </c>
      <c r="B39" s="25"/>
      <c r="C39" s="20"/>
      <c r="D39" s="26"/>
      <c r="E39" s="27"/>
      <c r="F39" s="20"/>
      <c r="G39" s="20"/>
      <c r="H39" s="26"/>
      <c r="I39" s="24" t="str">
        <f aca="false">IF($C39="","",IFERROR(INDEX(WorkerIDs,MATCH($C39,WorkerNames,0)),"?"))</f>
        <v/>
      </c>
      <c r="J39" s="18" t="str">
        <f aca="false">IF($B39="","",$B39-WEEKDAY($B39,2)+1)</f>
        <v/>
      </c>
      <c r="K39" s="28" t="str">
        <f aca="false">IF(OR($I39="",$I39="?",$D39&lt;&gt;"Advance",$B39=""),"",$I39&amp;"|"&amp;$J39&amp;"|"&amp;COUNTIFS($I$6:$I39,$I39,$J$6:$J39,$J39,$D$6:$D39,"Advance"))</f>
        <v/>
      </c>
      <c r="L39" s="29" t="str">
        <f aca="false">IF(OR($I39="",$I39="?",$B39=""),"",SUMPRODUCT((Weeks!$A$6:$A$58&lt;=$J39)*(Weeks!$Z$4:$AK$4=$I39)*Weeks!$Z$6:$AK$58)-SUMIFS($E$6:$E$1005,$I$6:$I$1005,$I39,$B$6:$B$1005,"&lt;="&amp;$B39))</f>
        <v/>
      </c>
      <c r="M39" s="19" t="str">
        <f aca="false">IF($B39&amp;$C39&amp;$D39&amp;$E39="","",IF($B39="","missing date",IF($C39="","missing worker",IF($I39="?","unknown worker - was the name changed on Workers?",IF($D39="","missing type",IF(N($E39)=0,"missing amount",IF(AND($E39&lt;0,$D39&lt;&gt;"Correction"),"negative amount - use a Correction to undo",IF(OR($B39&lt;Weeks!$A$6,$B39&gt;Weeks!$B$58),"date outside this workbook's year",IF(AND($D39="Advance",N($L39)&lt;0),"Warning: more than earned so far - worker now owes "&amp;ROUND(-$L39,0),"")))))))))</f>
        <v/>
      </c>
    </row>
    <row r="40" customFormat="false" ht="15" hidden="false" customHeight="false" outlineLevel="0" collapsed="false">
      <c r="A40" s="24" t="str">
        <f aca="false">IF($B40="","",ROW()-5)</f>
        <v/>
      </c>
      <c r="B40" s="25"/>
      <c r="C40" s="20"/>
      <c r="D40" s="26"/>
      <c r="E40" s="27"/>
      <c r="F40" s="20"/>
      <c r="G40" s="20"/>
      <c r="H40" s="26"/>
      <c r="I40" s="24" t="str">
        <f aca="false">IF($C40="","",IFERROR(INDEX(WorkerIDs,MATCH($C40,WorkerNames,0)),"?"))</f>
        <v/>
      </c>
      <c r="J40" s="18" t="str">
        <f aca="false">IF($B40="","",$B40-WEEKDAY($B40,2)+1)</f>
        <v/>
      </c>
      <c r="K40" s="28" t="str">
        <f aca="false">IF(OR($I40="",$I40="?",$D40&lt;&gt;"Advance",$B40=""),"",$I40&amp;"|"&amp;$J40&amp;"|"&amp;COUNTIFS($I$6:$I40,$I40,$J$6:$J40,$J40,$D$6:$D40,"Advance"))</f>
        <v/>
      </c>
      <c r="L40" s="29" t="str">
        <f aca="false">IF(OR($I40="",$I40="?",$B40=""),"",SUMPRODUCT((Weeks!$A$6:$A$58&lt;=$J40)*(Weeks!$Z$4:$AK$4=$I40)*Weeks!$Z$6:$AK$58)-SUMIFS($E$6:$E$1005,$I$6:$I$1005,$I40,$B$6:$B$1005,"&lt;="&amp;$B40))</f>
        <v/>
      </c>
      <c r="M40" s="19" t="str">
        <f aca="false">IF($B40&amp;$C40&amp;$D40&amp;$E40="","",IF($B40="","missing date",IF($C40="","missing worker",IF($I40="?","unknown worker - was the name changed on Workers?",IF($D40="","missing type",IF(N($E40)=0,"missing amount",IF(AND($E40&lt;0,$D40&lt;&gt;"Correction"),"negative amount - use a Correction to undo",IF(OR($B40&lt;Weeks!$A$6,$B40&gt;Weeks!$B$58),"date outside this workbook's year",IF(AND($D40="Advance",N($L40)&lt;0),"Warning: more than earned so far - worker now owes "&amp;ROUND(-$L40,0),"")))))))))</f>
        <v/>
      </c>
    </row>
    <row r="41" customFormat="false" ht="15" hidden="false" customHeight="false" outlineLevel="0" collapsed="false">
      <c r="A41" s="24" t="str">
        <f aca="false">IF($B41="","",ROW()-5)</f>
        <v/>
      </c>
      <c r="B41" s="25"/>
      <c r="C41" s="20"/>
      <c r="D41" s="26"/>
      <c r="E41" s="27"/>
      <c r="F41" s="20"/>
      <c r="G41" s="20"/>
      <c r="H41" s="26"/>
      <c r="I41" s="24" t="str">
        <f aca="false">IF($C41="","",IFERROR(INDEX(WorkerIDs,MATCH($C41,WorkerNames,0)),"?"))</f>
        <v/>
      </c>
      <c r="J41" s="18" t="str">
        <f aca="false">IF($B41="","",$B41-WEEKDAY($B41,2)+1)</f>
        <v/>
      </c>
      <c r="K41" s="28" t="str">
        <f aca="false">IF(OR($I41="",$I41="?",$D41&lt;&gt;"Advance",$B41=""),"",$I41&amp;"|"&amp;$J41&amp;"|"&amp;COUNTIFS($I$6:$I41,$I41,$J$6:$J41,$J41,$D$6:$D41,"Advance"))</f>
        <v/>
      </c>
      <c r="L41" s="29" t="str">
        <f aca="false">IF(OR($I41="",$I41="?",$B41=""),"",SUMPRODUCT((Weeks!$A$6:$A$58&lt;=$J41)*(Weeks!$Z$4:$AK$4=$I41)*Weeks!$Z$6:$AK$58)-SUMIFS($E$6:$E$1005,$I$6:$I$1005,$I41,$B$6:$B$1005,"&lt;="&amp;$B41))</f>
        <v/>
      </c>
      <c r="M41" s="19" t="str">
        <f aca="false">IF($B41&amp;$C41&amp;$D41&amp;$E41="","",IF($B41="","missing date",IF($C41="","missing worker",IF($I41="?","unknown worker - was the name changed on Workers?",IF($D41="","missing type",IF(N($E41)=0,"missing amount",IF(AND($E41&lt;0,$D41&lt;&gt;"Correction"),"negative amount - use a Correction to undo",IF(OR($B41&lt;Weeks!$A$6,$B41&gt;Weeks!$B$58),"date outside this workbook's year",IF(AND($D41="Advance",N($L41)&lt;0),"Warning: more than earned so far - worker now owes "&amp;ROUND(-$L41,0),"")))))))))</f>
        <v/>
      </c>
    </row>
    <row r="42" customFormat="false" ht="15" hidden="false" customHeight="false" outlineLevel="0" collapsed="false">
      <c r="A42" s="24" t="str">
        <f aca="false">IF($B42="","",ROW()-5)</f>
        <v/>
      </c>
      <c r="B42" s="25"/>
      <c r="C42" s="20"/>
      <c r="D42" s="26"/>
      <c r="E42" s="27"/>
      <c r="F42" s="20"/>
      <c r="G42" s="20"/>
      <c r="H42" s="26"/>
      <c r="I42" s="24" t="str">
        <f aca="false">IF($C42="","",IFERROR(INDEX(WorkerIDs,MATCH($C42,WorkerNames,0)),"?"))</f>
        <v/>
      </c>
      <c r="J42" s="18" t="str">
        <f aca="false">IF($B42="","",$B42-WEEKDAY($B42,2)+1)</f>
        <v/>
      </c>
      <c r="K42" s="28" t="str">
        <f aca="false">IF(OR($I42="",$I42="?",$D42&lt;&gt;"Advance",$B42=""),"",$I42&amp;"|"&amp;$J42&amp;"|"&amp;COUNTIFS($I$6:$I42,$I42,$J$6:$J42,$J42,$D$6:$D42,"Advance"))</f>
        <v/>
      </c>
      <c r="L42" s="29" t="str">
        <f aca="false">IF(OR($I42="",$I42="?",$B42=""),"",SUMPRODUCT((Weeks!$A$6:$A$58&lt;=$J42)*(Weeks!$Z$4:$AK$4=$I42)*Weeks!$Z$6:$AK$58)-SUMIFS($E$6:$E$1005,$I$6:$I$1005,$I42,$B$6:$B$1005,"&lt;="&amp;$B42))</f>
        <v/>
      </c>
      <c r="M42" s="19" t="str">
        <f aca="false">IF($B42&amp;$C42&amp;$D42&amp;$E42="","",IF($B42="","missing date",IF($C42="","missing worker",IF($I42="?","unknown worker - was the name changed on Workers?",IF($D42="","missing type",IF(N($E42)=0,"missing amount",IF(AND($E42&lt;0,$D42&lt;&gt;"Correction"),"negative amount - use a Correction to undo",IF(OR($B42&lt;Weeks!$A$6,$B42&gt;Weeks!$B$58),"date outside this workbook's year",IF(AND($D42="Advance",N($L42)&lt;0),"Warning: more than earned so far - worker now owes "&amp;ROUND(-$L42,0),"")))))))))</f>
        <v/>
      </c>
    </row>
    <row r="43" customFormat="false" ht="15" hidden="false" customHeight="false" outlineLevel="0" collapsed="false">
      <c r="A43" s="24" t="str">
        <f aca="false">IF($B43="","",ROW()-5)</f>
        <v/>
      </c>
      <c r="B43" s="25"/>
      <c r="C43" s="20"/>
      <c r="D43" s="26"/>
      <c r="E43" s="27"/>
      <c r="F43" s="20"/>
      <c r="G43" s="20"/>
      <c r="H43" s="26"/>
      <c r="I43" s="24" t="str">
        <f aca="false">IF($C43="","",IFERROR(INDEX(WorkerIDs,MATCH($C43,WorkerNames,0)),"?"))</f>
        <v/>
      </c>
      <c r="J43" s="18" t="str">
        <f aca="false">IF($B43="","",$B43-WEEKDAY($B43,2)+1)</f>
        <v/>
      </c>
      <c r="K43" s="28" t="str">
        <f aca="false">IF(OR($I43="",$I43="?",$D43&lt;&gt;"Advance",$B43=""),"",$I43&amp;"|"&amp;$J43&amp;"|"&amp;COUNTIFS($I$6:$I43,$I43,$J$6:$J43,$J43,$D$6:$D43,"Advance"))</f>
        <v/>
      </c>
      <c r="L43" s="29" t="str">
        <f aca="false">IF(OR($I43="",$I43="?",$B43=""),"",SUMPRODUCT((Weeks!$A$6:$A$58&lt;=$J43)*(Weeks!$Z$4:$AK$4=$I43)*Weeks!$Z$6:$AK$58)-SUMIFS($E$6:$E$1005,$I$6:$I$1005,$I43,$B$6:$B$1005,"&lt;="&amp;$B43))</f>
        <v/>
      </c>
      <c r="M43" s="19" t="str">
        <f aca="false">IF($B43&amp;$C43&amp;$D43&amp;$E43="","",IF($B43="","missing date",IF($C43="","missing worker",IF($I43="?","unknown worker - was the name changed on Workers?",IF($D43="","missing type",IF(N($E43)=0,"missing amount",IF(AND($E43&lt;0,$D43&lt;&gt;"Correction"),"negative amount - use a Correction to undo",IF(OR($B43&lt;Weeks!$A$6,$B43&gt;Weeks!$B$58),"date outside this workbook's year",IF(AND($D43="Advance",N($L43)&lt;0),"Warning: more than earned so far - worker now owes "&amp;ROUND(-$L43,0),"")))))))))</f>
        <v/>
      </c>
    </row>
    <row r="44" customFormat="false" ht="15" hidden="false" customHeight="false" outlineLevel="0" collapsed="false">
      <c r="A44" s="24" t="str">
        <f aca="false">IF($B44="","",ROW()-5)</f>
        <v/>
      </c>
      <c r="B44" s="25"/>
      <c r="C44" s="20"/>
      <c r="D44" s="26"/>
      <c r="E44" s="27"/>
      <c r="F44" s="20"/>
      <c r="G44" s="20"/>
      <c r="H44" s="26"/>
      <c r="I44" s="24" t="str">
        <f aca="false">IF($C44="","",IFERROR(INDEX(WorkerIDs,MATCH($C44,WorkerNames,0)),"?"))</f>
        <v/>
      </c>
      <c r="J44" s="18" t="str">
        <f aca="false">IF($B44="","",$B44-WEEKDAY($B44,2)+1)</f>
        <v/>
      </c>
      <c r="K44" s="28" t="str">
        <f aca="false">IF(OR($I44="",$I44="?",$D44&lt;&gt;"Advance",$B44=""),"",$I44&amp;"|"&amp;$J44&amp;"|"&amp;COUNTIFS($I$6:$I44,$I44,$J$6:$J44,$J44,$D$6:$D44,"Advance"))</f>
        <v/>
      </c>
      <c r="L44" s="29" t="str">
        <f aca="false">IF(OR($I44="",$I44="?",$B44=""),"",SUMPRODUCT((Weeks!$A$6:$A$58&lt;=$J44)*(Weeks!$Z$4:$AK$4=$I44)*Weeks!$Z$6:$AK$58)-SUMIFS($E$6:$E$1005,$I$6:$I$1005,$I44,$B$6:$B$1005,"&lt;="&amp;$B44))</f>
        <v/>
      </c>
      <c r="M44" s="19" t="str">
        <f aca="false">IF($B44&amp;$C44&amp;$D44&amp;$E44="","",IF($B44="","missing date",IF($C44="","missing worker",IF($I44="?","unknown worker - was the name changed on Workers?",IF($D44="","missing type",IF(N($E44)=0,"missing amount",IF(AND($E44&lt;0,$D44&lt;&gt;"Correction"),"negative amount - use a Correction to undo",IF(OR($B44&lt;Weeks!$A$6,$B44&gt;Weeks!$B$58),"date outside this workbook's year",IF(AND($D44="Advance",N($L44)&lt;0),"Warning: more than earned so far - worker now owes "&amp;ROUND(-$L44,0),"")))))))))</f>
        <v/>
      </c>
    </row>
    <row r="45" customFormat="false" ht="15" hidden="false" customHeight="false" outlineLevel="0" collapsed="false">
      <c r="A45" s="24" t="str">
        <f aca="false">IF($B45="","",ROW()-5)</f>
        <v/>
      </c>
      <c r="B45" s="25"/>
      <c r="C45" s="20"/>
      <c r="D45" s="26"/>
      <c r="E45" s="27"/>
      <c r="F45" s="20"/>
      <c r="G45" s="20"/>
      <c r="H45" s="26"/>
      <c r="I45" s="24" t="str">
        <f aca="false">IF($C45="","",IFERROR(INDEX(WorkerIDs,MATCH($C45,WorkerNames,0)),"?"))</f>
        <v/>
      </c>
      <c r="J45" s="18" t="str">
        <f aca="false">IF($B45="","",$B45-WEEKDAY($B45,2)+1)</f>
        <v/>
      </c>
      <c r="K45" s="28" t="str">
        <f aca="false">IF(OR($I45="",$I45="?",$D45&lt;&gt;"Advance",$B45=""),"",$I45&amp;"|"&amp;$J45&amp;"|"&amp;COUNTIFS($I$6:$I45,$I45,$J$6:$J45,$J45,$D$6:$D45,"Advance"))</f>
        <v/>
      </c>
      <c r="L45" s="29" t="str">
        <f aca="false">IF(OR($I45="",$I45="?",$B45=""),"",SUMPRODUCT((Weeks!$A$6:$A$58&lt;=$J45)*(Weeks!$Z$4:$AK$4=$I45)*Weeks!$Z$6:$AK$58)-SUMIFS($E$6:$E$1005,$I$6:$I$1005,$I45,$B$6:$B$1005,"&lt;="&amp;$B45))</f>
        <v/>
      </c>
      <c r="M45" s="19" t="str">
        <f aca="false">IF($B45&amp;$C45&amp;$D45&amp;$E45="","",IF($B45="","missing date",IF($C45="","missing worker",IF($I45="?","unknown worker - was the name changed on Workers?",IF($D45="","missing type",IF(N($E45)=0,"missing amount",IF(AND($E45&lt;0,$D45&lt;&gt;"Correction"),"negative amount - use a Correction to undo",IF(OR($B45&lt;Weeks!$A$6,$B45&gt;Weeks!$B$58),"date outside this workbook's year",IF(AND($D45="Advance",N($L45)&lt;0),"Warning: more than earned so far - worker now owes "&amp;ROUND(-$L45,0),"")))))))))</f>
        <v/>
      </c>
    </row>
    <row r="46" customFormat="false" ht="15" hidden="false" customHeight="false" outlineLevel="0" collapsed="false">
      <c r="A46" s="24" t="str">
        <f aca="false">IF($B46="","",ROW()-5)</f>
        <v/>
      </c>
      <c r="B46" s="25"/>
      <c r="C46" s="20"/>
      <c r="D46" s="26"/>
      <c r="E46" s="27"/>
      <c r="F46" s="20"/>
      <c r="G46" s="20"/>
      <c r="H46" s="26"/>
      <c r="I46" s="24" t="str">
        <f aca="false">IF($C46="","",IFERROR(INDEX(WorkerIDs,MATCH($C46,WorkerNames,0)),"?"))</f>
        <v/>
      </c>
      <c r="J46" s="18" t="str">
        <f aca="false">IF($B46="","",$B46-WEEKDAY($B46,2)+1)</f>
        <v/>
      </c>
      <c r="K46" s="28" t="str">
        <f aca="false">IF(OR($I46="",$I46="?",$D46&lt;&gt;"Advance",$B46=""),"",$I46&amp;"|"&amp;$J46&amp;"|"&amp;COUNTIFS($I$6:$I46,$I46,$J$6:$J46,$J46,$D$6:$D46,"Advance"))</f>
        <v/>
      </c>
      <c r="L46" s="29" t="str">
        <f aca="false">IF(OR($I46="",$I46="?",$B46=""),"",SUMPRODUCT((Weeks!$A$6:$A$58&lt;=$J46)*(Weeks!$Z$4:$AK$4=$I46)*Weeks!$Z$6:$AK$58)-SUMIFS($E$6:$E$1005,$I$6:$I$1005,$I46,$B$6:$B$1005,"&lt;="&amp;$B46))</f>
        <v/>
      </c>
      <c r="M46" s="19" t="str">
        <f aca="false">IF($B46&amp;$C46&amp;$D46&amp;$E46="","",IF($B46="","missing date",IF($C46="","missing worker",IF($I46="?","unknown worker - was the name changed on Workers?",IF($D46="","missing type",IF(N($E46)=0,"missing amount",IF(AND($E46&lt;0,$D46&lt;&gt;"Correction"),"negative amount - use a Correction to undo",IF(OR($B46&lt;Weeks!$A$6,$B46&gt;Weeks!$B$58),"date outside this workbook's year",IF(AND($D46="Advance",N($L46)&lt;0),"Warning: more than earned so far - worker now owes "&amp;ROUND(-$L46,0),"")))))))))</f>
        <v/>
      </c>
    </row>
    <row r="47" customFormat="false" ht="15" hidden="false" customHeight="false" outlineLevel="0" collapsed="false">
      <c r="A47" s="24" t="str">
        <f aca="false">IF($B47="","",ROW()-5)</f>
        <v/>
      </c>
      <c r="B47" s="25"/>
      <c r="C47" s="20"/>
      <c r="D47" s="26"/>
      <c r="E47" s="27"/>
      <c r="F47" s="20"/>
      <c r="G47" s="20"/>
      <c r="H47" s="26"/>
      <c r="I47" s="24" t="str">
        <f aca="false">IF($C47="","",IFERROR(INDEX(WorkerIDs,MATCH($C47,WorkerNames,0)),"?"))</f>
        <v/>
      </c>
      <c r="J47" s="18" t="str">
        <f aca="false">IF($B47="","",$B47-WEEKDAY($B47,2)+1)</f>
        <v/>
      </c>
      <c r="K47" s="28" t="str">
        <f aca="false">IF(OR($I47="",$I47="?",$D47&lt;&gt;"Advance",$B47=""),"",$I47&amp;"|"&amp;$J47&amp;"|"&amp;COUNTIFS($I$6:$I47,$I47,$J$6:$J47,$J47,$D$6:$D47,"Advance"))</f>
        <v/>
      </c>
      <c r="L47" s="29" t="str">
        <f aca="false">IF(OR($I47="",$I47="?",$B47=""),"",SUMPRODUCT((Weeks!$A$6:$A$58&lt;=$J47)*(Weeks!$Z$4:$AK$4=$I47)*Weeks!$Z$6:$AK$58)-SUMIFS($E$6:$E$1005,$I$6:$I$1005,$I47,$B$6:$B$1005,"&lt;="&amp;$B47))</f>
        <v/>
      </c>
      <c r="M47" s="19" t="str">
        <f aca="false">IF($B47&amp;$C47&amp;$D47&amp;$E47="","",IF($B47="","missing date",IF($C47="","missing worker",IF($I47="?","unknown worker - was the name changed on Workers?",IF($D47="","missing type",IF(N($E47)=0,"missing amount",IF(AND($E47&lt;0,$D47&lt;&gt;"Correction"),"negative amount - use a Correction to undo",IF(OR($B47&lt;Weeks!$A$6,$B47&gt;Weeks!$B$58),"date outside this workbook's year",IF(AND($D47="Advance",N($L47)&lt;0),"Warning: more than earned so far - worker now owes "&amp;ROUND(-$L47,0),"")))))))))</f>
        <v/>
      </c>
    </row>
    <row r="48" customFormat="false" ht="15" hidden="false" customHeight="false" outlineLevel="0" collapsed="false">
      <c r="A48" s="24" t="str">
        <f aca="false">IF($B48="","",ROW()-5)</f>
        <v/>
      </c>
      <c r="B48" s="25"/>
      <c r="C48" s="20"/>
      <c r="D48" s="26"/>
      <c r="E48" s="27"/>
      <c r="F48" s="20"/>
      <c r="G48" s="20"/>
      <c r="H48" s="26"/>
      <c r="I48" s="24" t="str">
        <f aca="false">IF($C48="","",IFERROR(INDEX(WorkerIDs,MATCH($C48,WorkerNames,0)),"?"))</f>
        <v/>
      </c>
      <c r="J48" s="18" t="str">
        <f aca="false">IF($B48="","",$B48-WEEKDAY($B48,2)+1)</f>
        <v/>
      </c>
      <c r="K48" s="28" t="str">
        <f aca="false">IF(OR($I48="",$I48="?",$D48&lt;&gt;"Advance",$B48=""),"",$I48&amp;"|"&amp;$J48&amp;"|"&amp;COUNTIFS($I$6:$I48,$I48,$J$6:$J48,$J48,$D$6:$D48,"Advance"))</f>
        <v/>
      </c>
      <c r="L48" s="29" t="str">
        <f aca="false">IF(OR($I48="",$I48="?",$B48=""),"",SUMPRODUCT((Weeks!$A$6:$A$58&lt;=$J48)*(Weeks!$Z$4:$AK$4=$I48)*Weeks!$Z$6:$AK$58)-SUMIFS($E$6:$E$1005,$I$6:$I$1005,$I48,$B$6:$B$1005,"&lt;="&amp;$B48))</f>
        <v/>
      </c>
      <c r="M48" s="19" t="str">
        <f aca="false">IF($B48&amp;$C48&amp;$D48&amp;$E48="","",IF($B48="","missing date",IF($C48="","missing worker",IF($I48="?","unknown worker - was the name changed on Workers?",IF($D48="","missing type",IF(N($E48)=0,"missing amount",IF(AND($E48&lt;0,$D48&lt;&gt;"Correction"),"negative amount - use a Correction to undo",IF(OR($B48&lt;Weeks!$A$6,$B48&gt;Weeks!$B$58),"date outside this workbook's year",IF(AND($D48="Advance",N($L48)&lt;0),"Warning: more than earned so far - worker now owes "&amp;ROUND(-$L48,0),"")))))))))</f>
        <v/>
      </c>
    </row>
    <row r="49" customFormat="false" ht="15" hidden="false" customHeight="false" outlineLevel="0" collapsed="false">
      <c r="A49" s="24" t="str">
        <f aca="false">IF($B49="","",ROW()-5)</f>
        <v/>
      </c>
      <c r="B49" s="25"/>
      <c r="C49" s="20"/>
      <c r="D49" s="26"/>
      <c r="E49" s="27"/>
      <c r="F49" s="20"/>
      <c r="G49" s="20"/>
      <c r="H49" s="26"/>
      <c r="I49" s="24" t="str">
        <f aca="false">IF($C49="","",IFERROR(INDEX(WorkerIDs,MATCH($C49,WorkerNames,0)),"?"))</f>
        <v/>
      </c>
      <c r="J49" s="18" t="str">
        <f aca="false">IF($B49="","",$B49-WEEKDAY($B49,2)+1)</f>
        <v/>
      </c>
      <c r="K49" s="28" t="str">
        <f aca="false">IF(OR($I49="",$I49="?",$D49&lt;&gt;"Advance",$B49=""),"",$I49&amp;"|"&amp;$J49&amp;"|"&amp;COUNTIFS($I$6:$I49,$I49,$J$6:$J49,$J49,$D$6:$D49,"Advance"))</f>
        <v/>
      </c>
      <c r="L49" s="29" t="str">
        <f aca="false">IF(OR($I49="",$I49="?",$B49=""),"",SUMPRODUCT((Weeks!$A$6:$A$58&lt;=$J49)*(Weeks!$Z$4:$AK$4=$I49)*Weeks!$Z$6:$AK$58)-SUMIFS($E$6:$E$1005,$I$6:$I$1005,$I49,$B$6:$B$1005,"&lt;="&amp;$B49))</f>
        <v/>
      </c>
      <c r="M49" s="19" t="str">
        <f aca="false">IF($B49&amp;$C49&amp;$D49&amp;$E49="","",IF($B49="","missing date",IF($C49="","missing worker",IF($I49="?","unknown worker - was the name changed on Workers?",IF($D49="","missing type",IF(N($E49)=0,"missing amount",IF(AND($E49&lt;0,$D49&lt;&gt;"Correction"),"negative amount - use a Correction to undo",IF(OR($B49&lt;Weeks!$A$6,$B49&gt;Weeks!$B$58),"date outside this workbook's year",IF(AND($D49="Advance",N($L49)&lt;0),"Warning: more than earned so far - worker now owes "&amp;ROUND(-$L49,0),"")))))))))</f>
        <v/>
      </c>
    </row>
    <row r="50" customFormat="false" ht="15" hidden="false" customHeight="false" outlineLevel="0" collapsed="false">
      <c r="A50" s="24" t="str">
        <f aca="false">IF($B50="","",ROW()-5)</f>
        <v/>
      </c>
      <c r="B50" s="25"/>
      <c r="C50" s="20"/>
      <c r="D50" s="26"/>
      <c r="E50" s="27"/>
      <c r="F50" s="20"/>
      <c r="G50" s="20"/>
      <c r="H50" s="26"/>
      <c r="I50" s="24" t="str">
        <f aca="false">IF($C50="","",IFERROR(INDEX(WorkerIDs,MATCH($C50,WorkerNames,0)),"?"))</f>
        <v/>
      </c>
      <c r="J50" s="18" t="str">
        <f aca="false">IF($B50="","",$B50-WEEKDAY($B50,2)+1)</f>
        <v/>
      </c>
      <c r="K50" s="28" t="str">
        <f aca="false">IF(OR($I50="",$I50="?",$D50&lt;&gt;"Advance",$B50=""),"",$I50&amp;"|"&amp;$J50&amp;"|"&amp;COUNTIFS($I$6:$I50,$I50,$J$6:$J50,$J50,$D$6:$D50,"Advance"))</f>
        <v/>
      </c>
      <c r="L50" s="29" t="str">
        <f aca="false">IF(OR($I50="",$I50="?",$B50=""),"",SUMPRODUCT((Weeks!$A$6:$A$58&lt;=$J50)*(Weeks!$Z$4:$AK$4=$I50)*Weeks!$Z$6:$AK$58)-SUMIFS($E$6:$E$1005,$I$6:$I$1005,$I50,$B$6:$B$1005,"&lt;="&amp;$B50))</f>
        <v/>
      </c>
      <c r="M50" s="19" t="str">
        <f aca="false">IF($B50&amp;$C50&amp;$D50&amp;$E50="","",IF($B50="","missing date",IF($C50="","missing worker",IF($I50="?","unknown worker - was the name changed on Workers?",IF($D50="","missing type",IF(N($E50)=0,"missing amount",IF(AND($E50&lt;0,$D50&lt;&gt;"Correction"),"negative amount - use a Correction to undo",IF(OR($B50&lt;Weeks!$A$6,$B50&gt;Weeks!$B$58),"date outside this workbook's year",IF(AND($D50="Advance",N($L50)&lt;0),"Warning: more than earned so far - worker now owes "&amp;ROUND(-$L50,0),"")))))))))</f>
        <v/>
      </c>
    </row>
    <row r="51" customFormat="false" ht="15" hidden="false" customHeight="false" outlineLevel="0" collapsed="false">
      <c r="A51" s="24" t="str">
        <f aca="false">IF($B51="","",ROW()-5)</f>
        <v/>
      </c>
      <c r="B51" s="25"/>
      <c r="C51" s="20"/>
      <c r="D51" s="26"/>
      <c r="E51" s="27"/>
      <c r="F51" s="20"/>
      <c r="G51" s="20"/>
      <c r="H51" s="26"/>
      <c r="I51" s="24" t="str">
        <f aca="false">IF($C51="","",IFERROR(INDEX(WorkerIDs,MATCH($C51,WorkerNames,0)),"?"))</f>
        <v/>
      </c>
      <c r="J51" s="18" t="str">
        <f aca="false">IF($B51="","",$B51-WEEKDAY($B51,2)+1)</f>
        <v/>
      </c>
      <c r="K51" s="28" t="str">
        <f aca="false">IF(OR($I51="",$I51="?",$D51&lt;&gt;"Advance",$B51=""),"",$I51&amp;"|"&amp;$J51&amp;"|"&amp;COUNTIFS($I$6:$I51,$I51,$J$6:$J51,$J51,$D$6:$D51,"Advance"))</f>
        <v/>
      </c>
      <c r="L51" s="29" t="str">
        <f aca="false">IF(OR($I51="",$I51="?",$B51=""),"",SUMPRODUCT((Weeks!$A$6:$A$58&lt;=$J51)*(Weeks!$Z$4:$AK$4=$I51)*Weeks!$Z$6:$AK$58)-SUMIFS($E$6:$E$1005,$I$6:$I$1005,$I51,$B$6:$B$1005,"&lt;="&amp;$B51))</f>
        <v/>
      </c>
      <c r="M51" s="19" t="str">
        <f aca="false">IF($B51&amp;$C51&amp;$D51&amp;$E51="","",IF($B51="","missing date",IF($C51="","missing worker",IF($I51="?","unknown worker - was the name changed on Workers?",IF($D51="","missing type",IF(N($E51)=0,"missing amount",IF(AND($E51&lt;0,$D51&lt;&gt;"Correction"),"negative amount - use a Correction to undo",IF(OR($B51&lt;Weeks!$A$6,$B51&gt;Weeks!$B$58),"date outside this workbook's year",IF(AND($D51="Advance",N($L51)&lt;0),"Warning: more than earned so far - worker now owes "&amp;ROUND(-$L51,0),"")))))))))</f>
        <v/>
      </c>
    </row>
    <row r="52" customFormat="false" ht="15" hidden="false" customHeight="false" outlineLevel="0" collapsed="false">
      <c r="A52" s="24" t="str">
        <f aca="false">IF($B52="","",ROW()-5)</f>
        <v/>
      </c>
      <c r="B52" s="25"/>
      <c r="C52" s="20"/>
      <c r="D52" s="26"/>
      <c r="E52" s="27"/>
      <c r="F52" s="20"/>
      <c r="G52" s="20"/>
      <c r="H52" s="26"/>
      <c r="I52" s="24" t="str">
        <f aca="false">IF($C52="","",IFERROR(INDEX(WorkerIDs,MATCH($C52,WorkerNames,0)),"?"))</f>
        <v/>
      </c>
      <c r="J52" s="18" t="str">
        <f aca="false">IF($B52="","",$B52-WEEKDAY($B52,2)+1)</f>
        <v/>
      </c>
      <c r="K52" s="28" t="str">
        <f aca="false">IF(OR($I52="",$I52="?",$D52&lt;&gt;"Advance",$B52=""),"",$I52&amp;"|"&amp;$J52&amp;"|"&amp;COUNTIFS($I$6:$I52,$I52,$J$6:$J52,$J52,$D$6:$D52,"Advance"))</f>
        <v/>
      </c>
      <c r="L52" s="29" t="str">
        <f aca="false">IF(OR($I52="",$I52="?",$B52=""),"",SUMPRODUCT((Weeks!$A$6:$A$58&lt;=$J52)*(Weeks!$Z$4:$AK$4=$I52)*Weeks!$Z$6:$AK$58)-SUMIFS($E$6:$E$1005,$I$6:$I$1005,$I52,$B$6:$B$1005,"&lt;="&amp;$B52))</f>
        <v/>
      </c>
      <c r="M52" s="19" t="str">
        <f aca="false">IF($B52&amp;$C52&amp;$D52&amp;$E52="","",IF($B52="","missing date",IF($C52="","missing worker",IF($I52="?","unknown worker - was the name changed on Workers?",IF($D52="","missing type",IF(N($E52)=0,"missing amount",IF(AND($E52&lt;0,$D52&lt;&gt;"Correction"),"negative amount - use a Correction to undo",IF(OR($B52&lt;Weeks!$A$6,$B52&gt;Weeks!$B$58),"date outside this workbook's year",IF(AND($D52="Advance",N($L52)&lt;0),"Warning: more than earned so far - worker now owes "&amp;ROUND(-$L52,0),"")))))))))</f>
        <v/>
      </c>
    </row>
    <row r="53" customFormat="false" ht="15" hidden="false" customHeight="false" outlineLevel="0" collapsed="false">
      <c r="A53" s="24" t="str">
        <f aca="false">IF($B53="","",ROW()-5)</f>
        <v/>
      </c>
      <c r="B53" s="25"/>
      <c r="C53" s="20"/>
      <c r="D53" s="26"/>
      <c r="E53" s="27"/>
      <c r="F53" s="20"/>
      <c r="G53" s="20"/>
      <c r="H53" s="26"/>
      <c r="I53" s="24" t="str">
        <f aca="false">IF($C53="","",IFERROR(INDEX(WorkerIDs,MATCH($C53,WorkerNames,0)),"?"))</f>
        <v/>
      </c>
      <c r="J53" s="18" t="str">
        <f aca="false">IF($B53="","",$B53-WEEKDAY($B53,2)+1)</f>
        <v/>
      </c>
      <c r="K53" s="28" t="str">
        <f aca="false">IF(OR($I53="",$I53="?",$D53&lt;&gt;"Advance",$B53=""),"",$I53&amp;"|"&amp;$J53&amp;"|"&amp;COUNTIFS($I$6:$I53,$I53,$J$6:$J53,$J53,$D$6:$D53,"Advance"))</f>
        <v/>
      </c>
      <c r="L53" s="29" t="str">
        <f aca="false">IF(OR($I53="",$I53="?",$B53=""),"",SUMPRODUCT((Weeks!$A$6:$A$58&lt;=$J53)*(Weeks!$Z$4:$AK$4=$I53)*Weeks!$Z$6:$AK$58)-SUMIFS($E$6:$E$1005,$I$6:$I$1005,$I53,$B$6:$B$1005,"&lt;="&amp;$B53))</f>
        <v/>
      </c>
      <c r="M53" s="19" t="str">
        <f aca="false">IF($B53&amp;$C53&amp;$D53&amp;$E53="","",IF($B53="","missing date",IF($C53="","missing worker",IF($I53="?","unknown worker - was the name changed on Workers?",IF($D53="","missing type",IF(N($E53)=0,"missing amount",IF(AND($E53&lt;0,$D53&lt;&gt;"Correction"),"negative amount - use a Correction to undo",IF(OR($B53&lt;Weeks!$A$6,$B53&gt;Weeks!$B$58),"date outside this workbook's year",IF(AND($D53="Advance",N($L53)&lt;0),"Warning: more than earned so far - worker now owes "&amp;ROUND(-$L53,0),"")))))))))</f>
        <v/>
      </c>
    </row>
    <row r="54" customFormat="false" ht="15" hidden="false" customHeight="false" outlineLevel="0" collapsed="false">
      <c r="A54" s="24" t="str">
        <f aca="false">IF($B54="","",ROW()-5)</f>
        <v/>
      </c>
      <c r="B54" s="25"/>
      <c r="C54" s="20"/>
      <c r="D54" s="26"/>
      <c r="E54" s="27"/>
      <c r="F54" s="20"/>
      <c r="G54" s="20"/>
      <c r="H54" s="26"/>
      <c r="I54" s="24" t="str">
        <f aca="false">IF($C54="","",IFERROR(INDEX(WorkerIDs,MATCH($C54,WorkerNames,0)),"?"))</f>
        <v/>
      </c>
      <c r="J54" s="18" t="str">
        <f aca="false">IF($B54="","",$B54-WEEKDAY($B54,2)+1)</f>
        <v/>
      </c>
      <c r="K54" s="28" t="str">
        <f aca="false">IF(OR($I54="",$I54="?",$D54&lt;&gt;"Advance",$B54=""),"",$I54&amp;"|"&amp;$J54&amp;"|"&amp;COUNTIFS($I$6:$I54,$I54,$J$6:$J54,$J54,$D$6:$D54,"Advance"))</f>
        <v/>
      </c>
      <c r="L54" s="29" t="str">
        <f aca="false">IF(OR($I54="",$I54="?",$B54=""),"",SUMPRODUCT((Weeks!$A$6:$A$58&lt;=$J54)*(Weeks!$Z$4:$AK$4=$I54)*Weeks!$Z$6:$AK$58)-SUMIFS($E$6:$E$1005,$I$6:$I$1005,$I54,$B$6:$B$1005,"&lt;="&amp;$B54))</f>
        <v/>
      </c>
      <c r="M54" s="19" t="str">
        <f aca="false">IF($B54&amp;$C54&amp;$D54&amp;$E54="","",IF($B54="","missing date",IF($C54="","missing worker",IF($I54="?","unknown worker - was the name changed on Workers?",IF($D54="","missing type",IF(N($E54)=0,"missing amount",IF(AND($E54&lt;0,$D54&lt;&gt;"Correction"),"negative amount - use a Correction to undo",IF(OR($B54&lt;Weeks!$A$6,$B54&gt;Weeks!$B$58),"date outside this workbook's year",IF(AND($D54="Advance",N($L54)&lt;0),"Warning: more than earned so far - worker now owes "&amp;ROUND(-$L54,0),"")))))))))</f>
        <v/>
      </c>
    </row>
    <row r="55" customFormat="false" ht="15" hidden="false" customHeight="false" outlineLevel="0" collapsed="false">
      <c r="A55" s="24" t="str">
        <f aca="false">IF($B55="","",ROW()-5)</f>
        <v/>
      </c>
      <c r="B55" s="25"/>
      <c r="C55" s="20"/>
      <c r="D55" s="26"/>
      <c r="E55" s="27"/>
      <c r="F55" s="20"/>
      <c r="G55" s="20"/>
      <c r="H55" s="26"/>
      <c r="I55" s="24" t="str">
        <f aca="false">IF($C55="","",IFERROR(INDEX(WorkerIDs,MATCH($C55,WorkerNames,0)),"?"))</f>
        <v/>
      </c>
      <c r="J55" s="18" t="str">
        <f aca="false">IF($B55="","",$B55-WEEKDAY($B55,2)+1)</f>
        <v/>
      </c>
      <c r="K55" s="28" t="str">
        <f aca="false">IF(OR($I55="",$I55="?",$D55&lt;&gt;"Advance",$B55=""),"",$I55&amp;"|"&amp;$J55&amp;"|"&amp;COUNTIFS($I$6:$I55,$I55,$J$6:$J55,$J55,$D$6:$D55,"Advance"))</f>
        <v/>
      </c>
      <c r="L55" s="29" t="str">
        <f aca="false">IF(OR($I55="",$I55="?",$B55=""),"",SUMPRODUCT((Weeks!$A$6:$A$58&lt;=$J55)*(Weeks!$Z$4:$AK$4=$I55)*Weeks!$Z$6:$AK$58)-SUMIFS($E$6:$E$1005,$I$6:$I$1005,$I55,$B$6:$B$1005,"&lt;="&amp;$B55))</f>
        <v/>
      </c>
      <c r="M55" s="19" t="str">
        <f aca="false">IF($B55&amp;$C55&amp;$D55&amp;$E55="","",IF($B55="","missing date",IF($C55="","missing worker",IF($I55="?","unknown worker - was the name changed on Workers?",IF($D55="","missing type",IF(N($E55)=0,"missing amount",IF(AND($E55&lt;0,$D55&lt;&gt;"Correction"),"negative amount - use a Correction to undo",IF(OR($B55&lt;Weeks!$A$6,$B55&gt;Weeks!$B$58),"date outside this workbook's year",IF(AND($D55="Advance",N($L55)&lt;0),"Warning: more than earned so far - worker now owes "&amp;ROUND(-$L55,0),"")))))))))</f>
        <v/>
      </c>
    </row>
    <row r="56" customFormat="false" ht="15" hidden="false" customHeight="false" outlineLevel="0" collapsed="false">
      <c r="A56" s="24" t="str">
        <f aca="false">IF($B56="","",ROW()-5)</f>
        <v/>
      </c>
      <c r="B56" s="25"/>
      <c r="C56" s="20"/>
      <c r="D56" s="26"/>
      <c r="E56" s="27"/>
      <c r="F56" s="20"/>
      <c r="G56" s="20"/>
      <c r="H56" s="26"/>
      <c r="I56" s="24" t="str">
        <f aca="false">IF($C56="","",IFERROR(INDEX(WorkerIDs,MATCH($C56,WorkerNames,0)),"?"))</f>
        <v/>
      </c>
      <c r="J56" s="18" t="str">
        <f aca="false">IF($B56="","",$B56-WEEKDAY($B56,2)+1)</f>
        <v/>
      </c>
      <c r="K56" s="28" t="str">
        <f aca="false">IF(OR($I56="",$I56="?",$D56&lt;&gt;"Advance",$B56=""),"",$I56&amp;"|"&amp;$J56&amp;"|"&amp;COUNTIFS($I$6:$I56,$I56,$J$6:$J56,$J56,$D$6:$D56,"Advance"))</f>
        <v/>
      </c>
      <c r="L56" s="29" t="str">
        <f aca="false">IF(OR($I56="",$I56="?",$B56=""),"",SUMPRODUCT((Weeks!$A$6:$A$58&lt;=$J56)*(Weeks!$Z$4:$AK$4=$I56)*Weeks!$Z$6:$AK$58)-SUMIFS($E$6:$E$1005,$I$6:$I$1005,$I56,$B$6:$B$1005,"&lt;="&amp;$B56))</f>
        <v/>
      </c>
      <c r="M56" s="19" t="str">
        <f aca="false">IF($B56&amp;$C56&amp;$D56&amp;$E56="","",IF($B56="","missing date",IF($C56="","missing worker",IF($I56="?","unknown worker - was the name changed on Workers?",IF($D56="","missing type",IF(N($E56)=0,"missing amount",IF(AND($E56&lt;0,$D56&lt;&gt;"Correction"),"negative amount - use a Correction to undo",IF(OR($B56&lt;Weeks!$A$6,$B56&gt;Weeks!$B$58),"date outside this workbook's year",IF(AND($D56="Advance",N($L56)&lt;0),"Warning: more than earned so far - worker now owes "&amp;ROUND(-$L56,0),"")))))))))</f>
        <v/>
      </c>
    </row>
    <row r="57" customFormat="false" ht="15" hidden="false" customHeight="false" outlineLevel="0" collapsed="false">
      <c r="A57" s="24" t="str">
        <f aca="false">IF($B57="","",ROW()-5)</f>
        <v/>
      </c>
      <c r="B57" s="25"/>
      <c r="C57" s="20"/>
      <c r="D57" s="26"/>
      <c r="E57" s="27"/>
      <c r="F57" s="20"/>
      <c r="G57" s="20"/>
      <c r="H57" s="26"/>
      <c r="I57" s="24" t="str">
        <f aca="false">IF($C57="","",IFERROR(INDEX(WorkerIDs,MATCH($C57,WorkerNames,0)),"?"))</f>
        <v/>
      </c>
      <c r="J57" s="18" t="str">
        <f aca="false">IF($B57="","",$B57-WEEKDAY($B57,2)+1)</f>
        <v/>
      </c>
      <c r="K57" s="28" t="str">
        <f aca="false">IF(OR($I57="",$I57="?",$D57&lt;&gt;"Advance",$B57=""),"",$I57&amp;"|"&amp;$J57&amp;"|"&amp;COUNTIFS($I$6:$I57,$I57,$J$6:$J57,$J57,$D$6:$D57,"Advance"))</f>
        <v/>
      </c>
      <c r="L57" s="29" t="str">
        <f aca="false">IF(OR($I57="",$I57="?",$B57=""),"",SUMPRODUCT((Weeks!$A$6:$A$58&lt;=$J57)*(Weeks!$Z$4:$AK$4=$I57)*Weeks!$Z$6:$AK$58)-SUMIFS($E$6:$E$1005,$I$6:$I$1005,$I57,$B$6:$B$1005,"&lt;="&amp;$B57))</f>
        <v/>
      </c>
      <c r="M57" s="19" t="str">
        <f aca="false">IF($B57&amp;$C57&amp;$D57&amp;$E57="","",IF($B57="","missing date",IF($C57="","missing worker",IF($I57="?","unknown worker - was the name changed on Workers?",IF($D57="","missing type",IF(N($E57)=0,"missing amount",IF(AND($E57&lt;0,$D57&lt;&gt;"Correction"),"negative amount - use a Correction to undo",IF(OR($B57&lt;Weeks!$A$6,$B57&gt;Weeks!$B$58),"date outside this workbook's year",IF(AND($D57="Advance",N($L57)&lt;0),"Warning: more than earned so far - worker now owes "&amp;ROUND(-$L57,0),"")))))))))</f>
        <v/>
      </c>
    </row>
    <row r="58" customFormat="false" ht="15" hidden="false" customHeight="false" outlineLevel="0" collapsed="false">
      <c r="A58" s="24" t="str">
        <f aca="false">IF($B58="","",ROW()-5)</f>
        <v/>
      </c>
      <c r="B58" s="25"/>
      <c r="C58" s="20"/>
      <c r="D58" s="26"/>
      <c r="E58" s="27"/>
      <c r="F58" s="20"/>
      <c r="G58" s="20"/>
      <c r="H58" s="26"/>
      <c r="I58" s="24" t="str">
        <f aca="false">IF($C58="","",IFERROR(INDEX(WorkerIDs,MATCH($C58,WorkerNames,0)),"?"))</f>
        <v/>
      </c>
      <c r="J58" s="18" t="str">
        <f aca="false">IF($B58="","",$B58-WEEKDAY($B58,2)+1)</f>
        <v/>
      </c>
      <c r="K58" s="28" t="str">
        <f aca="false">IF(OR($I58="",$I58="?",$D58&lt;&gt;"Advance",$B58=""),"",$I58&amp;"|"&amp;$J58&amp;"|"&amp;COUNTIFS($I$6:$I58,$I58,$J$6:$J58,$J58,$D$6:$D58,"Advance"))</f>
        <v/>
      </c>
      <c r="L58" s="29" t="str">
        <f aca="false">IF(OR($I58="",$I58="?",$B58=""),"",SUMPRODUCT((Weeks!$A$6:$A$58&lt;=$J58)*(Weeks!$Z$4:$AK$4=$I58)*Weeks!$Z$6:$AK$58)-SUMIFS($E$6:$E$1005,$I$6:$I$1005,$I58,$B$6:$B$1005,"&lt;="&amp;$B58))</f>
        <v/>
      </c>
      <c r="M58" s="19" t="str">
        <f aca="false">IF($B58&amp;$C58&amp;$D58&amp;$E58="","",IF($B58="","missing date",IF($C58="","missing worker",IF($I58="?","unknown worker - was the name changed on Workers?",IF($D58="","missing type",IF(N($E58)=0,"missing amount",IF(AND($E58&lt;0,$D58&lt;&gt;"Correction"),"negative amount - use a Correction to undo",IF(OR($B58&lt;Weeks!$A$6,$B58&gt;Weeks!$B$58),"date outside this workbook's year",IF(AND($D58="Advance",N($L58)&lt;0),"Warning: more than earned so far - worker now owes "&amp;ROUND(-$L58,0),"")))))))))</f>
        <v/>
      </c>
    </row>
    <row r="59" customFormat="false" ht="15" hidden="false" customHeight="false" outlineLevel="0" collapsed="false">
      <c r="A59" s="24" t="str">
        <f aca="false">IF($B59="","",ROW()-5)</f>
        <v/>
      </c>
      <c r="B59" s="25"/>
      <c r="C59" s="20"/>
      <c r="D59" s="26"/>
      <c r="E59" s="27"/>
      <c r="F59" s="20"/>
      <c r="G59" s="20"/>
      <c r="H59" s="26"/>
      <c r="I59" s="24" t="str">
        <f aca="false">IF($C59="","",IFERROR(INDEX(WorkerIDs,MATCH($C59,WorkerNames,0)),"?"))</f>
        <v/>
      </c>
      <c r="J59" s="18" t="str">
        <f aca="false">IF($B59="","",$B59-WEEKDAY($B59,2)+1)</f>
        <v/>
      </c>
      <c r="K59" s="28" t="str">
        <f aca="false">IF(OR($I59="",$I59="?",$D59&lt;&gt;"Advance",$B59=""),"",$I59&amp;"|"&amp;$J59&amp;"|"&amp;COUNTIFS($I$6:$I59,$I59,$J$6:$J59,$J59,$D$6:$D59,"Advance"))</f>
        <v/>
      </c>
      <c r="L59" s="29" t="str">
        <f aca="false">IF(OR($I59="",$I59="?",$B59=""),"",SUMPRODUCT((Weeks!$A$6:$A$58&lt;=$J59)*(Weeks!$Z$4:$AK$4=$I59)*Weeks!$Z$6:$AK$58)-SUMIFS($E$6:$E$1005,$I$6:$I$1005,$I59,$B$6:$B$1005,"&lt;="&amp;$B59))</f>
        <v/>
      </c>
      <c r="M59" s="19" t="str">
        <f aca="false">IF($B59&amp;$C59&amp;$D59&amp;$E59="","",IF($B59="","missing date",IF($C59="","missing worker",IF($I59="?","unknown worker - was the name changed on Workers?",IF($D59="","missing type",IF(N($E59)=0,"missing amount",IF(AND($E59&lt;0,$D59&lt;&gt;"Correction"),"negative amount - use a Correction to undo",IF(OR($B59&lt;Weeks!$A$6,$B59&gt;Weeks!$B$58),"date outside this workbook's year",IF(AND($D59="Advance",N($L59)&lt;0),"Warning: more than earned so far - worker now owes "&amp;ROUND(-$L59,0),"")))))))))</f>
        <v/>
      </c>
    </row>
    <row r="60" customFormat="false" ht="15" hidden="false" customHeight="false" outlineLevel="0" collapsed="false">
      <c r="A60" s="24" t="str">
        <f aca="false">IF($B60="","",ROW()-5)</f>
        <v/>
      </c>
      <c r="B60" s="25"/>
      <c r="C60" s="20"/>
      <c r="D60" s="26"/>
      <c r="E60" s="27"/>
      <c r="F60" s="20"/>
      <c r="G60" s="20"/>
      <c r="H60" s="26"/>
      <c r="I60" s="24" t="str">
        <f aca="false">IF($C60="","",IFERROR(INDEX(WorkerIDs,MATCH($C60,WorkerNames,0)),"?"))</f>
        <v/>
      </c>
      <c r="J60" s="18" t="str">
        <f aca="false">IF($B60="","",$B60-WEEKDAY($B60,2)+1)</f>
        <v/>
      </c>
      <c r="K60" s="28" t="str">
        <f aca="false">IF(OR($I60="",$I60="?",$D60&lt;&gt;"Advance",$B60=""),"",$I60&amp;"|"&amp;$J60&amp;"|"&amp;COUNTIFS($I$6:$I60,$I60,$J$6:$J60,$J60,$D$6:$D60,"Advance"))</f>
        <v/>
      </c>
      <c r="L60" s="29" t="str">
        <f aca="false">IF(OR($I60="",$I60="?",$B60=""),"",SUMPRODUCT((Weeks!$A$6:$A$58&lt;=$J60)*(Weeks!$Z$4:$AK$4=$I60)*Weeks!$Z$6:$AK$58)-SUMIFS($E$6:$E$1005,$I$6:$I$1005,$I60,$B$6:$B$1005,"&lt;="&amp;$B60))</f>
        <v/>
      </c>
      <c r="M60" s="19" t="str">
        <f aca="false">IF($B60&amp;$C60&amp;$D60&amp;$E60="","",IF($B60="","missing date",IF($C60="","missing worker",IF($I60="?","unknown worker - was the name changed on Workers?",IF($D60="","missing type",IF(N($E60)=0,"missing amount",IF(AND($E60&lt;0,$D60&lt;&gt;"Correction"),"negative amount - use a Correction to undo",IF(OR($B60&lt;Weeks!$A$6,$B60&gt;Weeks!$B$58),"date outside this workbook's year",IF(AND($D60="Advance",N($L60)&lt;0),"Warning: more than earned so far - worker now owes "&amp;ROUND(-$L60,0),"")))))))))</f>
        <v/>
      </c>
    </row>
    <row r="61" customFormat="false" ht="15" hidden="false" customHeight="false" outlineLevel="0" collapsed="false">
      <c r="A61" s="24" t="str">
        <f aca="false">IF($B61="","",ROW()-5)</f>
        <v/>
      </c>
      <c r="B61" s="25"/>
      <c r="C61" s="20"/>
      <c r="D61" s="26"/>
      <c r="E61" s="27"/>
      <c r="F61" s="20"/>
      <c r="G61" s="20"/>
      <c r="H61" s="26"/>
      <c r="I61" s="24" t="str">
        <f aca="false">IF($C61="","",IFERROR(INDEX(WorkerIDs,MATCH($C61,WorkerNames,0)),"?"))</f>
        <v/>
      </c>
      <c r="J61" s="18" t="str">
        <f aca="false">IF($B61="","",$B61-WEEKDAY($B61,2)+1)</f>
        <v/>
      </c>
      <c r="K61" s="28" t="str">
        <f aca="false">IF(OR($I61="",$I61="?",$D61&lt;&gt;"Advance",$B61=""),"",$I61&amp;"|"&amp;$J61&amp;"|"&amp;COUNTIFS($I$6:$I61,$I61,$J$6:$J61,$J61,$D$6:$D61,"Advance"))</f>
        <v/>
      </c>
      <c r="L61" s="29" t="str">
        <f aca="false">IF(OR($I61="",$I61="?",$B61=""),"",SUMPRODUCT((Weeks!$A$6:$A$58&lt;=$J61)*(Weeks!$Z$4:$AK$4=$I61)*Weeks!$Z$6:$AK$58)-SUMIFS($E$6:$E$1005,$I$6:$I$1005,$I61,$B$6:$B$1005,"&lt;="&amp;$B61))</f>
        <v/>
      </c>
      <c r="M61" s="19" t="str">
        <f aca="false">IF($B61&amp;$C61&amp;$D61&amp;$E61="","",IF($B61="","missing date",IF($C61="","missing worker",IF($I61="?","unknown worker - was the name changed on Workers?",IF($D61="","missing type",IF(N($E61)=0,"missing amount",IF(AND($E61&lt;0,$D61&lt;&gt;"Correction"),"negative amount - use a Correction to undo",IF(OR($B61&lt;Weeks!$A$6,$B61&gt;Weeks!$B$58),"date outside this workbook's year",IF(AND($D61="Advance",N($L61)&lt;0),"Warning: more than earned so far - worker now owes "&amp;ROUND(-$L61,0),"")))))))))</f>
        <v/>
      </c>
    </row>
    <row r="62" customFormat="false" ht="15" hidden="false" customHeight="false" outlineLevel="0" collapsed="false">
      <c r="A62" s="24" t="str">
        <f aca="false">IF($B62="","",ROW()-5)</f>
        <v/>
      </c>
      <c r="B62" s="25"/>
      <c r="C62" s="20"/>
      <c r="D62" s="26"/>
      <c r="E62" s="27"/>
      <c r="F62" s="20"/>
      <c r="G62" s="20"/>
      <c r="H62" s="26"/>
      <c r="I62" s="24" t="str">
        <f aca="false">IF($C62="","",IFERROR(INDEX(WorkerIDs,MATCH($C62,WorkerNames,0)),"?"))</f>
        <v/>
      </c>
      <c r="J62" s="18" t="str">
        <f aca="false">IF($B62="","",$B62-WEEKDAY($B62,2)+1)</f>
        <v/>
      </c>
      <c r="K62" s="28" t="str">
        <f aca="false">IF(OR($I62="",$I62="?",$D62&lt;&gt;"Advance",$B62=""),"",$I62&amp;"|"&amp;$J62&amp;"|"&amp;COUNTIFS($I$6:$I62,$I62,$J$6:$J62,$J62,$D$6:$D62,"Advance"))</f>
        <v/>
      </c>
      <c r="L62" s="29" t="str">
        <f aca="false">IF(OR($I62="",$I62="?",$B62=""),"",SUMPRODUCT((Weeks!$A$6:$A$58&lt;=$J62)*(Weeks!$Z$4:$AK$4=$I62)*Weeks!$Z$6:$AK$58)-SUMIFS($E$6:$E$1005,$I$6:$I$1005,$I62,$B$6:$B$1005,"&lt;="&amp;$B62))</f>
        <v/>
      </c>
      <c r="M62" s="19" t="str">
        <f aca="false">IF($B62&amp;$C62&amp;$D62&amp;$E62="","",IF($B62="","missing date",IF($C62="","missing worker",IF($I62="?","unknown worker - was the name changed on Workers?",IF($D62="","missing type",IF(N($E62)=0,"missing amount",IF(AND($E62&lt;0,$D62&lt;&gt;"Correction"),"negative amount - use a Correction to undo",IF(OR($B62&lt;Weeks!$A$6,$B62&gt;Weeks!$B$58),"date outside this workbook's year",IF(AND($D62="Advance",N($L62)&lt;0),"Warning: more than earned so far - worker now owes "&amp;ROUND(-$L62,0),"")))))))))</f>
        <v/>
      </c>
    </row>
    <row r="63" customFormat="false" ht="15" hidden="false" customHeight="false" outlineLevel="0" collapsed="false">
      <c r="A63" s="24" t="str">
        <f aca="false">IF($B63="","",ROW()-5)</f>
        <v/>
      </c>
      <c r="B63" s="25"/>
      <c r="C63" s="20"/>
      <c r="D63" s="26"/>
      <c r="E63" s="27"/>
      <c r="F63" s="20"/>
      <c r="G63" s="20"/>
      <c r="H63" s="26"/>
      <c r="I63" s="24" t="str">
        <f aca="false">IF($C63="","",IFERROR(INDEX(WorkerIDs,MATCH($C63,WorkerNames,0)),"?"))</f>
        <v/>
      </c>
      <c r="J63" s="18" t="str">
        <f aca="false">IF($B63="","",$B63-WEEKDAY($B63,2)+1)</f>
        <v/>
      </c>
      <c r="K63" s="28" t="str">
        <f aca="false">IF(OR($I63="",$I63="?",$D63&lt;&gt;"Advance",$B63=""),"",$I63&amp;"|"&amp;$J63&amp;"|"&amp;COUNTIFS($I$6:$I63,$I63,$J$6:$J63,$J63,$D$6:$D63,"Advance"))</f>
        <v/>
      </c>
      <c r="L63" s="29" t="str">
        <f aca="false">IF(OR($I63="",$I63="?",$B63=""),"",SUMPRODUCT((Weeks!$A$6:$A$58&lt;=$J63)*(Weeks!$Z$4:$AK$4=$I63)*Weeks!$Z$6:$AK$58)-SUMIFS($E$6:$E$1005,$I$6:$I$1005,$I63,$B$6:$B$1005,"&lt;="&amp;$B63))</f>
        <v/>
      </c>
      <c r="M63" s="19" t="str">
        <f aca="false">IF($B63&amp;$C63&amp;$D63&amp;$E63="","",IF($B63="","missing date",IF($C63="","missing worker",IF($I63="?","unknown worker - was the name changed on Workers?",IF($D63="","missing type",IF(N($E63)=0,"missing amount",IF(AND($E63&lt;0,$D63&lt;&gt;"Correction"),"negative amount - use a Correction to undo",IF(OR($B63&lt;Weeks!$A$6,$B63&gt;Weeks!$B$58),"date outside this workbook's year",IF(AND($D63="Advance",N($L63)&lt;0),"Warning: more than earned so far - worker now owes "&amp;ROUND(-$L63,0),"")))))))))</f>
        <v/>
      </c>
    </row>
    <row r="64" customFormat="false" ht="15" hidden="false" customHeight="false" outlineLevel="0" collapsed="false">
      <c r="A64" s="24" t="str">
        <f aca="false">IF($B64="","",ROW()-5)</f>
        <v/>
      </c>
      <c r="B64" s="25"/>
      <c r="C64" s="20"/>
      <c r="D64" s="26"/>
      <c r="E64" s="27"/>
      <c r="F64" s="20"/>
      <c r="G64" s="20"/>
      <c r="H64" s="26"/>
      <c r="I64" s="24" t="str">
        <f aca="false">IF($C64="","",IFERROR(INDEX(WorkerIDs,MATCH($C64,WorkerNames,0)),"?"))</f>
        <v/>
      </c>
      <c r="J64" s="18" t="str">
        <f aca="false">IF($B64="","",$B64-WEEKDAY($B64,2)+1)</f>
        <v/>
      </c>
      <c r="K64" s="28" t="str">
        <f aca="false">IF(OR($I64="",$I64="?",$D64&lt;&gt;"Advance",$B64=""),"",$I64&amp;"|"&amp;$J64&amp;"|"&amp;COUNTIFS($I$6:$I64,$I64,$J$6:$J64,$J64,$D$6:$D64,"Advance"))</f>
        <v/>
      </c>
      <c r="L64" s="29" t="str">
        <f aca="false">IF(OR($I64="",$I64="?",$B64=""),"",SUMPRODUCT((Weeks!$A$6:$A$58&lt;=$J64)*(Weeks!$Z$4:$AK$4=$I64)*Weeks!$Z$6:$AK$58)-SUMIFS($E$6:$E$1005,$I$6:$I$1005,$I64,$B$6:$B$1005,"&lt;="&amp;$B64))</f>
        <v/>
      </c>
      <c r="M64" s="19" t="str">
        <f aca="false">IF($B64&amp;$C64&amp;$D64&amp;$E64="","",IF($B64="","missing date",IF($C64="","missing worker",IF($I64="?","unknown worker - was the name changed on Workers?",IF($D64="","missing type",IF(N($E64)=0,"missing amount",IF(AND($E64&lt;0,$D64&lt;&gt;"Correction"),"negative amount - use a Correction to undo",IF(OR($B64&lt;Weeks!$A$6,$B64&gt;Weeks!$B$58),"date outside this workbook's year",IF(AND($D64="Advance",N($L64)&lt;0),"Warning: more than earned so far - worker now owes "&amp;ROUND(-$L64,0),"")))))))))</f>
        <v/>
      </c>
    </row>
    <row r="65" customFormat="false" ht="15" hidden="false" customHeight="false" outlineLevel="0" collapsed="false">
      <c r="A65" s="24" t="str">
        <f aca="false">IF($B65="","",ROW()-5)</f>
        <v/>
      </c>
      <c r="B65" s="25"/>
      <c r="C65" s="20"/>
      <c r="D65" s="26"/>
      <c r="E65" s="27"/>
      <c r="F65" s="20"/>
      <c r="G65" s="20"/>
      <c r="H65" s="26"/>
      <c r="I65" s="24" t="str">
        <f aca="false">IF($C65="","",IFERROR(INDEX(WorkerIDs,MATCH($C65,WorkerNames,0)),"?"))</f>
        <v/>
      </c>
      <c r="J65" s="18" t="str">
        <f aca="false">IF($B65="","",$B65-WEEKDAY($B65,2)+1)</f>
        <v/>
      </c>
      <c r="K65" s="28" t="str">
        <f aca="false">IF(OR($I65="",$I65="?",$D65&lt;&gt;"Advance",$B65=""),"",$I65&amp;"|"&amp;$J65&amp;"|"&amp;COUNTIFS($I$6:$I65,$I65,$J$6:$J65,$J65,$D$6:$D65,"Advance"))</f>
        <v/>
      </c>
      <c r="L65" s="29" t="str">
        <f aca="false">IF(OR($I65="",$I65="?",$B65=""),"",SUMPRODUCT((Weeks!$A$6:$A$58&lt;=$J65)*(Weeks!$Z$4:$AK$4=$I65)*Weeks!$Z$6:$AK$58)-SUMIFS($E$6:$E$1005,$I$6:$I$1005,$I65,$B$6:$B$1005,"&lt;="&amp;$B65))</f>
        <v/>
      </c>
      <c r="M65" s="19" t="str">
        <f aca="false">IF($B65&amp;$C65&amp;$D65&amp;$E65="","",IF($B65="","missing date",IF($C65="","missing worker",IF($I65="?","unknown worker - was the name changed on Workers?",IF($D65="","missing type",IF(N($E65)=0,"missing amount",IF(AND($E65&lt;0,$D65&lt;&gt;"Correction"),"negative amount - use a Correction to undo",IF(OR($B65&lt;Weeks!$A$6,$B65&gt;Weeks!$B$58),"date outside this workbook's year",IF(AND($D65="Advance",N($L65)&lt;0),"Warning: more than earned so far - worker now owes "&amp;ROUND(-$L65,0),"")))))))))</f>
        <v/>
      </c>
    </row>
    <row r="66" customFormat="false" ht="15" hidden="false" customHeight="false" outlineLevel="0" collapsed="false">
      <c r="A66" s="24" t="str">
        <f aca="false">IF($B66="","",ROW()-5)</f>
        <v/>
      </c>
      <c r="B66" s="25"/>
      <c r="C66" s="20"/>
      <c r="D66" s="26"/>
      <c r="E66" s="27"/>
      <c r="F66" s="20"/>
      <c r="G66" s="20"/>
      <c r="H66" s="26"/>
      <c r="I66" s="24" t="str">
        <f aca="false">IF($C66="","",IFERROR(INDEX(WorkerIDs,MATCH($C66,WorkerNames,0)),"?"))</f>
        <v/>
      </c>
      <c r="J66" s="18" t="str">
        <f aca="false">IF($B66="","",$B66-WEEKDAY($B66,2)+1)</f>
        <v/>
      </c>
      <c r="K66" s="28" t="str">
        <f aca="false">IF(OR($I66="",$I66="?",$D66&lt;&gt;"Advance",$B66=""),"",$I66&amp;"|"&amp;$J66&amp;"|"&amp;COUNTIFS($I$6:$I66,$I66,$J$6:$J66,$J66,$D$6:$D66,"Advance"))</f>
        <v/>
      </c>
      <c r="L66" s="29" t="str">
        <f aca="false">IF(OR($I66="",$I66="?",$B66=""),"",SUMPRODUCT((Weeks!$A$6:$A$58&lt;=$J66)*(Weeks!$Z$4:$AK$4=$I66)*Weeks!$Z$6:$AK$58)-SUMIFS($E$6:$E$1005,$I$6:$I$1005,$I66,$B$6:$B$1005,"&lt;="&amp;$B66))</f>
        <v/>
      </c>
      <c r="M66" s="19" t="str">
        <f aca="false">IF($B66&amp;$C66&amp;$D66&amp;$E66="","",IF($B66="","missing date",IF($C66="","missing worker",IF($I66="?","unknown worker - was the name changed on Workers?",IF($D66="","missing type",IF(N($E66)=0,"missing amount",IF(AND($E66&lt;0,$D66&lt;&gt;"Correction"),"negative amount - use a Correction to undo",IF(OR($B66&lt;Weeks!$A$6,$B66&gt;Weeks!$B$58),"date outside this workbook's year",IF(AND($D66="Advance",N($L66)&lt;0),"Warning: more than earned so far - worker now owes "&amp;ROUND(-$L66,0),"")))))))))</f>
        <v/>
      </c>
    </row>
    <row r="67" customFormat="false" ht="15" hidden="false" customHeight="false" outlineLevel="0" collapsed="false">
      <c r="A67" s="24" t="str">
        <f aca="false">IF($B67="","",ROW()-5)</f>
        <v/>
      </c>
      <c r="B67" s="25"/>
      <c r="C67" s="20"/>
      <c r="D67" s="26"/>
      <c r="E67" s="27"/>
      <c r="F67" s="20"/>
      <c r="G67" s="20"/>
      <c r="H67" s="26"/>
      <c r="I67" s="24" t="str">
        <f aca="false">IF($C67="","",IFERROR(INDEX(WorkerIDs,MATCH($C67,WorkerNames,0)),"?"))</f>
        <v/>
      </c>
      <c r="J67" s="18" t="str">
        <f aca="false">IF($B67="","",$B67-WEEKDAY($B67,2)+1)</f>
        <v/>
      </c>
      <c r="K67" s="28" t="str">
        <f aca="false">IF(OR($I67="",$I67="?",$D67&lt;&gt;"Advance",$B67=""),"",$I67&amp;"|"&amp;$J67&amp;"|"&amp;COUNTIFS($I$6:$I67,$I67,$J$6:$J67,$J67,$D$6:$D67,"Advance"))</f>
        <v/>
      </c>
      <c r="L67" s="29" t="str">
        <f aca="false">IF(OR($I67="",$I67="?",$B67=""),"",SUMPRODUCT((Weeks!$A$6:$A$58&lt;=$J67)*(Weeks!$Z$4:$AK$4=$I67)*Weeks!$Z$6:$AK$58)-SUMIFS($E$6:$E$1005,$I$6:$I$1005,$I67,$B$6:$B$1005,"&lt;="&amp;$B67))</f>
        <v/>
      </c>
      <c r="M67" s="19" t="str">
        <f aca="false">IF($B67&amp;$C67&amp;$D67&amp;$E67="","",IF($B67="","missing date",IF($C67="","missing worker",IF($I67="?","unknown worker - was the name changed on Workers?",IF($D67="","missing type",IF(N($E67)=0,"missing amount",IF(AND($E67&lt;0,$D67&lt;&gt;"Correction"),"negative amount - use a Correction to undo",IF(OR($B67&lt;Weeks!$A$6,$B67&gt;Weeks!$B$58),"date outside this workbook's year",IF(AND($D67="Advance",N($L67)&lt;0),"Warning: more than earned so far - worker now owes "&amp;ROUND(-$L67,0),"")))))))))</f>
        <v/>
      </c>
    </row>
    <row r="68" customFormat="false" ht="15" hidden="false" customHeight="false" outlineLevel="0" collapsed="false">
      <c r="A68" s="24" t="str">
        <f aca="false">IF($B68="","",ROW()-5)</f>
        <v/>
      </c>
      <c r="B68" s="25"/>
      <c r="C68" s="20"/>
      <c r="D68" s="26"/>
      <c r="E68" s="27"/>
      <c r="F68" s="20"/>
      <c r="G68" s="20"/>
      <c r="H68" s="26"/>
      <c r="I68" s="24" t="str">
        <f aca="false">IF($C68="","",IFERROR(INDEX(WorkerIDs,MATCH($C68,WorkerNames,0)),"?"))</f>
        <v/>
      </c>
      <c r="J68" s="18" t="str">
        <f aca="false">IF($B68="","",$B68-WEEKDAY($B68,2)+1)</f>
        <v/>
      </c>
      <c r="K68" s="28" t="str">
        <f aca="false">IF(OR($I68="",$I68="?",$D68&lt;&gt;"Advance",$B68=""),"",$I68&amp;"|"&amp;$J68&amp;"|"&amp;COUNTIFS($I$6:$I68,$I68,$J$6:$J68,$J68,$D$6:$D68,"Advance"))</f>
        <v/>
      </c>
      <c r="L68" s="29" t="str">
        <f aca="false">IF(OR($I68="",$I68="?",$B68=""),"",SUMPRODUCT((Weeks!$A$6:$A$58&lt;=$J68)*(Weeks!$Z$4:$AK$4=$I68)*Weeks!$Z$6:$AK$58)-SUMIFS($E$6:$E$1005,$I$6:$I$1005,$I68,$B$6:$B$1005,"&lt;="&amp;$B68))</f>
        <v/>
      </c>
      <c r="M68" s="19" t="str">
        <f aca="false">IF($B68&amp;$C68&amp;$D68&amp;$E68="","",IF($B68="","missing date",IF($C68="","missing worker",IF($I68="?","unknown worker - was the name changed on Workers?",IF($D68="","missing type",IF(N($E68)=0,"missing amount",IF(AND($E68&lt;0,$D68&lt;&gt;"Correction"),"negative amount - use a Correction to undo",IF(OR($B68&lt;Weeks!$A$6,$B68&gt;Weeks!$B$58),"date outside this workbook's year",IF(AND($D68="Advance",N($L68)&lt;0),"Warning: more than earned so far - worker now owes "&amp;ROUND(-$L68,0),"")))))))))</f>
        <v/>
      </c>
    </row>
    <row r="69" customFormat="false" ht="15" hidden="false" customHeight="false" outlineLevel="0" collapsed="false">
      <c r="A69" s="24" t="str">
        <f aca="false">IF($B69="","",ROW()-5)</f>
        <v/>
      </c>
      <c r="B69" s="25"/>
      <c r="C69" s="20"/>
      <c r="D69" s="26"/>
      <c r="E69" s="27"/>
      <c r="F69" s="20"/>
      <c r="G69" s="20"/>
      <c r="H69" s="26"/>
      <c r="I69" s="24" t="str">
        <f aca="false">IF($C69="","",IFERROR(INDEX(WorkerIDs,MATCH($C69,WorkerNames,0)),"?"))</f>
        <v/>
      </c>
      <c r="J69" s="18" t="str">
        <f aca="false">IF($B69="","",$B69-WEEKDAY($B69,2)+1)</f>
        <v/>
      </c>
      <c r="K69" s="28" t="str">
        <f aca="false">IF(OR($I69="",$I69="?",$D69&lt;&gt;"Advance",$B69=""),"",$I69&amp;"|"&amp;$J69&amp;"|"&amp;COUNTIFS($I$6:$I69,$I69,$J$6:$J69,$J69,$D$6:$D69,"Advance"))</f>
        <v/>
      </c>
      <c r="L69" s="29" t="str">
        <f aca="false">IF(OR($I69="",$I69="?",$B69=""),"",SUMPRODUCT((Weeks!$A$6:$A$58&lt;=$J69)*(Weeks!$Z$4:$AK$4=$I69)*Weeks!$Z$6:$AK$58)-SUMIFS($E$6:$E$1005,$I$6:$I$1005,$I69,$B$6:$B$1005,"&lt;="&amp;$B69))</f>
        <v/>
      </c>
      <c r="M69" s="19" t="str">
        <f aca="false">IF($B69&amp;$C69&amp;$D69&amp;$E69="","",IF($B69="","missing date",IF($C69="","missing worker",IF($I69="?","unknown worker - was the name changed on Workers?",IF($D69="","missing type",IF(N($E69)=0,"missing amount",IF(AND($E69&lt;0,$D69&lt;&gt;"Correction"),"negative amount - use a Correction to undo",IF(OR($B69&lt;Weeks!$A$6,$B69&gt;Weeks!$B$58),"date outside this workbook's year",IF(AND($D69="Advance",N($L69)&lt;0),"Warning: more than earned so far - worker now owes "&amp;ROUND(-$L69,0),"")))))))))</f>
        <v/>
      </c>
    </row>
    <row r="70" customFormat="false" ht="15" hidden="false" customHeight="false" outlineLevel="0" collapsed="false">
      <c r="A70" s="24" t="str">
        <f aca="false">IF($B70="","",ROW()-5)</f>
        <v/>
      </c>
      <c r="B70" s="25"/>
      <c r="C70" s="20"/>
      <c r="D70" s="26"/>
      <c r="E70" s="27"/>
      <c r="F70" s="20"/>
      <c r="G70" s="20"/>
      <c r="H70" s="26"/>
      <c r="I70" s="24" t="str">
        <f aca="false">IF($C70="","",IFERROR(INDEX(WorkerIDs,MATCH($C70,WorkerNames,0)),"?"))</f>
        <v/>
      </c>
      <c r="J70" s="18" t="str">
        <f aca="false">IF($B70="","",$B70-WEEKDAY($B70,2)+1)</f>
        <v/>
      </c>
      <c r="K70" s="28" t="str">
        <f aca="false">IF(OR($I70="",$I70="?",$D70&lt;&gt;"Advance",$B70=""),"",$I70&amp;"|"&amp;$J70&amp;"|"&amp;COUNTIFS($I$6:$I70,$I70,$J$6:$J70,$J70,$D$6:$D70,"Advance"))</f>
        <v/>
      </c>
      <c r="L70" s="29" t="str">
        <f aca="false">IF(OR($I70="",$I70="?",$B70=""),"",SUMPRODUCT((Weeks!$A$6:$A$58&lt;=$J70)*(Weeks!$Z$4:$AK$4=$I70)*Weeks!$Z$6:$AK$58)-SUMIFS($E$6:$E$1005,$I$6:$I$1005,$I70,$B$6:$B$1005,"&lt;="&amp;$B70))</f>
        <v/>
      </c>
      <c r="M70" s="19" t="str">
        <f aca="false">IF($B70&amp;$C70&amp;$D70&amp;$E70="","",IF($B70="","missing date",IF($C70="","missing worker",IF($I70="?","unknown worker - was the name changed on Workers?",IF($D70="","missing type",IF(N($E70)=0,"missing amount",IF(AND($E70&lt;0,$D70&lt;&gt;"Correction"),"negative amount - use a Correction to undo",IF(OR($B70&lt;Weeks!$A$6,$B70&gt;Weeks!$B$58),"date outside this workbook's year",IF(AND($D70="Advance",N($L70)&lt;0),"Warning: more than earned so far - worker now owes "&amp;ROUND(-$L70,0),"")))))))))</f>
        <v/>
      </c>
    </row>
    <row r="71" customFormat="false" ht="15" hidden="false" customHeight="false" outlineLevel="0" collapsed="false">
      <c r="A71" s="24" t="str">
        <f aca="false">IF($B71="","",ROW()-5)</f>
        <v/>
      </c>
      <c r="B71" s="25"/>
      <c r="C71" s="20"/>
      <c r="D71" s="26"/>
      <c r="E71" s="27"/>
      <c r="F71" s="20"/>
      <c r="G71" s="20"/>
      <c r="H71" s="26"/>
      <c r="I71" s="24" t="str">
        <f aca="false">IF($C71="","",IFERROR(INDEX(WorkerIDs,MATCH($C71,WorkerNames,0)),"?"))</f>
        <v/>
      </c>
      <c r="J71" s="18" t="str">
        <f aca="false">IF($B71="","",$B71-WEEKDAY($B71,2)+1)</f>
        <v/>
      </c>
      <c r="K71" s="28" t="str">
        <f aca="false">IF(OR($I71="",$I71="?",$D71&lt;&gt;"Advance",$B71=""),"",$I71&amp;"|"&amp;$J71&amp;"|"&amp;COUNTIFS($I$6:$I71,$I71,$J$6:$J71,$J71,$D$6:$D71,"Advance"))</f>
        <v/>
      </c>
      <c r="L71" s="29" t="str">
        <f aca="false">IF(OR($I71="",$I71="?",$B71=""),"",SUMPRODUCT((Weeks!$A$6:$A$58&lt;=$J71)*(Weeks!$Z$4:$AK$4=$I71)*Weeks!$Z$6:$AK$58)-SUMIFS($E$6:$E$1005,$I$6:$I$1005,$I71,$B$6:$B$1005,"&lt;="&amp;$B71))</f>
        <v/>
      </c>
      <c r="M71" s="19" t="str">
        <f aca="false">IF($B71&amp;$C71&amp;$D71&amp;$E71="","",IF($B71="","missing date",IF($C71="","missing worker",IF($I71="?","unknown worker - was the name changed on Workers?",IF($D71="","missing type",IF(N($E71)=0,"missing amount",IF(AND($E71&lt;0,$D71&lt;&gt;"Correction"),"negative amount - use a Correction to undo",IF(OR($B71&lt;Weeks!$A$6,$B71&gt;Weeks!$B$58),"date outside this workbook's year",IF(AND($D71="Advance",N($L71)&lt;0),"Warning: more than earned so far - worker now owes "&amp;ROUND(-$L71,0),"")))))))))</f>
        <v/>
      </c>
    </row>
    <row r="72" customFormat="false" ht="15" hidden="false" customHeight="false" outlineLevel="0" collapsed="false">
      <c r="A72" s="24" t="str">
        <f aca="false">IF($B72="","",ROW()-5)</f>
        <v/>
      </c>
      <c r="B72" s="25"/>
      <c r="C72" s="20"/>
      <c r="D72" s="26"/>
      <c r="E72" s="27"/>
      <c r="F72" s="20"/>
      <c r="G72" s="20"/>
      <c r="H72" s="26"/>
      <c r="I72" s="24" t="str">
        <f aca="false">IF($C72="","",IFERROR(INDEX(WorkerIDs,MATCH($C72,WorkerNames,0)),"?"))</f>
        <v/>
      </c>
      <c r="J72" s="18" t="str">
        <f aca="false">IF($B72="","",$B72-WEEKDAY($B72,2)+1)</f>
        <v/>
      </c>
      <c r="K72" s="28" t="str">
        <f aca="false">IF(OR($I72="",$I72="?",$D72&lt;&gt;"Advance",$B72=""),"",$I72&amp;"|"&amp;$J72&amp;"|"&amp;COUNTIFS($I$6:$I72,$I72,$J$6:$J72,$J72,$D$6:$D72,"Advance"))</f>
        <v/>
      </c>
      <c r="L72" s="29" t="str">
        <f aca="false">IF(OR($I72="",$I72="?",$B72=""),"",SUMPRODUCT((Weeks!$A$6:$A$58&lt;=$J72)*(Weeks!$Z$4:$AK$4=$I72)*Weeks!$Z$6:$AK$58)-SUMIFS($E$6:$E$1005,$I$6:$I$1005,$I72,$B$6:$B$1005,"&lt;="&amp;$B72))</f>
        <v/>
      </c>
      <c r="M72" s="19" t="str">
        <f aca="false">IF($B72&amp;$C72&amp;$D72&amp;$E72="","",IF($B72="","missing date",IF($C72="","missing worker",IF($I72="?","unknown worker - was the name changed on Workers?",IF($D72="","missing type",IF(N($E72)=0,"missing amount",IF(AND($E72&lt;0,$D72&lt;&gt;"Correction"),"negative amount - use a Correction to undo",IF(OR($B72&lt;Weeks!$A$6,$B72&gt;Weeks!$B$58),"date outside this workbook's year",IF(AND($D72="Advance",N($L72)&lt;0),"Warning: more than earned so far - worker now owes "&amp;ROUND(-$L72,0),"")))))))))</f>
        <v/>
      </c>
    </row>
    <row r="73" customFormat="false" ht="15" hidden="false" customHeight="false" outlineLevel="0" collapsed="false">
      <c r="A73" s="24" t="str">
        <f aca="false">IF($B73="","",ROW()-5)</f>
        <v/>
      </c>
      <c r="B73" s="25"/>
      <c r="C73" s="20"/>
      <c r="D73" s="26"/>
      <c r="E73" s="27"/>
      <c r="F73" s="20"/>
      <c r="G73" s="20"/>
      <c r="H73" s="26"/>
      <c r="I73" s="24" t="str">
        <f aca="false">IF($C73="","",IFERROR(INDEX(WorkerIDs,MATCH($C73,WorkerNames,0)),"?"))</f>
        <v/>
      </c>
      <c r="J73" s="18" t="str">
        <f aca="false">IF($B73="","",$B73-WEEKDAY($B73,2)+1)</f>
        <v/>
      </c>
      <c r="K73" s="28" t="str">
        <f aca="false">IF(OR($I73="",$I73="?",$D73&lt;&gt;"Advance",$B73=""),"",$I73&amp;"|"&amp;$J73&amp;"|"&amp;COUNTIFS($I$6:$I73,$I73,$J$6:$J73,$J73,$D$6:$D73,"Advance"))</f>
        <v/>
      </c>
      <c r="L73" s="29" t="str">
        <f aca="false">IF(OR($I73="",$I73="?",$B73=""),"",SUMPRODUCT((Weeks!$A$6:$A$58&lt;=$J73)*(Weeks!$Z$4:$AK$4=$I73)*Weeks!$Z$6:$AK$58)-SUMIFS($E$6:$E$1005,$I$6:$I$1005,$I73,$B$6:$B$1005,"&lt;="&amp;$B73))</f>
        <v/>
      </c>
      <c r="M73" s="19" t="str">
        <f aca="false">IF($B73&amp;$C73&amp;$D73&amp;$E73="","",IF($B73="","missing date",IF($C73="","missing worker",IF($I73="?","unknown worker - was the name changed on Workers?",IF($D73="","missing type",IF(N($E73)=0,"missing amount",IF(AND($E73&lt;0,$D73&lt;&gt;"Correction"),"negative amount - use a Correction to undo",IF(OR($B73&lt;Weeks!$A$6,$B73&gt;Weeks!$B$58),"date outside this workbook's year",IF(AND($D73="Advance",N($L73)&lt;0),"Warning: more than earned so far - worker now owes "&amp;ROUND(-$L73,0),"")))))))))</f>
        <v/>
      </c>
    </row>
    <row r="74" customFormat="false" ht="15" hidden="false" customHeight="false" outlineLevel="0" collapsed="false">
      <c r="A74" s="24" t="str">
        <f aca="false">IF($B74="","",ROW()-5)</f>
        <v/>
      </c>
      <c r="B74" s="25"/>
      <c r="C74" s="20"/>
      <c r="D74" s="26"/>
      <c r="E74" s="27"/>
      <c r="F74" s="20"/>
      <c r="G74" s="20"/>
      <c r="H74" s="26"/>
      <c r="I74" s="24" t="str">
        <f aca="false">IF($C74="","",IFERROR(INDEX(WorkerIDs,MATCH($C74,WorkerNames,0)),"?"))</f>
        <v/>
      </c>
      <c r="J74" s="18" t="str">
        <f aca="false">IF($B74="","",$B74-WEEKDAY($B74,2)+1)</f>
        <v/>
      </c>
      <c r="K74" s="28" t="str">
        <f aca="false">IF(OR($I74="",$I74="?",$D74&lt;&gt;"Advance",$B74=""),"",$I74&amp;"|"&amp;$J74&amp;"|"&amp;COUNTIFS($I$6:$I74,$I74,$J$6:$J74,$J74,$D$6:$D74,"Advance"))</f>
        <v/>
      </c>
      <c r="L74" s="29" t="str">
        <f aca="false">IF(OR($I74="",$I74="?",$B74=""),"",SUMPRODUCT((Weeks!$A$6:$A$58&lt;=$J74)*(Weeks!$Z$4:$AK$4=$I74)*Weeks!$Z$6:$AK$58)-SUMIFS($E$6:$E$1005,$I$6:$I$1005,$I74,$B$6:$B$1005,"&lt;="&amp;$B74))</f>
        <v/>
      </c>
      <c r="M74" s="19" t="str">
        <f aca="false">IF($B74&amp;$C74&amp;$D74&amp;$E74="","",IF($B74="","missing date",IF($C74="","missing worker",IF($I74="?","unknown worker - was the name changed on Workers?",IF($D74="","missing type",IF(N($E74)=0,"missing amount",IF(AND($E74&lt;0,$D74&lt;&gt;"Correction"),"negative amount - use a Correction to undo",IF(OR($B74&lt;Weeks!$A$6,$B74&gt;Weeks!$B$58),"date outside this workbook's year",IF(AND($D74="Advance",N($L74)&lt;0),"Warning: more than earned so far - worker now owes "&amp;ROUND(-$L74,0),"")))))))))</f>
        <v/>
      </c>
    </row>
    <row r="75" customFormat="false" ht="15" hidden="false" customHeight="false" outlineLevel="0" collapsed="false">
      <c r="A75" s="24" t="str">
        <f aca="false">IF($B75="","",ROW()-5)</f>
        <v/>
      </c>
      <c r="B75" s="25"/>
      <c r="C75" s="20"/>
      <c r="D75" s="26"/>
      <c r="E75" s="27"/>
      <c r="F75" s="20"/>
      <c r="G75" s="20"/>
      <c r="H75" s="26"/>
      <c r="I75" s="24" t="str">
        <f aca="false">IF($C75="","",IFERROR(INDEX(WorkerIDs,MATCH($C75,WorkerNames,0)),"?"))</f>
        <v/>
      </c>
      <c r="J75" s="18" t="str">
        <f aca="false">IF($B75="","",$B75-WEEKDAY($B75,2)+1)</f>
        <v/>
      </c>
      <c r="K75" s="28" t="str">
        <f aca="false">IF(OR($I75="",$I75="?",$D75&lt;&gt;"Advance",$B75=""),"",$I75&amp;"|"&amp;$J75&amp;"|"&amp;COUNTIFS($I$6:$I75,$I75,$J$6:$J75,$J75,$D$6:$D75,"Advance"))</f>
        <v/>
      </c>
      <c r="L75" s="29" t="str">
        <f aca="false">IF(OR($I75="",$I75="?",$B75=""),"",SUMPRODUCT((Weeks!$A$6:$A$58&lt;=$J75)*(Weeks!$Z$4:$AK$4=$I75)*Weeks!$Z$6:$AK$58)-SUMIFS($E$6:$E$1005,$I$6:$I$1005,$I75,$B$6:$B$1005,"&lt;="&amp;$B75))</f>
        <v/>
      </c>
      <c r="M75" s="19" t="str">
        <f aca="false">IF($B75&amp;$C75&amp;$D75&amp;$E75="","",IF($B75="","missing date",IF($C75="","missing worker",IF($I75="?","unknown worker - was the name changed on Workers?",IF($D75="","missing type",IF(N($E75)=0,"missing amount",IF(AND($E75&lt;0,$D75&lt;&gt;"Correction"),"negative amount - use a Correction to undo",IF(OR($B75&lt;Weeks!$A$6,$B75&gt;Weeks!$B$58),"date outside this workbook's year",IF(AND($D75="Advance",N($L75)&lt;0),"Warning: more than earned so far - worker now owes "&amp;ROUND(-$L75,0),"")))))))))</f>
        <v/>
      </c>
    </row>
    <row r="76" customFormat="false" ht="15" hidden="false" customHeight="false" outlineLevel="0" collapsed="false">
      <c r="A76" s="24" t="str">
        <f aca="false">IF($B76="","",ROW()-5)</f>
        <v/>
      </c>
      <c r="B76" s="25"/>
      <c r="C76" s="20"/>
      <c r="D76" s="26"/>
      <c r="E76" s="27"/>
      <c r="F76" s="20"/>
      <c r="G76" s="20"/>
      <c r="H76" s="26"/>
      <c r="I76" s="24" t="str">
        <f aca="false">IF($C76="","",IFERROR(INDEX(WorkerIDs,MATCH($C76,WorkerNames,0)),"?"))</f>
        <v/>
      </c>
      <c r="J76" s="18" t="str">
        <f aca="false">IF($B76="","",$B76-WEEKDAY($B76,2)+1)</f>
        <v/>
      </c>
      <c r="K76" s="28" t="str">
        <f aca="false">IF(OR($I76="",$I76="?",$D76&lt;&gt;"Advance",$B76=""),"",$I76&amp;"|"&amp;$J76&amp;"|"&amp;COUNTIFS($I$6:$I76,$I76,$J$6:$J76,$J76,$D$6:$D76,"Advance"))</f>
        <v/>
      </c>
      <c r="L76" s="29" t="str">
        <f aca="false">IF(OR($I76="",$I76="?",$B76=""),"",SUMPRODUCT((Weeks!$A$6:$A$58&lt;=$J76)*(Weeks!$Z$4:$AK$4=$I76)*Weeks!$Z$6:$AK$58)-SUMIFS($E$6:$E$1005,$I$6:$I$1005,$I76,$B$6:$B$1005,"&lt;="&amp;$B76))</f>
        <v/>
      </c>
      <c r="M76" s="19" t="str">
        <f aca="false">IF($B76&amp;$C76&amp;$D76&amp;$E76="","",IF($B76="","missing date",IF($C76="","missing worker",IF($I76="?","unknown worker - was the name changed on Workers?",IF($D76="","missing type",IF(N($E76)=0,"missing amount",IF(AND($E76&lt;0,$D76&lt;&gt;"Correction"),"negative amount - use a Correction to undo",IF(OR($B76&lt;Weeks!$A$6,$B76&gt;Weeks!$B$58),"date outside this workbook's year",IF(AND($D76="Advance",N($L76)&lt;0),"Warning: more than earned so far - worker now owes "&amp;ROUND(-$L76,0),"")))))))))</f>
        <v/>
      </c>
    </row>
    <row r="77" customFormat="false" ht="15" hidden="false" customHeight="false" outlineLevel="0" collapsed="false">
      <c r="A77" s="24" t="str">
        <f aca="false">IF($B77="","",ROW()-5)</f>
        <v/>
      </c>
      <c r="B77" s="25"/>
      <c r="C77" s="20"/>
      <c r="D77" s="26"/>
      <c r="E77" s="27"/>
      <c r="F77" s="20"/>
      <c r="G77" s="20"/>
      <c r="H77" s="26"/>
      <c r="I77" s="24" t="str">
        <f aca="false">IF($C77="","",IFERROR(INDEX(WorkerIDs,MATCH($C77,WorkerNames,0)),"?"))</f>
        <v/>
      </c>
      <c r="J77" s="18" t="str">
        <f aca="false">IF($B77="","",$B77-WEEKDAY($B77,2)+1)</f>
        <v/>
      </c>
      <c r="K77" s="28" t="str">
        <f aca="false">IF(OR($I77="",$I77="?",$D77&lt;&gt;"Advance",$B77=""),"",$I77&amp;"|"&amp;$J77&amp;"|"&amp;COUNTIFS($I$6:$I77,$I77,$J$6:$J77,$J77,$D$6:$D77,"Advance"))</f>
        <v/>
      </c>
      <c r="L77" s="29" t="str">
        <f aca="false">IF(OR($I77="",$I77="?",$B77=""),"",SUMPRODUCT((Weeks!$A$6:$A$58&lt;=$J77)*(Weeks!$Z$4:$AK$4=$I77)*Weeks!$Z$6:$AK$58)-SUMIFS($E$6:$E$1005,$I$6:$I$1005,$I77,$B$6:$B$1005,"&lt;="&amp;$B77))</f>
        <v/>
      </c>
      <c r="M77" s="19" t="str">
        <f aca="false">IF($B77&amp;$C77&amp;$D77&amp;$E77="","",IF($B77="","missing date",IF($C77="","missing worker",IF($I77="?","unknown worker - was the name changed on Workers?",IF($D77="","missing type",IF(N($E77)=0,"missing amount",IF(AND($E77&lt;0,$D77&lt;&gt;"Correction"),"negative amount - use a Correction to undo",IF(OR($B77&lt;Weeks!$A$6,$B77&gt;Weeks!$B$58),"date outside this workbook's year",IF(AND($D77="Advance",N($L77)&lt;0),"Warning: more than earned so far - worker now owes "&amp;ROUND(-$L77,0),"")))))))))</f>
        <v/>
      </c>
    </row>
    <row r="78" customFormat="false" ht="15" hidden="false" customHeight="false" outlineLevel="0" collapsed="false">
      <c r="A78" s="24" t="str">
        <f aca="false">IF($B78="","",ROW()-5)</f>
        <v/>
      </c>
      <c r="B78" s="25"/>
      <c r="C78" s="20"/>
      <c r="D78" s="26"/>
      <c r="E78" s="27"/>
      <c r="F78" s="20"/>
      <c r="G78" s="20"/>
      <c r="H78" s="26"/>
      <c r="I78" s="24" t="str">
        <f aca="false">IF($C78="","",IFERROR(INDEX(WorkerIDs,MATCH($C78,WorkerNames,0)),"?"))</f>
        <v/>
      </c>
      <c r="J78" s="18" t="str">
        <f aca="false">IF($B78="","",$B78-WEEKDAY($B78,2)+1)</f>
        <v/>
      </c>
      <c r="K78" s="28" t="str">
        <f aca="false">IF(OR($I78="",$I78="?",$D78&lt;&gt;"Advance",$B78=""),"",$I78&amp;"|"&amp;$J78&amp;"|"&amp;COUNTIFS($I$6:$I78,$I78,$J$6:$J78,$J78,$D$6:$D78,"Advance"))</f>
        <v/>
      </c>
      <c r="L78" s="29" t="str">
        <f aca="false">IF(OR($I78="",$I78="?",$B78=""),"",SUMPRODUCT((Weeks!$A$6:$A$58&lt;=$J78)*(Weeks!$Z$4:$AK$4=$I78)*Weeks!$Z$6:$AK$58)-SUMIFS($E$6:$E$1005,$I$6:$I$1005,$I78,$B$6:$B$1005,"&lt;="&amp;$B78))</f>
        <v/>
      </c>
      <c r="M78" s="19" t="str">
        <f aca="false">IF($B78&amp;$C78&amp;$D78&amp;$E78="","",IF($B78="","missing date",IF($C78="","missing worker",IF($I78="?","unknown worker - was the name changed on Workers?",IF($D78="","missing type",IF(N($E78)=0,"missing amount",IF(AND($E78&lt;0,$D78&lt;&gt;"Correction"),"negative amount - use a Correction to undo",IF(OR($B78&lt;Weeks!$A$6,$B78&gt;Weeks!$B$58),"date outside this workbook's year",IF(AND($D78="Advance",N($L78)&lt;0),"Warning: more than earned so far - worker now owes "&amp;ROUND(-$L78,0),"")))))))))</f>
        <v/>
      </c>
    </row>
    <row r="79" customFormat="false" ht="15" hidden="false" customHeight="false" outlineLevel="0" collapsed="false">
      <c r="A79" s="24" t="str">
        <f aca="false">IF($B79="","",ROW()-5)</f>
        <v/>
      </c>
      <c r="B79" s="25"/>
      <c r="C79" s="20"/>
      <c r="D79" s="26"/>
      <c r="E79" s="27"/>
      <c r="F79" s="20"/>
      <c r="G79" s="20"/>
      <c r="H79" s="26"/>
      <c r="I79" s="24" t="str">
        <f aca="false">IF($C79="","",IFERROR(INDEX(WorkerIDs,MATCH($C79,WorkerNames,0)),"?"))</f>
        <v/>
      </c>
      <c r="J79" s="18" t="str">
        <f aca="false">IF($B79="","",$B79-WEEKDAY($B79,2)+1)</f>
        <v/>
      </c>
      <c r="K79" s="28" t="str">
        <f aca="false">IF(OR($I79="",$I79="?",$D79&lt;&gt;"Advance",$B79=""),"",$I79&amp;"|"&amp;$J79&amp;"|"&amp;COUNTIFS($I$6:$I79,$I79,$J$6:$J79,$J79,$D$6:$D79,"Advance"))</f>
        <v/>
      </c>
      <c r="L79" s="29" t="str">
        <f aca="false">IF(OR($I79="",$I79="?",$B79=""),"",SUMPRODUCT((Weeks!$A$6:$A$58&lt;=$J79)*(Weeks!$Z$4:$AK$4=$I79)*Weeks!$Z$6:$AK$58)-SUMIFS($E$6:$E$1005,$I$6:$I$1005,$I79,$B$6:$B$1005,"&lt;="&amp;$B79))</f>
        <v/>
      </c>
      <c r="M79" s="19" t="str">
        <f aca="false">IF($B79&amp;$C79&amp;$D79&amp;$E79="","",IF($B79="","missing date",IF($C79="","missing worker",IF($I79="?","unknown worker - was the name changed on Workers?",IF($D79="","missing type",IF(N($E79)=0,"missing amount",IF(AND($E79&lt;0,$D79&lt;&gt;"Correction"),"negative amount - use a Correction to undo",IF(OR($B79&lt;Weeks!$A$6,$B79&gt;Weeks!$B$58),"date outside this workbook's year",IF(AND($D79="Advance",N($L79)&lt;0),"Warning: more than earned so far - worker now owes "&amp;ROUND(-$L79,0),"")))))))))</f>
        <v/>
      </c>
    </row>
    <row r="80" customFormat="false" ht="15" hidden="false" customHeight="false" outlineLevel="0" collapsed="false">
      <c r="A80" s="24" t="str">
        <f aca="false">IF($B80="","",ROW()-5)</f>
        <v/>
      </c>
      <c r="B80" s="25"/>
      <c r="C80" s="20"/>
      <c r="D80" s="26"/>
      <c r="E80" s="27"/>
      <c r="F80" s="20"/>
      <c r="G80" s="20"/>
      <c r="H80" s="26"/>
      <c r="I80" s="24" t="str">
        <f aca="false">IF($C80="","",IFERROR(INDEX(WorkerIDs,MATCH($C80,WorkerNames,0)),"?"))</f>
        <v/>
      </c>
      <c r="J80" s="18" t="str">
        <f aca="false">IF($B80="","",$B80-WEEKDAY($B80,2)+1)</f>
        <v/>
      </c>
      <c r="K80" s="28" t="str">
        <f aca="false">IF(OR($I80="",$I80="?",$D80&lt;&gt;"Advance",$B80=""),"",$I80&amp;"|"&amp;$J80&amp;"|"&amp;COUNTIFS($I$6:$I80,$I80,$J$6:$J80,$J80,$D$6:$D80,"Advance"))</f>
        <v/>
      </c>
      <c r="L80" s="29" t="str">
        <f aca="false">IF(OR($I80="",$I80="?",$B80=""),"",SUMPRODUCT((Weeks!$A$6:$A$58&lt;=$J80)*(Weeks!$Z$4:$AK$4=$I80)*Weeks!$Z$6:$AK$58)-SUMIFS($E$6:$E$1005,$I$6:$I$1005,$I80,$B$6:$B$1005,"&lt;="&amp;$B80))</f>
        <v/>
      </c>
      <c r="M80" s="19" t="str">
        <f aca="false">IF($B80&amp;$C80&amp;$D80&amp;$E80="","",IF($B80="","missing date",IF($C80="","missing worker",IF($I80="?","unknown worker - was the name changed on Workers?",IF($D80="","missing type",IF(N($E80)=0,"missing amount",IF(AND($E80&lt;0,$D80&lt;&gt;"Correction"),"negative amount - use a Correction to undo",IF(OR($B80&lt;Weeks!$A$6,$B80&gt;Weeks!$B$58),"date outside this workbook's year",IF(AND($D80="Advance",N($L80)&lt;0),"Warning: more than earned so far - worker now owes "&amp;ROUND(-$L80,0),"")))))))))</f>
        <v/>
      </c>
    </row>
    <row r="81" customFormat="false" ht="15" hidden="false" customHeight="false" outlineLevel="0" collapsed="false">
      <c r="A81" s="24" t="str">
        <f aca="false">IF($B81="","",ROW()-5)</f>
        <v/>
      </c>
      <c r="B81" s="25"/>
      <c r="C81" s="20"/>
      <c r="D81" s="26"/>
      <c r="E81" s="27"/>
      <c r="F81" s="20"/>
      <c r="G81" s="20"/>
      <c r="H81" s="26"/>
      <c r="I81" s="24" t="str">
        <f aca="false">IF($C81="","",IFERROR(INDEX(WorkerIDs,MATCH($C81,WorkerNames,0)),"?"))</f>
        <v/>
      </c>
      <c r="J81" s="18" t="str">
        <f aca="false">IF($B81="","",$B81-WEEKDAY($B81,2)+1)</f>
        <v/>
      </c>
      <c r="K81" s="28" t="str">
        <f aca="false">IF(OR($I81="",$I81="?",$D81&lt;&gt;"Advance",$B81=""),"",$I81&amp;"|"&amp;$J81&amp;"|"&amp;COUNTIFS($I$6:$I81,$I81,$J$6:$J81,$J81,$D$6:$D81,"Advance"))</f>
        <v/>
      </c>
      <c r="L81" s="29" t="str">
        <f aca="false">IF(OR($I81="",$I81="?",$B81=""),"",SUMPRODUCT((Weeks!$A$6:$A$58&lt;=$J81)*(Weeks!$Z$4:$AK$4=$I81)*Weeks!$Z$6:$AK$58)-SUMIFS($E$6:$E$1005,$I$6:$I$1005,$I81,$B$6:$B$1005,"&lt;="&amp;$B81))</f>
        <v/>
      </c>
      <c r="M81" s="19" t="str">
        <f aca="false">IF($B81&amp;$C81&amp;$D81&amp;$E81="","",IF($B81="","missing date",IF($C81="","missing worker",IF($I81="?","unknown worker - was the name changed on Workers?",IF($D81="","missing type",IF(N($E81)=0,"missing amount",IF(AND($E81&lt;0,$D81&lt;&gt;"Correction"),"negative amount - use a Correction to undo",IF(OR($B81&lt;Weeks!$A$6,$B81&gt;Weeks!$B$58),"date outside this workbook's year",IF(AND($D81="Advance",N($L81)&lt;0),"Warning: more than earned so far - worker now owes "&amp;ROUND(-$L81,0),"")))))))))</f>
        <v/>
      </c>
    </row>
    <row r="82" customFormat="false" ht="15" hidden="false" customHeight="false" outlineLevel="0" collapsed="false">
      <c r="A82" s="24" t="str">
        <f aca="false">IF($B82="","",ROW()-5)</f>
        <v/>
      </c>
      <c r="B82" s="25"/>
      <c r="C82" s="20"/>
      <c r="D82" s="26"/>
      <c r="E82" s="27"/>
      <c r="F82" s="20"/>
      <c r="G82" s="20"/>
      <c r="H82" s="26"/>
      <c r="I82" s="24" t="str">
        <f aca="false">IF($C82="","",IFERROR(INDEX(WorkerIDs,MATCH($C82,WorkerNames,0)),"?"))</f>
        <v/>
      </c>
      <c r="J82" s="18" t="str">
        <f aca="false">IF($B82="","",$B82-WEEKDAY($B82,2)+1)</f>
        <v/>
      </c>
      <c r="K82" s="28" t="str">
        <f aca="false">IF(OR($I82="",$I82="?",$D82&lt;&gt;"Advance",$B82=""),"",$I82&amp;"|"&amp;$J82&amp;"|"&amp;COUNTIFS($I$6:$I82,$I82,$J$6:$J82,$J82,$D$6:$D82,"Advance"))</f>
        <v/>
      </c>
      <c r="L82" s="29" t="str">
        <f aca="false">IF(OR($I82="",$I82="?",$B82=""),"",SUMPRODUCT((Weeks!$A$6:$A$58&lt;=$J82)*(Weeks!$Z$4:$AK$4=$I82)*Weeks!$Z$6:$AK$58)-SUMIFS($E$6:$E$1005,$I$6:$I$1005,$I82,$B$6:$B$1005,"&lt;="&amp;$B82))</f>
        <v/>
      </c>
      <c r="M82" s="19" t="str">
        <f aca="false">IF($B82&amp;$C82&amp;$D82&amp;$E82="","",IF($B82="","missing date",IF($C82="","missing worker",IF($I82="?","unknown worker - was the name changed on Workers?",IF($D82="","missing type",IF(N($E82)=0,"missing amount",IF(AND($E82&lt;0,$D82&lt;&gt;"Correction"),"negative amount - use a Correction to undo",IF(OR($B82&lt;Weeks!$A$6,$B82&gt;Weeks!$B$58),"date outside this workbook's year",IF(AND($D82="Advance",N($L82)&lt;0),"Warning: more than earned so far - worker now owes "&amp;ROUND(-$L82,0),"")))))))))</f>
        <v/>
      </c>
    </row>
    <row r="83" customFormat="false" ht="15" hidden="false" customHeight="false" outlineLevel="0" collapsed="false">
      <c r="A83" s="24" t="str">
        <f aca="false">IF($B83="","",ROW()-5)</f>
        <v/>
      </c>
      <c r="B83" s="25"/>
      <c r="C83" s="20"/>
      <c r="D83" s="26"/>
      <c r="E83" s="27"/>
      <c r="F83" s="20"/>
      <c r="G83" s="20"/>
      <c r="H83" s="26"/>
      <c r="I83" s="24" t="str">
        <f aca="false">IF($C83="","",IFERROR(INDEX(WorkerIDs,MATCH($C83,WorkerNames,0)),"?"))</f>
        <v/>
      </c>
      <c r="J83" s="18" t="str">
        <f aca="false">IF($B83="","",$B83-WEEKDAY($B83,2)+1)</f>
        <v/>
      </c>
      <c r="K83" s="28" t="str">
        <f aca="false">IF(OR($I83="",$I83="?",$D83&lt;&gt;"Advance",$B83=""),"",$I83&amp;"|"&amp;$J83&amp;"|"&amp;COUNTIFS($I$6:$I83,$I83,$J$6:$J83,$J83,$D$6:$D83,"Advance"))</f>
        <v/>
      </c>
      <c r="L83" s="29" t="str">
        <f aca="false">IF(OR($I83="",$I83="?",$B83=""),"",SUMPRODUCT((Weeks!$A$6:$A$58&lt;=$J83)*(Weeks!$Z$4:$AK$4=$I83)*Weeks!$Z$6:$AK$58)-SUMIFS($E$6:$E$1005,$I$6:$I$1005,$I83,$B$6:$B$1005,"&lt;="&amp;$B83))</f>
        <v/>
      </c>
      <c r="M83" s="19" t="str">
        <f aca="false">IF($B83&amp;$C83&amp;$D83&amp;$E83="","",IF($B83="","missing date",IF($C83="","missing worker",IF($I83="?","unknown worker - was the name changed on Workers?",IF($D83="","missing type",IF(N($E83)=0,"missing amount",IF(AND($E83&lt;0,$D83&lt;&gt;"Correction"),"negative amount - use a Correction to undo",IF(OR($B83&lt;Weeks!$A$6,$B83&gt;Weeks!$B$58),"date outside this workbook's year",IF(AND($D83="Advance",N($L83)&lt;0),"Warning: more than earned so far - worker now owes "&amp;ROUND(-$L83,0),"")))))))))</f>
        <v/>
      </c>
    </row>
    <row r="84" customFormat="false" ht="15" hidden="false" customHeight="false" outlineLevel="0" collapsed="false">
      <c r="A84" s="24" t="str">
        <f aca="false">IF($B84="","",ROW()-5)</f>
        <v/>
      </c>
      <c r="B84" s="25"/>
      <c r="C84" s="20"/>
      <c r="D84" s="26"/>
      <c r="E84" s="27"/>
      <c r="F84" s="20"/>
      <c r="G84" s="20"/>
      <c r="H84" s="26"/>
      <c r="I84" s="24" t="str">
        <f aca="false">IF($C84="","",IFERROR(INDEX(WorkerIDs,MATCH($C84,WorkerNames,0)),"?"))</f>
        <v/>
      </c>
      <c r="J84" s="18" t="str">
        <f aca="false">IF($B84="","",$B84-WEEKDAY($B84,2)+1)</f>
        <v/>
      </c>
      <c r="K84" s="28" t="str">
        <f aca="false">IF(OR($I84="",$I84="?",$D84&lt;&gt;"Advance",$B84=""),"",$I84&amp;"|"&amp;$J84&amp;"|"&amp;COUNTIFS($I$6:$I84,$I84,$J$6:$J84,$J84,$D$6:$D84,"Advance"))</f>
        <v/>
      </c>
      <c r="L84" s="29" t="str">
        <f aca="false">IF(OR($I84="",$I84="?",$B84=""),"",SUMPRODUCT((Weeks!$A$6:$A$58&lt;=$J84)*(Weeks!$Z$4:$AK$4=$I84)*Weeks!$Z$6:$AK$58)-SUMIFS($E$6:$E$1005,$I$6:$I$1005,$I84,$B$6:$B$1005,"&lt;="&amp;$B84))</f>
        <v/>
      </c>
      <c r="M84" s="19" t="str">
        <f aca="false">IF($B84&amp;$C84&amp;$D84&amp;$E84="","",IF($B84="","missing date",IF($C84="","missing worker",IF($I84="?","unknown worker - was the name changed on Workers?",IF($D84="","missing type",IF(N($E84)=0,"missing amount",IF(AND($E84&lt;0,$D84&lt;&gt;"Correction"),"negative amount - use a Correction to undo",IF(OR($B84&lt;Weeks!$A$6,$B84&gt;Weeks!$B$58),"date outside this workbook's year",IF(AND($D84="Advance",N($L84)&lt;0),"Warning: more than earned so far - worker now owes "&amp;ROUND(-$L84,0),"")))))))))</f>
        <v/>
      </c>
    </row>
    <row r="85" customFormat="false" ht="15" hidden="false" customHeight="false" outlineLevel="0" collapsed="false">
      <c r="A85" s="24" t="str">
        <f aca="false">IF($B85="","",ROW()-5)</f>
        <v/>
      </c>
      <c r="B85" s="25"/>
      <c r="C85" s="20"/>
      <c r="D85" s="26"/>
      <c r="E85" s="27"/>
      <c r="F85" s="20"/>
      <c r="G85" s="20"/>
      <c r="H85" s="26"/>
      <c r="I85" s="24" t="str">
        <f aca="false">IF($C85="","",IFERROR(INDEX(WorkerIDs,MATCH($C85,WorkerNames,0)),"?"))</f>
        <v/>
      </c>
      <c r="J85" s="18" t="str">
        <f aca="false">IF($B85="","",$B85-WEEKDAY($B85,2)+1)</f>
        <v/>
      </c>
      <c r="K85" s="28" t="str">
        <f aca="false">IF(OR($I85="",$I85="?",$D85&lt;&gt;"Advance",$B85=""),"",$I85&amp;"|"&amp;$J85&amp;"|"&amp;COUNTIFS($I$6:$I85,$I85,$J$6:$J85,$J85,$D$6:$D85,"Advance"))</f>
        <v/>
      </c>
      <c r="L85" s="29" t="str">
        <f aca="false">IF(OR($I85="",$I85="?",$B85=""),"",SUMPRODUCT((Weeks!$A$6:$A$58&lt;=$J85)*(Weeks!$Z$4:$AK$4=$I85)*Weeks!$Z$6:$AK$58)-SUMIFS($E$6:$E$1005,$I$6:$I$1005,$I85,$B$6:$B$1005,"&lt;="&amp;$B85))</f>
        <v/>
      </c>
      <c r="M85" s="19" t="str">
        <f aca="false">IF($B85&amp;$C85&amp;$D85&amp;$E85="","",IF($B85="","missing date",IF($C85="","missing worker",IF($I85="?","unknown worker - was the name changed on Workers?",IF($D85="","missing type",IF(N($E85)=0,"missing amount",IF(AND($E85&lt;0,$D85&lt;&gt;"Correction"),"negative amount - use a Correction to undo",IF(OR($B85&lt;Weeks!$A$6,$B85&gt;Weeks!$B$58),"date outside this workbook's year",IF(AND($D85="Advance",N($L85)&lt;0),"Warning: more than earned so far - worker now owes "&amp;ROUND(-$L85,0),"")))))))))</f>
        <v/>
      </c>
    </row>
    <row r="86" customFormat="false" ht="15" hidden="false" customHeight="false" outlineLevel="0" collapsed="false">
      <c r="A86" s="24" t="str">
        <f aca="false">IF($B86="","",ROW()-5)</f>
        <v/>
      </c>
      <c r="B86" s="25"/>
      <c r="C86" s="20"/>
      <c r="D86" s="26"/>
      <c r="E86" s="27"/>
      <c r="F86" s="20"/>
      <c r="G86" s="20"/>
      <c r="H86" s="26"/>
      <c r="I86" s="24" t="str">
        <f aca="false">IF($C86="","",IFERROR(INDEX(WorkerIDs,MATCH($C86,WorkerNames,0)),"?"))</f>
        <v/>
      </c>
      <c r="J86" s="18" t="str">
        <f aca="false">IF($B86="","",$B86-WEEKDAY($B86,2)+1)</f>
        <v/>
      </c>
      <c r="K86" s="28" t="str">
        <f aca="false">IF(OR($I86="",$I86="?",$D86&lt;&gt;"Advance",$B86=""),"",$I86&amp;"|"&amp;$J86&amp;"|"&amp;COUNTIFS($I$6:$I86,$I86,$J$6:$J86,$J86,$D$6:$D86,"Advance"))</f>
        <v/>
      </c>
      <c r="L86" s="29" t="str">
        <f aca="false">IF(OR($I86="",$I86="?",$B86=""),"",SUMPRODUCT((Weeks!$A$6:$A$58&lt;=$J86)*(Weeks!$Z$4:$AK$4=$I86)*Weeks!$Z$6:$AK$58)-SUMIFS($E$6:$E$1005,$I$6:$I$1005,$I86,$B$6:$B$1005,"&lt;="&amp;$B86))</f>
        <v/>
      </c>
      <c r="M86" s="19" t="str">
        <f aca="false">IF($B86&amp;$C86&amp;$D86&amp;$E86="","",IF($B86="","missing date",IF($C86="","missing worker",IF($I86="?","unknown worker - was the name changed on Workers?",IF($D86="","missing type",IF(N($E86)=0,"missing amount",IF(AND($E86&lt;0,$D86&lt;&gt;"Correction"),"negative amount - use a Correction to undo",IF(OR($B86&lt;Weeks!$A$6,$B86&gt;Weeks!$B$58),"date outside this workbook's year",IF(AND($D86="Advance",N($L86)&lt;0),"Warning: more than earned so far - worker now owes "&amp;ROUND(-$L86,0),"")))))))))</f>
        <v/>
      </c>
    </row>
    <row r="87" customFormat="false" ht="15" hidden="false" customHeight="false" outlineLevel="0" collapsed="false">
      <c r="A87" s="24" t="str">
        <f aca="false">IF($B87="","",ROW()-5)</f>
        <v/>
      </c>
      <c r="B87" s="25"/>
      <c r="C87" s="20"/>
      <c r="D87" s="26"/>
      <c r="E87" s="27"/>
      <c r="F87" s="20"/>
      <c r="G87" s="20"/>
      <c r="H87" s="26"/>
      <c r="I87" s="24" t="str">
        <f aca="false">IF($C87="","",IFERROR(INDEX(WorkerIDs,MATCH($C87,WorkerNames,0)),"?"))</f>
        <v/>
      </c>
      <c r="J87" s="18" t="str">
        <f aca="false">IF($B87="","",$B87-WEEKDAY($B87,2)+1)</f>
        <v/>
      </c>
      <c r="K87" s="28" t="str">
        <f aca="false">IF(OR($I87="",$I87="?",$D87&lt;&gt;"Advance",$B87=""),"",$I87&amp;"|"&amp;$J87&amp;"|"&amp;COUNTIFS($I$6:$I87,$I87,$J$6:$J87,$J87,$D$6:$D87,"Advance"))</f>
        <v/>
      </c>
      <c r="L87" s="29" t="str">
        <f aca="false">IF(OR($I87="",$I87="?",$B87=""),"",SUMPRODUCT((Weeks!$A$6:$A$58&lt;=$J87)*(Weeks!$Z$4:$AK$4=$I87)*Weeks!$Z$6:$AK$58)-SUMIFS($E$6:$E$1005,$I$6:$I$1005,$I87,$B$6:$B$1005,"&lt;="&amp;$B87))</f>
        <v/>
      </c>
      <c r="M87" s="19" t="str">
        <f aca="false">IF($B87&amp;$C87&amp;$D87&amp;$E87="","",IF($B87="","missing date",IF($C87="","missing worker",IF($I87="?","unknown worker - was the name changed on Workers?",IF($D87="","missing type",IF(N($E87)=0,"missing amount",IF(AND($E87&lt;0,$D87&lt;&gt;"Correction"),"negative amount - use a Correction to undo",IF(OR($B87&lt;Weeks!$A$6,$B87&gt;Weeks!$B$58),"date outside this workbook's year",IF(AND($D87="Advance",N($L87)&lt;0),"Warning: more than earned so far - worker now owes "&amp;ROUND(-$L87,0),"")))))))))</f>
        <v/>
      </c>
    </row>
    <row r="88" customFormat="false" ht="15" hidden="false" customHeight="false" outlineLevel="0" collapsed="false">
      <c r="A88" s="24" t="str">
        <f aca="false">IF($B88="","",ROW()-5)</f>
        <v/>
      </c>
      <c r="B88" s="25"/>
      <c r="C88" s="20"/>
      <c r="D88" s="26"/>
      <c r="E88" s="27"/>
      <c r="F88" s="20"/>
      <c r="G88" s="20"/>
      <c r="H88" s="26"/>
      <c r="I88" s="24" t="str">
        <f aca="false">IF($C88="","",IFERROR(INDEX(WorkerIDs,MATCH($C88,WorkerNames,0)),"?"))</f>
        <v/>
      </c>
      <c r="J88" s="18" t="str">
        <f aca="false">IF($B88="","",$B88-WEEKDAY($B88,2)+1)</f>
        <v/>
      </c>
      <c r="K88" s="28" t="str">
        <f aca="false">IF(OR($I88="",$I88="?",$D88&lt;&gt;"Advance",$B88=""),"",$I88&amp;"|"&amp;$J88&amp;"|"&amp;COUNTIFS($I$6:$I88,$I88,$J$6:$J88,$J88,$D$6:$D88,"Advance"))</f>
        <v/>
      </c>
      <c r="L88" s="29" t="str">
        <f aca="false">IF(OR($I88="",$I88="?",$B88=""),"",SUMPRODUCT((Weeks!$A$6:$A$58&lt;=$J88)*(Weeks!$Z$4:$AK$4=$I88)*Weeks!$Z$6:$AK$58)-SUMIFS($E$6:$E$1005,$I$6:$I$1005,$I88,$B$6:$B$1005,"&lt;="&amp;$B88))</f>
        <v/>
      </c>
      <c r="M88" s="19" t="str">
        <f aca="false">IF($B88&amp;$C88&amp;$D88&amp;$E88="","",IF($B88="","missing date",IF($C88="","missing worker",IF($I88="?","unknown worker - was the name changed on Workers?",IF($D88="","missing type",IF(N($E88)=0,"missing amount",IF(AND($E88&lt;0,$D88&lt;&gt;"Correction"),"negative amount - use a Correction to undo",IF(OR($B88&lt;Weeks!$A$6,$B88&gt;Weeks!$B$58),"date outside this workbook's year",IF(AND($D88="Advance",N($L88)&lt;0),"Warning: more than earned so far - worker now owes "&amp;ROUND(-$L88,0),"")))))))))</f>
        <v/>
      </c>
    </row>
    <row r="89" customFormat="false" ht="15" hidden="false" customHeight="false" outlineLevel="0" collapsed="false">
      <c r="A89" s="24" t="str">
        <f aca="false">IF($B89="","",ROW()-5)</f>
        <v/>
      </c>
      <c r="B89" s="25"/>
      <c r="C89" s="20"/>
      <c r="D89" s="26"/>
      <c r="E89" s="27"/>
      <c r="F89" s="20"/>
      <c r="G89" s="20"/>
      <c r="H89" s="26"/>
      <c r="I89" s="24" t="str">
        <f aca="false">IF($C89="","",IFERROR(INDEX(WorkerIDs,MATCH($C89,WorkerNames,0)),"?"))</f>
        <v/>
      </c>
      <c r="J89" s="18" t="str">
        <f aca="false">IF($B89="","",$B89-WEEKDAY($B89,2)+1)</f>
        <v/>
      </c>
      <c r="K89" s="28" t="str">
        <f aca="false">IF(OR($I89="",$I89="?",$D89&lt;&gt;"Advance",$B89=""),"",$I89&amp;"|"&amp;$J89&amp;"|"&amp;COUNTIFS($I$6:$I89,$I89,$J$6:$J89,$J89,$D$6:$D89,"Advance"))</f>
        <v/>
      </c>
      <c r="L89" s="29" t="str">
        <f aca="false">IF(OR($I89="",$I89="?",$B89=""),"",SUMPRODUCT((Weeks!$A$6:$A$58&lt;=$J89)*(Weeks!$Z$4:$AK$4=$I89)*Weeks!$Z$6:$AK$58)-SUMIFS($E$6:$E$1005,$I$6:$I$1005,$I89,$B$6:$B$1005,"&lt;="&amp;$B89))</f>
        <v/>
      </c>
      <c r="M89" s="19" t="str">
        <f aca="false">IF($B89&amp;$C89&amp;$D89&amp;$E89="","",IF($B89="","missing date",IF($C89="","missing worker",IF($I89="?","unknown worker - was the name changed on Workers?",IF($D89="","missing type",IF(N($E89)=0,"missing amount",IF(AND($E89&lt;0,$D89&lt;&gt;"Correction"),"negative amount - use a Correction to undo",IF(OR($B89&lt;Weeks!$A$6,$B89&gt;Weeks!$B$58),"date outside this workbook's year",IF(AND($D89="Advance",N($L89)&lt;0),"Warning: more than earned so far - worker now owes "&amp;ROUND(-$L89,0),"")))))))))</f>
        <v/>
      </c>
    </row>
    <row r="90" customFormat="false" ht="15" hidden="false" customHeight="false" outlineLevel="0" collapsed="false">
      <c r="A90" s="24" t="str">
        <f aca="false">IF($B90="","",ROW()-5)</f>
        <v/>
      </c>
      <c r="B90" s="25"/>
      <c r="C90" s="20"/>
      <c r="D90" s="26"/>
      <c r="E90" s="27"/>
      <c r="F90" s="20"/>
      <c r="G90" s="20"/>
      <c r="H90" s="26"/>
      <c r="I90" s="24" t="str">
        <f aca="false">IF($C90="","",IFERROR(INDEX(WorkerIDs,MATCH($C90,WorkerNames,0)),"?"))</f>
        <v/>
      </c>
      <c r="J90" s="18" t="str">
        <f aca="false">IF($B90="","",$B90-WEEKDAY($B90,2)+1)</f>
        <v/>
      </c>
      <c r="K90" s="28" t="str">
        <f aca="false">IF(OR($I90="",$I90="?",$D90&lt;&gt;"Advance",$B90=""),"",$I90&amp;"|"&amp;$J90&amp;"|"&amp;COUNTIFS($I$6:$I90,$I90,$J$6:$J90,$J90,$D$6:$D90,"Advance"))</f>
        <v/>
      </c>
      <c r="L90" s="29" t="str">
        <f aca="false">IF(OR($I90="",$I90="?",$B90=""),"",SUMPRODUCT((Weeks!$A$6:$A$58&lt;=$J90)*(Weeks!$Z$4:$AK$4=$I90)*Weeks!$Z$6:$AK$58)-SUMIFS($E$6:$E$1005,$I$6:$I$1005,$I90,$B$6:$B$1005,"&lt;="&amp;$B90))</f>
        <v/>
      </c>
      <c r="M90" s="19" t="str">
        <f aca="false">IF($B90&amp;$C90&amp;$D90&amp;$E90="","",IF($B90="","missing date",IF($C90="","missing worker",IF($I90="?","unknown worker - was the name changed on Workers?",IF($D90="","missing type",IF(N($E90)=0,"missing amount",IF(AND($E90&lt;0,$D90&lt;&gt;"Correction"),"negative amount - use a Correction to undo",IF(OR($B90&lt;Weeks!$A$6,$B90&gt;Weeks!$B$58),"date outside this workbook's year",IF(AND($D90="Advance",N($L90)&lt;0),"Warning: more than earned so far - worker now owes "&amp;ROUND(-$L90,0),"")))))))))</f>
        <v/>
      </c>
    </row>
    <row r="91" customFormat="false" ht="15" hidden="false" customHeight="false" outlineLevel="0" collapsed="false">
      <c r="A91" s="24" t="str">
        <f aca="false">IF($B91="","",ROW()-5)</f>
        <v/>
      </c>
      <c r="B91" s="25"/>
      <c r="C91" s="20"/>
      <c r="D91" s="26"/>
      <c r="E91" s="27"/>
      <c r="F91" s="20"/>
      <c r="G91" s="20"/>
      <c r="H91" s="26"/>
      <c r="I91" s="24" t="str">
        <f aca="false">IF($C91="","",IFERROR(INDEX(WorkerIDs,MATCH($C91,WorkerNames,0)),"?"))</f>
        <v/>
      </c>
      <c r="J91" s="18" t="str">
        <f aca="false">IF($B91="","",$B91-WEEKDAY($B91,2)+1)</f>
        <v/>
      </c>
      <c r="K91" s="28" t="str">
        <f aca="false">IF(OR($I91="",$I91="?",$D91&lt;&gt;"Advance",$B91=""),"",$I91&amp;"|"&amp;$J91&amp;"|"&amp;COUNTIFS($I$6:$I91,$I91,$J$6:$J91,$J91,$D$6:$D91,"Advance"))</f>
        <v/>
      </c>
      <c r="L91" s="29" t="str">
        <f aca="false">IF(OR($I91="",$I91="?",$B91=""),"",SUMPRODUCT((Weeks!$A$6:$A$58&lt;=$J91)*(Weeks!$Z$4:$AK$4=$I91)*Weeks!$Z$6:$AK$58)-SUMIFS($E$6:$E$1005,$I$6:$I$1005,$I91,$B$6:$B$1005,"&lt;="&amp;$B91))</f>
        <v/>
      </c>
      <c r="M91" s="19" t="str">
        <f aca="false">IF($B91&amp;$C91&amp;$D91&amp;$E91="","",IF($B91="","missing date",IF($C91="","missing worker",IF($I91="?","unknown worker - was the name changed on Workers?",IF($D91="","missing type",IF(N($E91)=0,"missing amount",IF(AND($E91&lt;0,$D91&lt;&gt;"Correction"),"negative amount - use a Correction to undo",IF(OR($B91&lt;Weeks!$A$6,$B91&gt;Weeks!$B$58),"date outside this workbook's year",IF(AND($D91="Advance",N($L91)&lt;0),"Warning: more than earned so far - worker now owes "&amp;ROUND(-$L91,0),"")))))))))</f>
        <v/>
      </c>
    </row>
    <row r="92" customFormat="false" ht="15" hidden="false" customHeight="false" outlineLevel="0" collapsed="false">
      <c r="A92" s="24" t="str">
        <f aca="false">IF($B92="","",ROW()-5)</f>
        <v/>
      </c>
      <c r="B92" s="25"/>
      <c r="C92" s="20"/>
      <c r="D92" s="26"/>
      <c r="E92" s="27"/>
      <c r="F92" s="20"/>
      <c r="G92" s="20"/>
      <c r="H92" s="26"/>
      <c r="I92" s="24" t="str">
        <f aca="false">IF($C92="","",IFERROR(INDEX(WorkerIDs,MATCH($C92,WorkerNames,0)),"?"))</f>
        <v/>
      </c>
      <c r="J92" s="18" t="str">
        <f aca="false">IF($B92="","",$B92-WEEKDAY($B92,2)+1)</f>
        <v/>
      </c>
      <c r="K92" s="28" t="str">
        <f aca="false">IF(OR($I92="",$I92="?",$D92&lt;&gt;"Advance",$B92=""),"",$I92&amp;"|"&amp;$J92&amp;"|"&amp;COUNTIFS($I$6:$I92,$I92,$J$6:$J92,$J92,$D$6:$D92,"Advance"))</f>
        <v/>
      </c>
      <c r="L92" s="29" t="str">
        <f aca="false">IF(OR($I92="",$I92="?",$B92=""),"",SUMPRODUCT((Weeks!$A$6:$A$58&lt;=$J92)*(Weeks!$Z$4:$AK$4=$I92)*Weeks!$Z$6:$AK$58)-SUMIFS($E$6:$E$1005,$I$6:$I$1005,$I92,$B$6:$B$1005,"&lt;="&amp;$B92))</f>
        <v/>
      </c>
      <c r="M92" s="19" t="str">
        <f aca="false">IF($B92&amp;$C92&amp;$D92&amp;$E92="","",IF($B92="","missing date",IF($C92="","missing worker",IF($I92="?","unknown worker - was the name changed on Workers?",IF($D92="","missing type",IF(N($E92)=0,"missing amount",IF(AND($E92&lt;0,$D92&lt;&gt;"Correction"),"negative amount - use a Correction to undo",IF(OR($B92&lt;Weeks!$A$6,$B92&gt;Weeks!$B$58),"date outside this workbook's year",IF(AND($D92="Advance",N($L92)&lt;0),"Warning: more than earned so far - worker now owes "&amp;ROUND(-$L92,0),"")))))))))</f>
        <v/>
      </c>
    </row>
    <row r="93" customFormat="false" ht="15" hidden="false" customHeight="false" outlineLevel="0" collapsed="false">
      <c r="A93" s="24" t="str">
        <f aca="false">IF($B93="","",ROW()-5)</f>
        <v/>
      </c>
      <c r="B93" s="25"/>
      <c r="C93" s="20"/>
      <c r="D93" s="26"/>
      <c r="E93" s="27"/>
      <c r="F93" s="20"/>
      <c r="G93" s="20"/>
      <c r="H93" s="26"/>
      <c r="I93" s="24" t="str">
        <f aca="false">IF($C93="","",IFERROR(INDEX(WorkerIDs,MATCH($C93,WorkerNames,0)),"?"))</f>
        <v/>
      </c>
      <c r="J93" s="18" t="str">
        <f aca="false">IF($B93="","",$B93-WEEKDAY($B93,2)+1)</f>
        <v/>
      </c>
      <c r="K93" s="28" t="str">
        <f aca="false">IF(OR($I93="",$I93="?",$D93&lt;&gt;"Advance",$B93=""),"",$I93&amp;"|"&amp;$J93&amp;"|"&amp;COUNTIFS($I$6:$I93,$I93,$J$6:$J93,$J93,$D$6:$D93,"Advance"))</f>
        <v/>
      </c>
      <c r="L93" s="29" t="str">
        <f aca="false">IF(OR($I93="",$I93="?",$B93=""),"",SUMPRODUCT((Weeks!$A$6:$A$58&lt;=$J93)*(Weeks!$Z$4:$AK$4=$I93)*Weeks!$Z$6:$AK$58)-SUMIFS($E$6:$E$1005,$I$6:$I$1005,$I93,$B$6:$B$1005,"&lt;="&amp;$B93))</f>
        <v/>
      </c>
      <c r="M93" s="19" t="str">
        <f aca="false">IF($B93&amp;$C93&amp;$D93&amp;$E93="","",IF($B93="","missing date",IF($C93="","missing worker",IF($I93="?","unknown worker - was the name changed on Workers?",IF($D93="","missing type",IF(N($E93)=0,"missing amount",IF(AND($E93&lt;0,$D93&lt;&gt;"Correction"),"negative amount - use a Correction to undo",IF(OR($B93&lt;Weeks!$A$6,$B93&gt;Weeks!$B$58),"date outside this workbook's year",IF(AND($D93="Advance",N($L93)&lt;0),"Warning: more than earned so far - worker now owes "&amp;ROUND(-$L93,0),"")))))))))</f>
        <v/>
      </c>
    </row>
    <row r="94" customFormat="false" ht="15" hidden="false" customHeight="false" outlineLevel="0" collapsed="false">
      <c r="A94" s="24" t="str">
        <f aca="false">IF($B94="","",ROW()-5)</f>
        <v/>
      </c>
      <c r="B94" s="25"/>
      <c r="C94" s="20"/>
      <c r="D94" s="26"/>
      <c r="E94" s="27"/>
      <c r="F94" s="20"/>
      <c r="G94" s="20"/>
      <c r="H94" s="26"/>
      <c r="I94" s="24" t="str">
        <f aca="false">IF($C94="","",IFERROR(INDEX(WorkerIDs,MATCH($C94,WorkerNames,0)),"?"))</f>
        <v/>
      </c>
      <c r="J94" s="18" t="str">
        <f aca="false">IF($B94="","",$B94-WEEKDAY($B94,2)+1)</f>
        <v/>
      </c>
      <c r="K94" s="28" t="str">
        <f aca="false">IF(OR($I94="",$I94="?",$D94&lt;&gt;"Advance",$B94=""),"",$I94&amp;"|"&amp;$J94&amp;"|"&amp;COUNTIFS($I$6:$I94,$I94,$J$6:$J94,$J94,$D$6:$D94,"Advance"))</f>
        <v/>
      </c>
      <c r="L94" s="29" t="str">
        <f aca="false">IF(OR($I94="",$I94="?",$B94=""),"",SUMPRODUCT((Weeks!$A$6:$A$58&lt;=$J94)*(Weeks!$Z$4:$AK$4=$I94)*Weeks!$Z$6:$AK$58)-SUMIFS($E$6:$E$1005,$I$6:$I$1005,$I94,$B$6:$B$1005,"&lt;="&amp;$B94))</f>
        <v/>
      </c>
      <c r="M94" s="19" t="str">
        <f aca="false">IF($B94&amp;$C94&amp;$D94&amp;$E94="","",IF($B94="","missing date",IF($C94="","missing worker",IF($I94="?","unknown worker - was the name changed on Workers?",IF($D94="","missing type",IF(N($E94)=0,"missing amount",IF(AND($E94&lt;0,$D94&lt;&gt;"Correction"),"negative amount - use a Correction to undo",IF(OR($B94&lt;Weeks!$A$6,$B94&gt;Weeks!$B$58),"date outside this workbook's year",IF(AND($D94="Advance",N($L94)&lt;0),"Warning: more than earned so far - worker now owes "&amp;ROUND(-$L94,0),"")))))))))</f>
        <v/>
      </c>
    </row>
    <row r="95" customFormat="false" ht="15" hidden="false" customHeight="false" outlineLevel="0" collapsed="false">
      <c r="A95" s="24" t="str">
        <f aca="false">IF($B95="","",ROW()-5)</f>
        <v/>
      </c>
      <c r="B95" s="25"/>
      <c r="C95" s="20"/>
      <c r="D95" s="26"/>
      <c r="E95" s="27"/>
      <c r="F95" s="20"/>
      <c r="G95" s="20"/>
      <c r="H95" s="26"/>
      <c r="I95" s="24" t="str">
        <f aca="false">IF($C95="","",IFERROR(INDEX(WorkerIDs,MATCH($C95,WorkerNames,0)),"?"))</f>
        <v/>
      </c>
      <c r="J95" s="18" t="str">
        <f aca="false">IF($B95="","",$B95-WEEKDAY($B95,2)+1)</f>
        <v/>
      </c>
      <c r="K95" s="28" t="str">
        <f aca="false">IF(OR($I95="",$I95="?",$D95&lt;&gt;"Advance",$B95=""),"",$I95&amp;"|"&amp;$J95&amp;"|"&amp;COUNTIFS($I$6:$I95,$I95,$J$6:$J95,$J95,$D$6:$D95,"Advance"))</f>
        <v/>
      </c>
      <c r="L95" s="29" t="str">
        <f aca="false">IF(OR($I95="",$I95="?",$B95=""),"",SUMPRODUCT((Weeks!$A$6:$A$58&lt;=$J95)*(Weeks!$Z$4:$AK$4=$I95)*Weeks!$Z$6:$AK$58)-SUMIFS($E$6:$E$1005,$I$6:$I$1005,$I95,$B$6:$B$1005,"&lt;="&amp;$B95))</f>
        <v/>
      </c>
      <c r="M95" s="19" t="str">
        <f aca="false">IF($B95&amp;$C95&amp;$D95&amp;$E95="","",IF($B95="","missing date",IF($C95="","missing worker",IF($I95="?","unknown worker - was the name changed on Workers?",IF($D95="","missing type",IF(N($E95)=0,"missing amount",IF(AND($E95&lt;0,$D95&lt;&gt;"Correction"),"negative amount - use a Correction to undo",IF(OR($B95&lt;Weeks!$A$6,$B95&gt;Weeks!$B$58),"date outside this workbook's year",IF(AND($D95="Advance",N($L95)&lt;0),"Warning: more than earned so far - worker now owes "&amp;ROUND(-$L95,0),"")))))))))</f>
        <v/>
      </c>
    </row>
    <row r="96" customFormat="false" ht="15" hidden="false" customHeight="false" outlineLevel="0" collapsed="false">
      <c r="A96" s="24" t="str">
        <f aca="false">IF($B96="","",ROW()-5)</f>
        <v/>
      </c>
      <c r="B96" s="25"/>
      <c r="C96" s="20"/>
      <c r="D96" s="26"/>
      <c r="E96" s="27"/>
      <c r="F96" s="20"/>
      <c r="G96" s="20"/>
      <c r="H96" s="26"/>
      <c r="I96" s="24" t="str">
        <f aca="false">IF($C96="","",IFERROR(INDEX(WorkerIDs,MATCH($C96,WorkerNames,0)),"?"))</f>
        <v/>
      </c>
      <c r="J96" s="18" t="str">
        <f aca="false">IF($B96="","",$B96-WEEKDAY($B96,2)+1)</f>
        <v/>
      </c>
      <c r="K96" s="28" t="str">
        <f aca="false">IF(OR($I96="",$I96="?",$D96&lt;&gt;"Advance",$B96=""),"",$I96&amp;"|"&amp;$J96&amp;"|"&amp;COUNTIFS($I$6:$I96,$I96,$J$6:$J96,$J96,$D$6:$D96,"Advance"))</f>
        <v/>
      </c>
      <c r="L96" s="29" t="str">
        <f aca="false">IF(OR($I96="",$I96="?",$B96=""),"",SUMPRODUCT((Weeks!$A$6:$A$58&lt;=$J96)*(Weeks!$Z$4:$AK$4=$I96)*Weeks!$Z$6:$AK$58)-SUMIFS($E$6:$E$1005,$I$6:$I$1005,$I96,$B$6:$B$1005,"&lt;="&amp;$B96))</f>
        <v/>
      </c>
      <c r="M96" s="19" t="str">
        <f aca="false">IF($B96&amp;$C96&amp;$D96&amp;$E96="","",IF($B96="","missing date",IF($C96="","missing worker",IF($I96="?","unknown worker - was the name changed on Workers?",IF($D96="","missing type",IF(N($E96)=0,"missing amount",IF(AND($E96&lt;0,$D96&lt;&gt;"Correction"),"negative amount - use a Correction to undo",IF(OR($B96&lt;Weeks!$A$6,$B96&gt;Weeks!$B$58),"date outside this workbook's year",IF(AND($D96="Advance",N($L96)&lt;0),"Warning: more than earned so far - worker now owes "&amp;ROUND(-$L96,0),"")))))))))</f>
        <v/>
      </c>
    </row>
    <row r="97" customFormat="false" ht="15" hidden="false" customHeight="false" outlineLevel="0" collapsed="false">
      <c r="A97" s="24" t="str">
        <f aca="false">IF($B97="","",ROW()-5)</f>
        <v/>
      </c>
      <c r="B97" s="25"/>
      <c r="C97" s="20"/>
      <c r="D97" s="26"/>
      <c r="E97" s="27"/>
      <c r="F97" s="20"/>
      <c r="G97" s="20"/>
      <c r="H97" s="26"/>
      <c r="I97" s="24" t="str">
        <f aca="false">IF($C97="","",IFERROR(INDEX(WorkerIDs,MATCH($C97,WorkerNames,0)),"?"))</f>
        <v/>
      </c>
      <c r="J97" s="18" t="str">
        <f aca="false">IF($B97="","",$B97-WEEKDAY($B97,2)+1)</f>
        <v/>
      </c>
      <c r="K97" s="28" t="str">
        <f aca="false">IF(OR($I97="",$I97="?",$D97&lt;&gt;"Advance",$B97=""),"",$I97&amp;"|"&amp;$J97&amp;"|"&amp;COUNTIFS($I$6:$I97,$I97,$J$6:$J97,$J97,$D$6:$D97,"Advance"))</f>
        <v/>
      </c>
      <c r="L97" s="29" t="str">
        <f aca="false">IF(OR($I97="",$I97="?",$B97=""),"",SUMPRODUCT((Weeks!$A$6:$A$58&lt;=$J97)*(Weeks!$Z$4:$AK$4=$I97)*Weeks!$Z$6:$AK$58)-SUMIFS($E$6:$E$1005,$I$6:$I$1005,$I97,$B$6:$B$1005,"&lt;="&amp;$B97))</f>
        <v/>
      </c>
      <c r="M97" s="19" t="str">
        <f aca="false">IF($B97&amp;$C97&amp;$D97&amp;$E97="","",IF($B97="","missing date",IF($C97="","missing worker",IF($I97="?","unknown worker - was the name changed on Workers?",IF($D97="","missing type",IF(N($E97)=0,"missing amount",IF(AND($E97&lt;0,$D97&lt;&gt;"Correction"),"negative amount - use a Correction to undo",IF(OR($B97&lt;Weeks!$A$6,$B97&gt;Weeks!$B$58),"date outside this workbook's year",IF(AND($D97="Advance",N($L97)&lt;0),"Warning: more than earned so far - worker now owes "&amp;ROUND(-$L97,0),"")))))))))</f>
        <v/>
      </c>
    </row>
    <row r="98" customFormat="false" ht="15" hidden="false" customHeight="false" outlineLevel="0" collapsed="false">
      <c r="A98" s="24" t="str">
        <f aca="false">IF($B98="","",ROW()-5)</f>
        <v/>
      </c>
      <c r="B98" s="25"/>
      <c r="C98" s="20"/>
      <c r="D98" s="26"/>
      <c r="E98" s="27"/>
      <c r="F98" s="20"/>
      <c r="G98" s="20"/>
      <c r="H98" s="26"/>
      <c r="I98" s="24" t="str">
        <f aca="false">IF($C98="","",IFERROR(INDEX(WorkerIDs,MATCH($C98,WorkerNames,0)),"?"))</f>
        <v/>
      </c>
      <c r="J98" s="18" t="str">
        <f aca="false">IF($B98="","",$B98-WEEKDAY($B98,2)+1)</f>
        <v/>
      </c>
      <c r="K98" s="28" t="str">
        <f aca="false">IF(OR($I98="",$I98="?",$D98&lt;&gt;"Advance",$B98=""),"",$I98&amp;"|"&amp;$J98&amp;"|"&amp;COUNTIFS($I$6:$I98,$I98,$J$6:$J98,$J98,$D$6:$D98,"Advance"))</f>
        <v/>
      </c>
      <c r="L98" s="29" t="str">
        <f aca="false">IF(OR($I98="",$I98="?",$B98=""),"",SUMPRODUCT((Weeks!$A$6:$A$58&lt;=$J98)*(Weeks!$Z$4:$AK$4=$I98)*Weeks!$Z$6:$AK$58)-SUMIFS($E$6:$E$1005,$I$6:$I$1005,$I98,$B$6:$B$1005,"&lt;="&amp;$B98))</f>
        <v/>
      </c>
      <c r="M98" s="19" t="str">
        <f aca="false">IF($B98&amp;$C98&amp;$D98&amp;$E98="","",IF($B98="","missing date",IF($C98="","missing worker",IF($I98="?","unknown worker - was the name changed on Workers?",IF($D98="","missing type",IF(N($E98)=0,"missing amount",IF(AND($E98&lt;0,$D98&lt;&gt;"Correction"),"negative amount - use a Correction to undo",IF(OR($B98&lt;Weeks!$A$6,$B98&gt;Weeks!$B$58),"date outside this workbook's year",IF(AND($D98="Advance",N($L98)&lt;0),"Warning: more than earned so far - worker now owes "&amp;ROUND(-$L98,0),"")))))))))</f>
        <v/>
      </c>
    </row>
    <row r="99" customFormat="false" ht="15" hidden="false" customHeight="false" outlineLevel="0" collapsed="false">
      <c r="A99" s="24" t="str">
        <f aca="false">IF($B99="","",ROW()-5)</f>
        <v/>
      </c>
      <c r="B99" s="25"/>
      <c r="C99" s="20"/>
      <c r="D99" s="26"/>
      <c r="E99" s="27"/>
      <c r="F99" s="20"/>
      <c r="G99" s="20"/>
      <c r="H99" s="26"/>
      <c r="I99" s="24" t="str">
        <f aca="false">IF($C99="","",IFERROR(INDEX(WorkerIDs,MATCH($C99,WorkerNames,0)),"?"))</f>
        <v/>
      </c>
      <c r="J99" s="18" t="str">
        <f aca="false">IF($B99="","",$B99-WEEKDAY($B99,2)+1)</f>
        <v/>
      </c>
      <c r="K99" s="28" t="str">
        <f aca="false">IF(OR($I99="",$I99="?",$D99&lt;&gt;"Advance",$B99=""),"",$I99&amp;"|"&amp;$J99&amp;"|"&amp;COUNTIFS($I$6:$I99,$I99,$J$6:$J99,$J99,$D$6:$D99,"Advance"))</f>
        <v/>
      </c>
      <c r="L99" s="29" t="str">
        <f aca="false">IF(OR($I99="",$I99="?",$B99=""),"",SUMPRODUCT((Weeks!$A$6:$A$58&lt;=$J99)*(Weeks!$Z$4:$AK$4=$I99)*Weeks!$Z$6:$AK$58)-SUMIFS($E$6:$E$1005,$I$6:$I$1005,$I99,$B$6:$B$1005,"&lt;="&amp;$B99))</f>
        <v/>
      </c>
      <c r="M99" s="19" t="str">
        <f aca="false">IF($B99&amp;$C99&amp;$D99&amp;$E99="","",IF($B99="","missing date",IF($C99="","missing worker",IF($I99="?","unknown worker - was the name changed on Workers?",IF($D99="","missing type",IF(N($E99)=0,"missing amount",IF(AND($E99&lt;0,$D99&lt;&gt;"Correction"),"negative amount - use a Correction to undo",IF(OR($B99&lt;Weeks!$A$6,$B99&gt;Weeks!$B$58),"date outside this workbook's year",IF(AND($D99="Advance",N($L99)&lt;0),"Warning: more than earned so far - worker now owes "&amp;ROUND(-$L99,0),"")))))))))</f>
        <v/>
      </c>
    </row>
    <row r="100" customFormat="false" ht="15" hidden="false" customHeight="false" outlineLevel="0" collapsed="false">
      <c r="A100" s="24" t="str">
        <f aca="false">IF($B100="","",ROW()-5)</f>
        <v/>
      </c>
      <c r="B100" s="25"/>
      <c r="C100" s="20"/>
      <c r="D100" s="26"/>
      <c r="E100" s="27"/>
      <c r="F100" s="20"/>
      <c r="G100" s="20"/>
      <c r="H100" s="26"/>
      <c r="I100" s="24" t="str">
        <f aca="false">IF($C100="","",IFERROR(INDEX(WorkerIDs,MATCH($C100,WorkerNames,0)),"?"))</f>
        <v/>
      </c>
      <c r="J100" s="18" t="str">
        <f aca="false">IF($B100="","",$B100-WEEKDAY($B100,2)+1)</f>
        <v/>
      </c>
      <c r="K100" s="28" t="str">
        <f aca="false">IF(OR($I100="",$I100="?",$D100&lt;&gt;"Advance",$B100=""),"",$I100&amp;"|"&amp;$J100&amp;"|"&amp;COUNTIFS($I$6:$I100,$I100,$J$6:$J100,$J100,$D$6:$D100,"Advance"))</f>
        <v/>
      </c>
      <c r="L100" s="29" t="str">
        <f aca="false">IF(OR($I100="",$I100="?",$B100=""),"",SUMPRODUCT((Weeks!$A$6:$A$58&lt;=$J100)*(Weeks!$Z$4:$AK$4=$I100)*Weeks!$Z$6:$AK$58)-SUMIFS($E$6:$E$1005,$I$6:$I$1005,$I100,$B$6:$B$1005,"&lt;="&amp;$B100))</f>
        <v/>
      </c>
      <c r="M100" s="19" t="str">
        <f aca="false">IF($B100&amp;$C100&amp;$D100&amp;$E100="","",IF($B100="","missing date",IF($C100="","missing worker",IF($I100="?","unknown worker - was the name changed on Workers?",IF($D100="","missing type",IF(N($E100)=0,"missing amount",IF(AND($E100&lt;0,$D100&lt;&gt;"Correction"),"negative amount - use a Correction to undo",IF(OR($B100&lt;Weeks!$A$6,$B100&gt;Weeks!$B$58),"date outside this workbook's year",IF(AND($D100="Advance",N($L100)&lt;0),"Warning: more than earned so far - worker now owes "&amp;ROUND(-$L100,0),"")))))))))</f>
        <v/>
      </c>
    </row>
    <row r="101" customFormat="false" ht="15" hidden="false" customHeight="false" outlineLevel="0" collapsed="false">
      <c r="A101" s="24" t="str">
        <f aca="false">IF($B101="","",ROW()-5)</f>
        <v/>
      </c>
      <c r="B101" s="25"/>
      <c r="C101" s="20"/>
      <c r="D101" s="26"/>
      <c r="E101" s="27"/>
      <c r="F101" s="20"/>
      <c r="G101" s="20"/>
      <c r="H101" s="26"/>
      <c r="I101" s="24" t="str">
        <f aca="false">IF($C101="","",IFERROR(INDEX(WorkerIDs,MATCH($C101,WorkerNames,0)),"?"))</f>
        <v/>
      </c>
      <c r="J101" s="18" t="str">
        <f aca="false">IF($B101="","",$B101-WEEKDAY($B101,2)+1)</f>
        <v/>
      </c>
      <c r="K101" s="28" t="str">
        <f aca="false">IF(OR($I101="",$I101="?",$D101&lt;&gt;"Advance",$B101=""),"",$I101&amp;"|"&amp;$J101&amp;"|"&amp;COUNTIFS($I$6:$I101,$I101,$J$6:$J101,$J101,$D$6:$D101,"Advance"))</f>
        <v/>
      </c>
      <c r="L101" s="29" t="str">
        <f aca="false">IF(OR($I101="",$I101="?",$B101=""),"",SUMPRODUCT((Weeks!$A$6:$A$58&lt;=$J101)*(Weeks!$Z$4:$AK$4=$I101)*Weeks!$Z$6:$AK$58)-SUMIFS($E$6:$E$1005,$I$6:$I$1005,$I101,$B$6:$B$1005,"&lt;="&amp;$B101))</f>
        <v/>
      </c>
      <c r="M101" s="19" t="str">
        <f aca="false">IF($B101&amp;$C101&amp;$D101&amp;$E101="","",IF($B101="","missing date",IF($C101="","missing worker",IF($I101="?","unknown worker - was the name changed on Workers?",IF($D101="","missing type",IF(N($E101)=0,"missing amount",IF(AND($E101&lt;0,$D101&lt;&gt;"Correction"),"negative amount - use a Correction to undo",IF(OR($B101&lt;Weeks!$A$6,$B101&gt;Weeks!$B$58),"date outside this workbook's year",IF(AND($D101="Advance",N($L101)&lt;0),"Warning: more than earned so far - worker now owes "&amp;ROUND(-$L101,0),"")))))))))</f>
        <v/>
      </c>
    </row>
    <row r="102" customFormat="false" ht="15" hidden="false" customHeight="false" outlineLevel="0" collapsed="false">
      <c r="A102" s="24" t="str">
        <f aca="false">IF($B102="","",ROW()-5)</f>
        <v/>
      </c>
      <c r="B102" s="25"/>
      <c r="C102" s="20"/>
      <c r="D102" s="26"/>
      <c r="E102" s="27"/>
      <c r="F102" s="20"/>
      <c r="G102" s="20"/>
      <c r="H102" s="26"/>
      <c r="I102" s="24" t="str">
        <f aca="false">IF($C102="","",IFERROR(INDEX(WorkerIDs,MATCH($C102,WorkerNames,0)),"?"))</f>
        <v/>
      </c>
      <c r="J102" s="18" t="str">
        <f aca="false">IF($B102="","",$B102-WEEKDAY($B102,2)+1)</f>
        <v/>
      </c>
      <c r="K102" s="28" t="str">
        <f aca="false">IF(OR($I102="",$I102="?",$D102&lt;&gt;"Advance",$B102=""),"",$I102&amp;"|"&amp;$J102&amp;"|"&amp;COUNTIFS($I$6:$I102,$I102,$J$6:$J102,$J102,$D$6:$D102,"Advance"))</f>
        <v/>
      </c>
      <c r="L102" s="29" t="str">
        <f aca="false">IF(OR($I102="",$I102="?",$B102=""),"",SUMPRODUCT((Weeks!$A$6:$A$58&lt;=$J102)*(Weeks!$Z$4:$AK$4=$I102)*Weeks!$Z$6:$AK$58)-SUMIFS($E$6:$E$1005,$I$6:$I$1005,$I102,$B$6:$B$1005,"&lt;="&amp;$B102))</f>
        <v/>
      </c>
      <c r="M102" s="19" t="str">
        <f aca="false">IF($B102&amp;$C102&amp;$D102&amp;$E102="","",IF($B102="","missing date",IF($C102="","missing worker",IF($I102="?","unknown worker - was the name changed on Workers?",IF($D102="","missing type",IF(N($E102)=0,"missing amount",IF(AND($E102&lt;0,$D102&lt;&gt;"Correction"),"negative amount - use a Correction to undo",IF(OR($B102&lt;Weeks!$A$6,$B102&gt;Weeks!$B$58),"date outside this workbook's year",IF(AND($D102="Advance",N($L102)&lt;0),"Warning: more than earned so far - worker now owes "&amp;ROUND(-$L102,0),"")))))))))</f>
        <v/>
      </c>
    </row>
    <row r="103" customFormat="false" ht="15" hidden="false" customHeight="false" outlineLevel="0" collapsed="false">
      <c r="A103" s="24" t="str">
        <f aca="false">IF($B103="","",ROW()-5)</f>
        <v/>
      </c>
      <c r="B103" s="25"/>
      <c r="C103" s="20"/>
      <c r="D103" s="26"/>
      <c r="E103" s="27"/>
      <c r="F103" s="20"/>
      <c r="G103" s="20"/>
      <c r="H103" s="26"/>
      <c r="I103" s="24" t="str">
        <f aca="false">IF($C103="","",IFERROR(INDEX(WorkerIDs,MATCH($C103,WorkerNames,0)),"?"))</f>
        <v/>
      </c>
      <c r="J103" s="18" t="str">
        <f aca="false">IF($B103="","",$B103-WEEKDAY($B103,2)+1)</f>
        <v/>
      </c>
      <c r="K103" s="28" t="str">
        <f aca="false">IF(OR($I103="",$I103="?",$D103&lt;&gt;"Advance",$B103=""),"",$I103&amp;"|"&amp;$J103&amp;"|"&amp;COUNTIFS($I$6:$I103,$I103,$J$6:$J103,$J103,$D$6:$D103,"Advance"))</f>
        <v/>
      </c>
      <c r="L103" s="29" t="str">
        <f aca="false">IF(OR($I103="",$I103="?",$B103=""),"",SUMPRODUCT((Weeks!$A$6:$A$58&lt;=$J103)*(Weeks!$Z$4:$AK$4=$I103)*Weeks!$Z$6:$AK$58)-SUMIFS($E$6:$E$1005,$I$6:$I$1005,$I103,$B$6:$B$1005,"&lt;="&amp;$B103))</f>
        <v/>
      </c>
      <c r="M103" s="19" t="str">
        <f aca="false">IF($B103&amp;$C103&amp;$D103&amp;$E103="","",IF($B103="","missing date",IF($C103="","missing worker",IF($I103="?","unknown worker - was the name changed on Workers?",IF($D103="","missing type",IF(N($E103)=0,"missing amount",IF(AND($E103&lt;0,$D103&lt;&gt;"Correction"),"negative amount - use a Correction to undo",IF(OR($B103&lt;Weeks!$A$6,$B103&gt;Weeks!$B$58),"date outside this workbook's year",IF(AND($D103="Advance",N($L103)&lt;0),"Warning: more than earned so far - worker now owes "&amp;ROUND(-$L103,0),"")))))))))</f>
        <v/>
      </c>
    </row>
    <row r="104" customFormat="false" ht="15" hidden="false" customHeight="false" outlineLevel="0" collapsed="false">
      <c r="A104" s="24" t="str">
        <f aca="false">IF($B104="","",ROW()-5)</f>
        <v/>
      </c>
      <c r="B104" s="25"/>
      <c r="C104" s="20"/>
      <c r="D104" s="26"/>
      <c r="E104" s="27"/>
      <c r="F104" s="20"/>
      <c r="G104" s="20"/>
      <c r="H104" s="26"/>
      <c r="I104" s="24" t="str">
        <f aca="false">IF($C104="","",IFERROR(INDEX(WorkerIDs,MATCH($C104,WorkerNames,0)),"?"))</f>
        <v/>
      </c>
      <c r="J104" s="18" t="str">
        <f aca="false">IF($B104="","",$B104-WEEKDAY($B104,2)+1)</f>
        <v/>
      </c>
      <c r="K104" s="28" t="str">
        <f aca="false">IF(OR($I104="",$I104="?",$D104&lt;&gt;"Advance",$B104=""),"",$I104&amp;"|"&amp;$J104&amp;"|"&amp;COUNTIFS($I$6:$I104,$I104,$J$6:$J104,$J104,$D$6:$D104,"Advance"))</f>
        <v/>
      </c>
      <c r="L104" s="29" t="str">
        <f aca="false">IF(OR($I104="",$I104="?",$B104=""),"",SUMPRODUCT((Weeks!$A$6:$A$58&lt;=$J104)*(Weeks!$Z$4:$AK$4=$I104)*Weeks!$Z$6:$AK$58)-SUMIFS($E$6:$E$1005,$I$6:$I$1005,$I104,$B$6:$B$1005,"&lt;="&amp;$B104))</f>
        <v/>
      </c>
      <c r="M104" s="19" t="str">
        <f aca="false">IF($B104&amp;$C104&amp;$D104&amp;$E104="","",IF($B104="","missing date",IF($C104="","missing worker",IF($I104="?","unknown worker - was the name changed on Workers?",IF($D104="","missing type",IF(N($E104)=0,"missing amount",IF(AND($E104&lt;0,$D104&lt;&gt;"Correction"),"negative amount - use a Correction to undo",IF(OR($B104&lt;Weeks!$A$6,$B104&gt;Weeks!$B$58),"date outside this workbook's year",IF(AND($D104="Advance",N($L104)&lt;0),"Warning: more than earned so far - worker now owes "&amp;ROUND(-$L104,0),"")))))))))</f>
        <v/>
      </c>
    </row>
    <row r="105" customFormat="false" ht="15" hidden="false" customHeight="false" outlineLevel="0" collapsed="false">
      <c r="A105" s="24" t="str">
        <f aca="false">IF($B105="","",ROW()-5)</f>
        <v/>
      </c>
      <c r="B105" s="25"/>
      <c r="C105" s="20"/>
      <c r="D105" s="26"/>
      <c r="E105" s="27"/>
      <c r="F105" s="20"/>
      <c r="G105" s="20"/>
      <c r="H105" s="26"/>
      <c r="I105" s="24" t="str">
        <f aca="false">IF($C105="","",IFERROR(INDEX(WorkerIDs,MATCH($C105,WorkerNames,0)),"?"))</f>
        <v/>
      </c>
      <c r="J105" s="18" t="str">
        <f aca="false">IF($B105="","",$B105-WEEKDAY($B105,2)+1)</f>
        <v/>
      </c>
      <c r="K105" s="28" t="str">
        <f aca="false">IF(OR($I105="",$I105="?",$D105&lt;&gt;"Advance",$B105=""),"",$I105&amp;"|"&amp;$J105&amp;"|"&amp;COUNTIFS($I$6:$I105,$I105,$J$6:$J105,$J105,$D$6:$D105,"Advance"))</f>
        <v/>
      </c>
      <c r="L105" s="29" t="str">
        <f aca="false">IF(OR($I105="",$I105="?",$B105=""),"",SUMPRODUCT((Weeks!$A$6:$A$58&lt;=$J105)*(Weeks!$Z$4:$AK$4=$I105)*Weeks!$Z$6:$AK$58)-SUMIFS($E$6:$E$1005,$I$6:$I$1005,$I105,$B$6:$B$1005,"&lt;="&amp;$B105))</f>
        <v/>
      </c>
      <c r="M105" s="19" t="str">
        <f aca="false">IF($B105&amp;$C105&amp;$D105&amp;$E105="","",IF($B105="","missing date",IF($C105="","missing worker",IF($I105="?","unknown worker - was the name changed on Workers?",IF($D105="","missing type",IF(N($E105)=0,"missing amount",IF(AND($E105&lt;0,$D105&lt;&gt;"Correction"),"negative amount - use a Correction to undo",IF(OR($B105&lt;Weeks!$A$6,$B105&gt;Weeks!$B$58),"date outside this workbook's year",IF(AND($D105="Advance",N($L105)&lt;0),"Warning: more than earned so far - worker now owes "&amp;ROUND(-$L105,0),"")))))))))</f>
        <v/>
      </c>
    </row>
    <row r="106" customFormat="false" ht="15" hidden="false" customHeight="false" outlineLevel="0" collapsed="false">
      <c r="A106" s="24" t="str">
        <f aca="false">IF($B106="","",ROW()-5)</f>
        <v/>
      </c>
      <c r="B106" s="25"/>
      <c r="C106" s="20"/>
      <c r="D106" s="26"/>
      <c r="E106" s="27"/>
      <c r="F106" s="20"/>
      <c r="G106" s="20"/>
      <c r="H106" s="26"/>
      <c r="I106" s="24" t="str">
        <f aca="false">IF($C106="","",IFERROR(INDEX(WorkerIDs,MATCH($C106,WorkerNames,0)),"?"))</f>
        <v/>
      </c>
      <c r="J106" s="18" t="str">
        <f aca="false">IF($B106="","",$B106-WEEKDAY($B106,2)+1)</f>
        <v/>
      </c>
      <c r="K106" s="28" t="str">
        <f aca="false">IF(OR($I106="",$I106="?",$D106&lt;&gt;"Advance",$B106=""),"",$I106&amp;"|"&amp;$J106&amp;"|"&amp;COUNTIFS($I$6:$I106,$I106,$J$6:$J106,$J106,$D$6:$D106,"Advance"))</f>
        <v/>
      </c>
      <c r="L106" s="29" t="str">
        <f aca="false">IF(OR($I106="",$I106="?",$B106=""),"",SUMPRODUCT((Weeks!$A$6:$A$58&lt;=$J106)*(Weeks!$Z$4:$AK$4=$I106)*Weeks!$Z$6:$AK$58)-SUMIFS($E$6:$E$1005,$I$6:$I$1005,$I106,$B$6:$B$1005,"&lt;="&amp;$B106))</f>
        <v/>
      </c>
      <c r="M106" s="19" t="str">
        <f aca="false">IF($B106&amp;$C106&amp;$D106&amp;$E106="","",IF($B106="","missing date",IF($C106="","missing worker",IF($I106="?","unknown worker - was the name changed on Workers?",IF($D106="","missing type",IF(N($E106)=0,"missing amount",IF(AND($E106&lt;0,$D106&lt;&gt;"Correction"),"negative amount - use a Correction to undo",IF(OR($B106&lt;Weeks!$A$6,$B106&gt;Weeks!$B$58),"date outside this workbook's year",IF(AND($D106="Advance",N($L106)&lt;0),"Warning: more than earned so far - worker now owes "&amp;ROUND(-$L106,0),"")))))))))</f>
        <v/>
      </c>
    </row>
    <row r="107" customFormat="false" ht="15" hidden="false" customHeight="false" outlineLevel="0" collapsed="false">
      <c r="A107" s="24" t="str">
        <f aca="false">IF($B107="","",ROW()-5)</f>
        <v/>
      </c>
      <c r="B107" s="25"/>
      <c r="C107" s="20"/>
      <c r="D107" s="26"/>
      <c r="E107" s="27"/>
      <c r="F107" s="20"/>
      <c r="G107" s="20"/>
      <c r="H107" s="26"/>
      <c r="I107" s="24" t="str">
        <f aca="false">IF($C107="","",IFERROR(INDEX(WorkerIDs,MATCH($C107,WorkerNames,0)),"?"))</f>
        <v/>
      </c>
      <c r="J107" s="18" t="str">
        <f aca="false">IF($B107="","",$B107-WEEKDAY($B107,2)+1)</f>
        <v/>
      </c>
      <c r="K107" s="28" t="str">
        <f aca="false">IF(OR($I107="",$I107="?",$D107&lt;&gt;"Advance",$B107=""),"",$I107&amp;"|"&amp;$J107&amp;"|"&amp;COUNTIFS($I$6:$I107,$I107,$J$6:$J107,$J107,$D$6:$D107,"Advance"))</f>
        <v/>
      </c>
      <c r="L107" s="29" t="str">
        <f aca="false">IF(OR($I107="",$I107="?",$B107=""),"",SUMPRODUCT((Weeks!$A$6:$A$58&lt;=$J107)*(Weeks!$Z$4:$AK$4=$I107)*Weeks!$Z$6:$AK$58)-SUMIFS($E$6:$E$1005,$I$6:$I$1005,$I107,$B$6:$B$1005,"&lt;="&amp;$B107))</f>
        <v/>
      </c>
      <c r="M107" s="19" t="str">
        <f aca="false">IF($B107&amp;$C107&amp;$D107&amp;$E107="","",IF($B107="","missing date",IF($C107="","missing worker",IF($I107="?","unknown worker - was the name changed on Workers?",IF($D107="","missing type",IF(N($E107)=0,"missing amount",IF(AND($E107&lt;0,$D107&lt;&gt;"Correction"),"negative amount - use a Correction to undo",IF(OR($B107&lt;Weeks!$A$6,$B107&gt;Weeks!$B$58),"date outside this workbook's year",IF(AND($D107="Advance",N($L107)&lt;0),"Warning: more than earned so far - worker now owes "&amp;ROUND(-$L107,0),"")))))))))</f>
        <v/>
      </c>
    </row>
    <row r="108" customFormat="false" ht="15" hidden="false" customHeight="false" outlineLevel="0" collapsed="false">
      <c r="A108" s="24" t="str">
        <f aca="false">IF($B108="","",ROW()-5)</f>
        <v/>
      </c>
      <c r="B108" s="25"/>
      <c r="C108" s="20"/>
      <c r="D108" s="26"/>
      <c r="E108" s="27"/>
      <c r="F108" s="20"/>
      <c r="G108" s="20"/>
      <c r="H108" s="26"/>
      <c r="I108" s="24" t="str">
        <f aca="false">IF($C108="","",IFERROR(INDEX(WorkerIDs,MATCH($C108,WorkerNames,0)),"?"))</f>
        <v/>
      </c>
      <c r="J108" s="18" t="str">
        <f aca="false">IF($B108="","",$B108-WEEKDAY($B108,2)+1)</f>
        <v/>
      </c>
      <c r="K108" s="28" t="str">
        <f aca="false">IF(OR($I108="",$I108="?",$D108&lt;&gt;"Advance",$B108=""),"",$I108&amp;"|"&amp;$J108&amp;"|"&amp;COUNTIFS($I$6:$I108,$I108,$J$6:$J108,$J108,$D$6:$D108,"Advance"))</f>
        <v/>
      </c>
      <c r="L108" s="29" t="str">
        <f aca="false">IF(OR($I108="",$I108="?",$B108=""),"",SUMPRODUCT((Weeks!$A$6:$A$58&lt;=$J108)*(Weeks!$Z$4:$AK$4=$I108)*Weeks!$Z$6:$AK$58)-SUMIFS($E$6:$E$1005,$I$6:$I$1005,$I108,$B$6:$B$1005,"&lt;="&amp;$B108))</f>
        <v/>
      </c>
      <c r="M108" s="19" t="str">
        <f aca="false">IF($B108&amp;$C108&amp;$D108&amp;$E108="","",IF($B108="","missing date",IF($C108="","missing worker",IF($I108="?","unknown worker - was the name changed on Workers?",IF($D108="","missing type",IF(N($E108)=0,"missing amount",IF(AND($E108&lt;0,$D108&lt;&gt;"Correction"),"negative amount - use a Correction to undo",IF(OR($B108&lt;Weeks!$A$6,$B108&gt;Weeks!$B$58),"date outside this workbook's year",IF(AND($D108="Advance",N($L108)&lt;0),"Warning: more than earned so far - worker now owes "&amp;ROUND(-$L108,0),"")))))))))</f>
        <v/>
      </c>
    </row>
    <row r="109" customFormat="false" ht="15" hidden="false" customHeight="false" outlineLevel="0" collapsed="false">
      <c r="A109" s="24" t="str">
        <f aca="false">IF($B109="","",ROW()-5)</f>
        <v/>
      </c>
      <c r="B109" s="25"/>
      <c r="C109" s="20"/>
      <c r="D109" s="26"/>
      <c r="E109" s="27"/>
      <c r="F109" s="20"/>
      <c r="G109" s="20"/>
      <c r="H109" s="26"/>
      <c r="I109" s="24" t="str">
        <f aca="false">IF($C109="","",IFERROR(INDEX(WorkerIDs,MATCH($C109,WorkerNames,0)),"?"))</f>
        <v/>
      </c>
      <c r="J109" s="18" t="str">
        <f aca="false">IF($B109="","",$B109-WEEKDAY($B109,2)+1)</f>
        <v/>
      </c>
      <c r="K109" s="28" t="str">
        <f aca="false">IF(OR($I109="",$I109="?",$D109&lt;&gt;"Advance",$B109=""),"",$I109&amp;"|"&amp;$J109&amp;"|"&amp;COUNTIFS($I$6:$I109,$I109,$J$6:$J109,$J109,$D$6:$D109,"Advance"))</f>
        <v/>
      </c>
      <c r="L109" s="29" t="str">
        <f aca="false">IF(OR($I109="",$I109="?",$B109=""),"",SUMPRODUCT((Weeks!$A$6:$A$58&lt;=$J109)*(Weeks!$Z$4:$AK$4=$I109)*Weeks!$Z$6:$AK$58)-SUMIFS($E$6:$E$1005,$I$6:$I$1005,$I109,$B$6:$B$1005,"&lt;="&amp;$B109))</f>
        <v/>
      </c>
      <c r="M109" s="19" t="str">
        <f aca="false">IF($B109&amp;$C109&amp;$D109&amp;$E109="","",IF($B109="","missing date",IF($C109="","missing worker",IF($I109="?","unknown worker - was the name changed on Workers?",IF($D109="","missing type",IF(N($E109)=0,"missing amount",IF(AND($E109&lt;0,$D109&lt;&gt;"Correction"),"negative amount - use a Correction to undo",IF(OR($B109&lt;Weeks!$A$6,$B109&gt;Weeks!$B$58),"date outside this workbook's year",IF(AND($D109="Advance",N($L109)&lt;0),"Warning: more than earned so far - worker now owes "&amp;ROUND(-$L109,0),"")))))))))</f>
        <v/>
      </c>
    </row>
    <row r="110" customFormat="false" ht="15" hidden="false" customHeight="false" outlineLevel="0" collapsed="false">
      <c r="A110" s="24" t="str">
        <f aca="false">IF($B110="","",ROW()-5)</f>
        <v/>
      </c>
      <c r="B110" s="25"/>
      <c r="C110" s="20"/>
      <c r="D110" s="26"/>
      <c r="E110" s="27"/>
      <c r="F110" s="20"/>
      <c r="G110" s="20"/>
      <c r="H110" s="26"/>
      <c r="I110" s="24" t="str">
        <f aca="false">IF($C110="","",IFERROR(INDEX(WorkerIDs,MATCH($C110,WorkerNames,0)),"?"))</f>
        <v/>
      </c>
      <c r="J110" s="18" t="str">
        <f aca="false">IF($B110="","",$B110-WEEKDAY($B110,2)+1)</f>
        <v/>
      </c>
      <c r="K110" s="28" t="str">
        <f aca="false">IF(OR($I110="",$I110="?",$D110&lt;&gt;"Advance",$B110=""),"",$I110&amp;"|"&amp;$J110&amp;"|"&amp;COUNTIFS($I$6:$I110,$I110,$J$6:$J110,$J110,$D$6:$D110,"Advance"))</f>
        <v/>
      </c>
      <c r="L110" s="29" t="str">
        <f aca="false">IF(OR($I110="",$I110="?",$B110=""),"",SUMPRODUCT((Weeks!$A$6:$A$58&lt;=$J110)*(Weeks!$Z$4:$AK$4=$I110)*Weeks!$Z$6:$AK$58)-SUMIFS($E$6:$E$1005,$I$6:$I$1005,$I110,$B$6:$B$1005,"&lt;="&amp;$B110))</f>
        <v/>
      </c>
      <c r="M110" s="19" t="str">
        <f aca="false">IF($B110&amp;$C110&amp;$D110&amp;$E110="","",IF($B110="","missing date",IF($C110="","missing worker",IF($I110="?","unknown worker - was the name changed on Workers?",IF($D110="","missing type",IF(N($E110)=0,"missing amount",IF(AND($E110&lt;0,$D110&lt;&gt;"Correction"),"negative amount - use a Correction to undo",IF(OR($B110&lt;Weeks!$A$6,$B110&gt;Weeks!$B$58),"date outside this workbook's year",IF(AND($D110="Advance",N($L110)&lt;0),"Warning: more than earned so far - worker now owes "&amp;ROUND(-$L110,0),"")))))))))</f>
        <v/>
      </c>
    </row>
    <row r="111" customFormat="false" ht="15" hidden="false" customHeight="false" outlineLevel="0" collapsed="false">
      <c r="A111" s="24" t="str">
        <f aca="false">IF($B111="","",ROW()-5)</f>
        <v/>
      </c>
      <c r="B111" s="25"/>
      <c r="C111" s="20"/>
      <c r="D111" s="26"/>
      <c r="E111" s="27"/>
      <c r="F111" s="20"/>
      <c r="G111" s="20"/>
      <c r="H111" s="26"/>
      <c r="I111" s="24" t="str">
        <f aca="false">IF($C111="","",IFERROR(INDEX(WorkerIDs,MATCH($C111,WorkerNames,0)),"?"))</f>
        <v/>
      </c>
      <c r="J111" s="18" t="str">
        <f aca="false">IF($B111="","",$B111-WEEKDAY($B111,2)+1)</f>
        <v/>
      </c>
      <c r="K111" s="28" t="str">
        <f aca="false">IF(OR($I111="",$I111="?",$D111&lt;&gt;"Advance",$B111=""),"",$I111&amp;"|"&amp;$J111&amp;"|"&amp;COUNTIFS($I$6:$I111,$I111,$J$6:$J111,$J111,$D$6:$D111,"Advance"))</f>
        <v/>
      </c>
      <c r="L111" s="29" t="str">
        <f aca="false">IF(OR($I111="",$I111="?",$B111=""),"",SUMPRODUCT((Weeks!$A$6:$A$58&lt;=$J111)*(Weeks!$Z$4:$AK$4=$I111)*Weeks!$Z$6:$AK$58)-SUMIFS($E$6:$E$1005,$I$6:$I$1005,$I111,$B$6:$B$1005,"&lt;="&amp;$B111))</f>
        <v/>
      </c>
      <c r="M111" s="19" t="str">
        <f aca="false">IF($B111&amp;$C111&amp;$D111&amp;$E111="","",IF($B111="","missing date",IF($C111="","missing worker",IF($I111="?","unknown worker - was the name changed on Workers?",IF($D111="","missing type",IF(N($E111)=0,"missing amount",IF(AND($E111&lt;0,$D111&lt;&gt;"Correction"),"negative amount - use a Correction to undo",IF(OR($B111&lt;Weeks!$A$6,$B111&gt;Weeks!$B$58),"date outside this workbook's year",IF(AND($D111="Advance",N($L111)&lt;0),"Warning: more than earned so far - worker now owes "&amp;ROUND(-$L111,0),"")))))))))</f>
        <v/>
      </c>
    </row>
    <row r="112" customFormat="false" ht="15" hidden="false" customHeight="false" outlineLevel="0" collapsed="false">
      <c r="A112" s="24" t="str">
        <f aca="false">IF($B112="","",ROW()-5)</f>
        <v/>
      </c>
      <c r="B112" s="25"/>
      <c r="C112" s="20"/>
      <c r="D112" s="26"/>
      <c r="E112" s="27"/>
      <c r="F112" s="20"/>
      <c r="G112" s="20"/>
      <c r="H112" s="26"/>
      <c r="I112" s="24" t="str">
        <f aca="false">IF($C112="","",IFERROR(INDEX(WorkerIDs,MATCH($C112,WorkerNames,0)),"?"))</f>
        <v/>
      </c>
      <c r="J112" s="18" t="str">
        <f aca="false">IF($B112="","",$B112-WEEKDAY($B112,2)+1)</f>
        <v/>
      </c>
      <c r="K112" s="28" t="str">
        <f aca="false">IF(OR($I112="",$I112="?",$D112&lt;&gt;"Advance",$B112=""),"",$I112&amp;"|"&amp;$J112&amp;"|"&amp;COUNTIFS($I$6:$I112,$I112,$J$6:$J112,$J112,$D$6:$D112,"Advance"))</f>
        <v/>
      </c>
      <c r="L112" s="29" t="str">
        <f aca="false">IF(OR($I112="",$I112="?",$B112=""),"",SUMPRODUCT((Weeks!$A$6:$A$58&lt;=$J112)*(Weeks!$Z$4:$AK$4=$I112)*Weeks!$Z$6:$AK$58)-SUMIFS($E$6:$E$1005,$I$6:$I$1005,$I112,$B$6:$B$1005,"&lt;="&amp;$B112))</f>
        <v/>
      </c>
      <c r="M112" s="19" t="str">
        <f aca="false">IF($B112&amp;$C112&amp;$D112&amp;$E112="","",IF($B112="","missing date",IF($C112="","missing worker",IF($I112="?","unknown worker - was the name changed on Workers?",IF($D112="","missing type",IF(N($E112)=0,"missing amount",IF(AND($E112&lt;0,$D112&lt;&gt;"Correction"),"negative amount - use a Correction to undo",IF(OR($B112&lt;Weeks!$A$6,$B112&gt;Weeks!$B$58),"date outside this workbook's year",IF(AND($D112="Advance",N($L112)&lt;0),"Warning: more than earned so far - worker now owes "&amp;ROUND(-$L112,0),"")))))))))</f>
        <v/>
      </c>
    </row>
    <row r="113" customFormat="false" ht="15" hidden="false" customHeight="false" outlineLevel="0" collapsed="false">
      <c r="A113" s="24" t="str">
        <f aca="false">IF($B113="","",ROW()-5)</f>
        <v/>
      </c>
      <c r="B113" s="25"/>
      <c r="C113" s="20"/>
      <c r="D113" s="26"/>
      <c r="E113" s="27"/>
      <c r="F113" s="20"/>
      <c r="G113" s="20"/>
      <c r="H113" s="26"/>
      <c r="I113" s="24" t="str">
        <f aca="false">IF($C113="","",IFERROR(INDEX(WorkerIDs,MATCH($C113,WorkerNames,0)),"?"))</f>
        <v/>
      </c>
      <c r="J113" s="18" t="str">
        <f aca="false">IF($B113="","",$B113-WEEKDAY($B113,2)+1)</f>
        <v/>
      </c>
      <c r="K113" s="28" t="str">
        <f aca="false">IF(OR($I113="",$I113="?",$D113&lt;&gt;"Advance",$B113=""),"",$I113&amp;"|"&amp;$J113&amp;"|"&amp;COUNTIFS($I$6:$I113,$I113,$J$6:$J113,$J113,$D$6:$D113,"Advance"))</f>
        <v/>
      </c>
      <c r="L113" s="29" t="str">
        <f aca="false">IF(OR($I113="",$I113="?",$B113=""),"",SUMPRODUCT((Weeks!$A$6:$A$58&lt;=$J113)*(Weeks!$Z$4:$AK$4=$I113)*Weeks!$Z$6:$AK$58)-SUMIFS($E$6:$E$1005,$I$6:$I$1005,$I113,$B$6:$B$1005,"&lt;="&amp;$B113))</f>
        <v/>
      </c>
      <c r="M113" s="19" t="str">
        <f aca="false">IF($B113&amp;$C113&amp;$D113&amp;$E113="","",IF($B113="","missing date",IF($C113="","missing worker",IF($I113="?","unknown worker - was the name changed on Workers?",IF($D113="","missing type",IF(N($E113)=0,"missing amount",IF(AND($E113&lt;0,$D113&lt;&gt;"Correction"),"negative amount - use a Correction to undo",IF(OR($B113&lt;Weeks!$A$6,$B113&gt;Weeks!$B$58),"date outside this workbook's year",IF(AND($D113="Advance",N($L113)&lt;0),"Warning: more than earned so far - worker now owes "&amp;ROUND(-$L113,0),"")))))))))</f>
        <v/>
      </c>
    </row>
    <row r="114" customFormat="false" ht="15" hidden="false" customHeight="false" outlineLevel="0" collapsed="false">
      <c r="A114" s="24" t="str">
        <f aca="false">IF($B114="","",ROW()-5)</f>
        <v/>
      </c>
      <c r="B114" s="25"/>
      <c r="C114" s="20"/>
      <c r="D114" s="26"/>
      <c r="E114" s="27"/>
      <c r="F114" s="20"/>
      <c r="G114" s="20"/>
      <c r="H114" s="26"/>
      <c r="I114" s="24" t="str">
        <f aca="false">IF($C114="","",IFERROR(INDEX(WorkerIDs,MATCH($C114,WorkerNames,0)),"?"))</f>
        <v/>
      </c>
      <c r="J114" s="18" t="str">
        <f aca="false">IF($B114="","",$B114-WEEKDAY($B114,2)+1)</f>
        <v/>
      </c>
      <c r="K114" s="28" t="str">
        <f aca="false">IF(OR($I114="",$I114="?",$D114&lt;&gt;"Advance",$B114=""),"",$I114&amp;"|"&amp;$J114&amp;"|"&amp;COUNTIFS($I$6:$I114,$I114,$J$6:$J114,$J114,$D$6:$D114,"Advance"))</f>
        <v/>
      </c>
      <c r="L114" s="29" t="str">
        <f aca="false">IF(OR($I114="",$I114="?",$B114=""),"",SUMPRODUCT((Weeks!$A$6:$A$58&lt;=$J114)*(Weeks!$Z$4:$AK$4=$I114)*Weeks!$Z$6:$AK$58)-SUMIFS($E$6:$E$1005,$I$6:$I$1005,$I114,$B$6:$B$1005,"&lt;="&amp;$B114))</f>
        <v/>
      </c>
      <c r="M114" s="19" t="str">
        <f aca="false">IF($B114&amp;$C114&amp;$D114&amp;$E114="","",IF($B114="","missing date",IF($C114="","missing worker",IF($I114="?","unknown worker - was the name changed on Workers?",IF($D114="","missing type",IF(N($E114)=0,"missing amount",IF(AND($E114&lt;0,$D114&lt;&gt;"Correction"),"negative amount - use a Correction to undo",IF(OR($B114&lt;Weeks!$A$6,$B114&gt;Weeks!$B$58),"date outside this workbook's year",IF(AND($D114="Advance",N($L114)&lt;0),"Warning: more than earned so far - worker now owes "&amp;ROUND(-$L114,0),"")))))))))</f>
        <v/>
      </c>
    </row>
    <row r="115" customFormat="false" ht="15" hidden="false" customHeight="false" outlineLevel="0" collapsed="false">
      <c r="A115" s="24" t="str">
        <f aca="false">IF($B115="","",ROW()-5)</f>
        <v/>
      </c>
      <c r="B115" s="25"/>
      <c r="C115" s="20"/>
      <c r="D115" s="26"/>
      <c r="E115" s="27"/>
      <c r="F115" s="20"/>
      <c r="G115" s="20"/>
      <c r="H115" s="26"/>
      <c r="I115" s="24" t="str">
        <f aca="false">IF($C115="","",IFERROR(INDEX(WorkerIDs,MATCH($C115,WorkerNames,0)),"?"))</f>
        <v/>
      </c>
      <c r="J115" s="18" t="str">
        <f aca="false">IF($B115="","",$B115-WEEKDAY($B115,2)+1)</f>
        <v/>
      </c>
      <c r="K115" s="28" t="str">
        <f aca="false">IF(OR($I115="",$I115="?",$D115&lt;&gt;"Advance",$B115=""),"",$I115&amp;"|"&amp;$J115&amp;"|"&amp;COUNTIFS($I$6:$I115,$I115,$J$6:$J115,$J115,$D$6:$D115,"Advance"))</f>
        <v/>
      </c>
      <c r="L115" s="29" t="str">
        <f aca="false">IF(OR($I115="",$I115="?",$B115=""),"",SUMPRODUCT((Weeks!$A$6:$A$58&lt;=$J115)*(Weeks!$Z$4:$AK$4=$I115)*Weeks!$Z$6:$AK$58)-SUMIFS($E$6:$E$1005,$I$6:$I$1005,$I115,$B$6:$B$1005,"&lt;="&amp;$B115))</f>
        <v/>
      </c>
      <c r="M115" s="19" t="str">
        <f aca="false">IF($B115&amp;$C115&amp;$D115&amp;$E115="","",IF($B115="","missing date",IF($C115="","missing worker",IF($I115="?","unknown worker - was the name changed on Workers?",IF($D115="","missing type",IF(N($E115)=0,"missing amount",IF(AND($E115&lt;0,$D115&lt;&gt;"Correction"),"negative amount - use a Correction to undo",IF(OR($B115&lt;Weeks!$A$6,$B115&gt;Weeks!$B$58),"date outside this workbook's year",IF(AND($D115="Advance",N($L115)&lt;0),"Warning: more than earned so far - worker now owes "&amp;ROUND(-$L115,0),"")))))))))</f>
        <v/>
      </c>
    </row>
    <row r="116" customFormat="false" ht="15" hidden="false" customHeight="false" outlineLevel="0" collapsed="false">
      <c r="A116" s="24" t="str">
        <f aca="false">IF($B116="","",ROW()-5)</f>
        <v/>
      </c>
      <c r="B116" s="25"/>
      <c r="C116" s="20"/>
      <c r="D116" s="26"/>
      <c r="E116" s="27"/>
      <c r="F116" s="20"/>
      <c r="G116" s="20"/>
      <c r="H116" s="26"/>
      <c r="I116" s="24" t="str">
        <f aca="false">IF($C116="","",IFERROR(INDEX(WorkerIDs,MATCH($C116,WorkerNames,0)),"?"))</f>
        <v/>
      </c>
      <c r="J116" s="18" t="str">
        <f aca="false">IF($B116="","",$B116-WEEKDAY($B116,2)+1)</f>
        <v/>
      </c>
      <c r="K116" s="28" t="str">
        <f aca="false">IF(OR($I116="",$I116="?",$D116&lt;&gt;"Advance",$B116=""),"",$I116&amp;"|"&amp;$J116&amp;"|"&amp;COUNTIFS($I$6:$I116,$I116,$J$6:$J116,$J116,$D$6:$D116,"Advance"))</f>
        <v/>
      </c>
      <c r="L116" s="29" t="str">
        <f aca="false">IF(OR($I116="",$I116="?",$B116=""),"",SUMPRODUCT((Weeks!$A$6:$A$58&lt;=$J116)*(Weeks!$Z$4:$AK$4=$I116)*Weeks!$Z$6:$AK$58)-SUMIFS($E$6:$E$1005,$I$6:$I$1005,$I116,$B$6:$B$1005,"&lt;="&amp;$B116))</f>
        <v/>
      </c>
      <c r="M116" s="19" t="str">
        <f aca="false">IF($B116&amp;$C116&amp;$D116&amp;$E116="","",IF($B116="","missing date",IF($C116="","missing worker",IF($I116="?","unknown worker - was the name changed on Workers?",IF($D116="","missing type",IF(N($E116)=0,"missing amount",IF(AND($E116&lt;0,$D116&lt;&gt;"Correction"),"negative amount - use a Correction to undo",IF(OR($B116&lt;Weeks!$A$6,$B116&gt;Weeks!$B$58),"date outside this workbook's year",IF(AND($D116="Advance",N($L116)&lt;0),"Warning: more than earned so far - worker now owes "&amp;ROUND(-$L116,0),"")))))))))</f>
        <v/>
      </c>
    </row>
    <row r="117" customFormat="false" ht="15" hidden="false" customHeight="false" outlineLevel="0" collapsed="false">
      <c r="A117" s="24" t="str">
        <f aca="false">IF($B117="","",ROW()-5)</f>
        <v/>
      </c>
      <c r="B117" s="25"/>
      <c r="C117" s="20"/>
      <c r="D117" s="26"/>
      <c r="E117" s="27"/>
      <c r="F117" s="20"/>
      <c r="G117" s="20"/>
      <c r="H117" s="26"/>
      <c r="I117" s="24" t="str">
        <f aca="false">IF($C117="","",IFERROR(INDEX(WorkerIDs,MATCH($C117,WorkerNames,0)),"?"))</f>
        <v/>
      </c>
      <c r="J117" s="18" t="str">
        <f aca="false">IF($B117="","",$B117-WEEKDAY($B117,2)+1)</f>
        <v/>
      </c>
      <c r="K117" s="28" t="str">
        <f aca="false">IF(OR($I117="",$I117="?",$D117&lt;&gt;"Advance",$B117=""),"",$I117&amp;"|"&amp;$J117&amp;"|"&amp;COUNTIFS($I$6:$I117,$I117,$J$6:$J117,$J117,$D$6:$D117,"Advance"))</f>
        <v/>
      </c>
      <c r="L117" s="29" t="str">
        <f aca="false">IF(OR($I117="",$I117="?",$B117=""),"",SUMPRODUCT((Weeks!$A$6:$A$58&lt;=$J117)*(Weeks!$Z$4:$AK$4=$I117)*Weeks!$Z$6:$AK$58)-SUMIFS($E$6:$E$1005,$I$6:$I$1005,$I117,$B$6:$B$1005,"&lt;="&amp;$B117))</f>
        <v/>
      </c>
      <c r="M117" s="19" t="str">
        <f aca="false">IF($B117&amp;$C117&amp;$D117&amp;$E117="","",IF($B117="","missing date",IF($C117="","missing worker",IF($I117="?","unknown worker - was the name changed on Workers?",IF($D117="","missing type",IF(N($E117)=0,"missing amount",IF(AND($E117&lt;0,$D117&lt;&gt;"Correction"),"negative amount - use a Correction to undo",IF(OR($B117&lt;Weeks!$A$6,$B117&gt;Weeks!$B$58),"date outside this workbook's year",IF(AND($D117="Advance",N($L117)&lt;0),"Warning: more than earned so far - worker now owes "&amp;ROUND(-$L117,0),"")))))))))</f>
        <v/>
      </c>
    </row>
    <row r="118" customFormat="false" ht="15" hidden="false" customHeight="false" outlineLevel="0" collapsed="false">
      <c r="A118" s="24" t="str">
        <f aca="false">IF($B118="","",ROW()-5)</f>
        <v/>
      </c>
      <c r="B118" s="25"/>
      <c r="C118" s="20"/>
      <c r="D118" s="26"/>
      <c r="E118" s="27"/>
      <c r="F118" s="20"/>
      <c r="G118" s="20"/>
      <c r="H118" s="26"/>
      <c r="I118" s="24" t="str">
        <f aca="false">IF($C118="","",IFERROR(INDEX(WorkerIDs,MATCH($C118,WorkerNames,0)),"?"))</f>
        <v/>
      </c>
      <c r="J118" s="18" t="str">
        <f aca="false">IF($B118="","",$B118-WEEKDAY($B118,2)+1)</f>
        <v/>
      </c>
      <c r="K118" s="28" t="str">
        <f aca="false">IF(OR($I118="",$I118="?",$D118&lt;&gt;"Advance",$B118=""),"",$I118&amp;"|"&amp;$J118&amp;"|"&amp;COUNTIFS($I$6:$I118,$I118,$J$6:$J118,$J118,$D$6:$D118,"Advance"))</f>
        <v/>
      </c>
      <c r="L118" s="29" t="str">
        <f aca="false">IF(OR($I118="",$I118="?",$B118=""),"",SUMPRODUCT((Weeks!$A$6:$A$58&lt;=$J118)*(Weeks!$Z$4:$AK$4=$I118)*Weeks!$Z$6:$AK$58)-SUMIFS($E$6:$E$1005,$I$6:$I$1005,$I118,$B$6:$B$1005,"&lt;="&amp;$B118))</f>
        <v/>
      </c>
      <c r="M118" s="19" t="str">
        <f aca="false">IF($B118&amp;$C118&amp;$D118&amp;$E118="","",IF($B118="","missing date",IF($C118="","missing worker",IF($I118="?","unknown worker - was the name changed on Workers?",IF($D118="","missing type",IF(N($E118)=0,"missing amount",IF(AND($E118&lt;0,$D118&lt;&gt;"Correction"),"negative amount - use a Correction to undo",IF(OR($B118&lt;Weeks!$A$6,$B118&gt;Weeks!$B$58),"date outside this workbook's year",IF(AND($D118="Advance",N($L118)&lt;0),"Warning: more than earned so far - worker now owes "&amp;ROUND(-$L118,0),"")))))))))</f>
        <v/>
      </c>
    </row>
    <row r="119" customFormat="false" ht="15" hidden="false" customHeight="false" outlineLevel="0" collapsed="false">
      <c r="A119" s="24" t="str">
        <f aca="false">IF($B119="","",ROW()-5)</f>
        <v/>
      </c>
      <c r="B119" s="25"/>
      <c r="C119" s="20"/>
      <c r="D119" s="26"/>
      <c r="E119" s="27"/>
      <c r="F119" s="20"/>
      <c r="G119" s="20"/>
      <c r="H119" s="26"/>
      <c r="I119" s="24" t="str">
        <f aca="false">IF($C119="","",IFERROR(INDEX(WorkerIDs,MATCH($C119,WorkerNames,0)),"?"))</f>
        <v/>
      </c>
      <c r="J119" s="18" t="str">
        <f aca="false">IF($B119="","",$B119-WEEKDAY($B119,2)+1)</f>
        <v/>
      </c>
      <c r="K119" s="28" t="str">
        <f aca="false">IF(OR($I119="",$I119="?",$D119&lt;&gt;"Advance",$B119=""),"",$I119&amp;"|"&amp;$J119&amp;"|"&amp;COUNTIFS($I$6:$I119,$I119,$J$6:$J119,$J119,$D$6:$D119,"Advance"))</f>
        <v/>
      </c>
      <c r="L119" s="29" t="str">
        <f aca="false">IF(OR($I119="",$I119="?",$B119=""),"",SUMPRODUCT((Weeks!$A$6:$A$58&lt;=$J119)*(Weeks!$Z$4:$AK$4=$I119)*Weeks!$Z$6:$AK$58)-SUMIFS($E$6:$E$1005,$I$6:$I$1005,$I119,$B$6:$B$1005,"&lt;="&amp;$B119))</f>
        <v/>
      </c>
      <c r="M119" s="19" t="str">
        <f aca="false">IF($B119&amp;$C119&amp;$D119&amp;$E119="","",IF($B119="","missing date",IF($C119="","missing worker",IF($I119="?","unknown worker - was the name changed on Workers?",IF($D119="","missing type",IF(N($E119)=0,"missing amount",IF(AND($E119&lt;0,$D119&lt;&gt;"Correction"),"negative amount - use a Correction to undo",IF(OR($B119&lt;Weeks!$A$6,$B119&gt;Weeks!$B$58),"date outside this workbook's year",IF(AND($D119="Advance",N($L119)&lt;0),"Warning: more than earned so far - worker now owes "&amp;ROUND(-$L119,0),"")))))))))</f>
        <v/>
      </c>
    </row>
    <row r="120" customFormat="false" ht="15" hidden="false" customHeight="false" outlineLevel="0" collapsed="false">
      <c r="A120" s="24" t="str">
        <f aca="false">IF($B120="","",ROW()-5)</f>
        <v/>
      </c>
      <c r="B120" s="25"/>
      <c r="C120" s="20"/>
      <c r="D120" s="26"/>
      <c r="E120" s="27"/>
      <c r="F120" s="20"/>
      <c r="G120" s="20"/>
      <c r="H120" s="26"/>
      <c r="I120" s="24" t="str">
        <f aca="false">IF($C120="","",IFERROR(INDEX(WorkerIDs,MATCH($C120,WorkerNames,0)),"?"))</f>
        <v/>
      </c>
      <c r="J120" s="18" t="str">
        <f aca="false">IF($B120="","",$B120-WEEKDAY($B120,2)+1)</f>
        <v/>
      </c>
      <c r="K120" s="28" t="str">
        <f aca="false">IF(OR($I120="",$I120="?",$D120&lt;&gt;"Advance",$B120=""),"",$I120&amp;"|"&amp;$J120&amp;"|"&amp;COUNTIFS($I$6:$I120,$I120,$J$6:$J120,$J120,$D$6:$D120,"Advance"))</f>
        <v/>
      </c>
      <c r="L120" s="29" t="str">
        <f aca="false">IF(OR($I120="",$I120="?",$B120=""),"",SUMPRODUCT((Weeks!$A$6:$A$58&lt;=$J120)*(Weeks!$Z$4:$AK$4=$I120)*Weeks!$Z$6:$AK$58)-SUMIFS($E$6:$E$1005,$I$6:$I$1005,$I120,$B$6:$B$1005,"&lt;="&amp;$B120))</f>
        <v/>
      </c>
      <c r="M120" s="19" t="str">
        <f aca="false">IF($B120&amp;$C120&amp;$D120&amp;$E120="","",IF($B120="","missing date",IF($C120="","missing worker",IF($I120="?","unknown worker - was the name changed on Workers?",IF($D120="","missing type",IF(N($E120)=0,"missing amount",IF(AND($E120&lt;0,$D120&lt;&gt;"Correction"),"negative amount - use a Correction to undo",IF(OR($B120&lt;Weeks!$A$6,$B120&gt;Weeks!$B$58),"date outside this workbook's year",IF(AND($D120="Advance",N($L120)&lt;0),"Warning: more than earned so far - worker now owes "&amp;ROUND(-$L120,0),"")))))))))</f>
        <v/>
      </c>
    </row>
    <row r="121" customFormat="false" ht="15" hidden="false" customHeight="false" outlineLevel="0" collapsed="false">
      <c r="A121" s="24" t="str">
        <f aca="false">IF($B121="","",ROW()-5)</f>
        <v/>
      </c>
      <c r="B121" s="25"/>
      <c r="C121" s="20"/>
      <c r="D121" s="26"/>
      <c r="E121" s="27"/>
      <c r="F121" s="20"/>
      <c r="G121" s="20"/>
      <c r="H121" s="26"/>
      <c r="I121" s="24" t="str">
        <f aca="false">IF($C121="","",IFERROR(INDEX(WorkerIDs,MATCH($C121,WorkerNames,0)),"?"))</f>
        <v/>
      </c>
      <c r="J121" s="18" t="str">
        <f aca="false">IF($B121="","",$B121-WEEKDAY($B121,2)+1)</f>
        <v/>
      </c>
      <c r="K121" s="28" t="str">
        <f aca="false">IF(OR($I121="",$I121="?",$D121&lt;&gt;"Advance",$B121=""),"",$I121&amp;"|"&amp;$J121&amp;"|"&amp;COUNTIFS($I$6:$I121,$I121,$J$6:$J121,$J121,$D$6:$D121,"Advance"))</f>
        <v/>
      </c>
      <c r="L121" s="29" t="str">
        <f aca="false">IF(OR($I121="",$I121="?",$B121=""),"",SUMPRODUCT((Weeks!$A$6:$A$58&lt;=$J121)*(Weeks!$Z$4:$AK$4=$I121)*Weeks!$Z$6:$AK$58)-SUMIFS($E$6:$E$1005,$I$6:$I$1005,$I121,$B$6:$B$1005,"&lt;="&amp;$B121))</f>
        <v/>
      </c>
      <c r="M121" s="19" t="str">
        <f aca="false">IF($B121&amp;$C121&amp;$D121&amp;$E121="","",IF($B121="","missing date",IF($C121="","missing worker",IF($I121="?","unknown worker - was the name changed on Workers?",IF($D121="","missing type",IF(N($E121)=0,"missing amount",IF(AND($E121&lt;0,$D121&lt;&gt;"Correction"),"negative amount - use a Correction to undo",IF(OR($B121&lt;Weeks!$A$6,$B121&gt;Weeks!$B$58),"date outside this workbook's year",IF(AND($D121="Advance",N($L121)&lt;0),"Warning: more than earned so far - worker now owes "&amp;ROUND(-$L121,0),"")))))))))</f>
        <v/>
      </c>
    </row>
    <row r="122" customFormat="false" ht="15" hidden="false" customHeight="false" outlineLevel="0" collapsed="false">
      <c r="A122" s="24" t="str">
        <f aca="false">IF($B122="","",ROW()-5)</f>
        <v/>
      </c>
      <c r="B122" s="25"/>
      <c r="C122" s="20"/>
      <c r="D122" s="26"/>
      <c r="E122" s="27"/>
      <c r="F122" s="20"/>
      <c r="G122" s="20"/>
      <c r="H122" s="26"/>
      <c r="I122" s="24" t="str">
        <f aca="false">IF($C122="","",IFERROR(INDEX(WorkerIDs,MATCH($C122,WorkerNames,0)),"?"))</f>
        <v/>
      </c>
      <c r="J122" s="18" t="str">
        <f aca="false">IF($B122="","",$B122-WEEKDAY($B122,2)+1)</f>
        <v/>
      </c>
      <c r="K122" s="28" t="str">
        <f aca="false">IF(OR($I122="",$I122="?",$D122&lt;&gt;"Advance",$B122=""),"",$I122&amp;"|"&amp;$J122&amp;"|"&amp;COUNTIFS($I$6:$I122,$I122,$J$6:$J122,$J122,$D$6:$D122,"Advance"))</f>
        <v/>
      </c>
      <c r="L122" s="29" t="str">
        <f aca="false">IF(OR($I122="",$I122="?",$B122=""),"",SUMPRODUCT((Weeks!$A$6:$A$58&lt;=$J122)*(Weeks!$Z$4:$AK$4=$I122)*Weeks!$Z$6:$AK$58)-SUMIFS($E$6:$E$1005,$I$6:$I$1005,$I122,$B$6:$B$1005,"&lt;="&amp;$B122))</f>
        <v/>
      </c>
      <c r="M122" s="19" t="str">
        <f aca="false">IF($B122&amp;$C122&amp;$D122&amp;$E122="","",IF($B122="","missing date",IF($C122="","missing worker",IF($I122="?","unknown worker - was the name changed on Workers?",IF($D122="","missing type",IF(N($E122)=0,"missing amount",IF(AND($E122&lt;0,$D122&lt;&gt;"Correction"),"negative amount - use a Correction to undo",IF(OR($B122&lt;Weeks!$A$6,$B122&gt;Weeks!$B$58),"date outside this workbook's year",IF(AND($D122="Advance",N($L122)&lt;0),"Warning: more than earned so far - worker now owes "&amp;ROUND(-$L122,0),"")))))))))</f>
        <v/>
      </c>
    </row>
    <row r="123" customFormat="false" ht="15" hidden="false" customHeight="false" outlineLevel="0" collapsed="false">
      <c r="A123" s="24" t="str">
        <f aca="false">IF($B123="","",ROW()-5)</f>
        <v/>
      </c>
      <c r="B123" s="25"/>
      <c r="C123" s="20"/>
      <c r="D123" s="26"/>
      <c r="E123" s="27"/>
      <c r="F123" s="20"/>
      <c r="G123" s="20"/>
      <c r="H123" s="26"/>
      <c r="I123" s="24" t="str">
        <f aca="false">IF($C123="","",IFERROR(INDEX(WorkerIDs,MATCH($C123,WorkerNames,0)),"?"))</f>
        <v/>
      </c>
      <c r="J123" s="18" t="str">
        <f aca="false">IF($B123="","",$B123-WEEKDAY($B123,2)+1)</f>
        <v/>
      </c>
      <c r="K123" s="28" t="str">
        <f aca="false">IF(OR($I123="",$I123="?",$D123&lt;&gt;"Advance",$B123=""),"",$I123&amp;"|"&amp;$J123&amp;"|"&amp;COUNTIFS($I$6:$I123,$I123,$J$6:$J123,$J123,$D$6:$D123,"Advance"))</f>
        <v/>
      </c>
      <c r="L123" s="29" t="str">
        <f aca="false">IF(OR($I123="",$I123="?",$B123=""),"",SUMPRODUCT((Weeks!$A$6:$A$58&lt;=$J123)*(Weeks!$Z$4:$AK$4=$I123)*Weeks!$Z$6:$AK$58)-SUMIFS($E$6:$E$1005,$I$6:$I$1005,$I123,$B$6:$B$1005,"&lt;="&amp;$B123))</f>
        <v/>
      </c>
      <c r="M123" s="19" t="str">
        <f aca="false">IF($B123&amp;$C123&amp;$D123&amp;$E123="","",IF($B123="","missing date",IF($C123="","missing worker",IF($I123="?","unknown worker - was the name changed on Workers?",IF($D123="","missing type",IF(N($E123)=0,"missing amount",IF(AND($E123&lt;0,$D123&lt;&gt;"Correction"),"negative amount - use a Correction to undo",IF(OR($B123&lt;Weeks!$A$6,$B123&gt;Weeks!$B$58),"date outside this workbook's year",IF(AND($D123="Advance",N($L123)&lt;0),"Warning: more than earned so far - worker now owes "&amp;ROUND(-$L123,0),"")))))))))</f>
        <v/>
      </c>
    </row>
    <row r="124" customFormat="false" ht="15" hidden="false" customHeight="false" outlineLevel="0" collapsed="false">
      <c r="A124" s="24" t="str">
        <f aca="false">IF($B124="","",ROW()-5)</f>
        <v/>
      </c>
      <c r="B124" s="25"/>
      <c r="C124" s="20"/>
      <c r="D124" s="26"/>
      <c r="E124" s="27"/>
      <c r="F124" s="20"/>
      <c r="G124" s="20"/>
      <c r="H124" s="26"/>
      <c r="I124" s="24" t="str">
        <f aca="false">IF($C124="","",IFERROR(INDEX(WorkerIDs,MATCH($C124,WorkerNames,0)),"?"))</f>
        <v/>
      </c>
      <c r="J124" s="18" t="str">
        <f aca="false">IF($B124="","",$B124-WEEKDAY($B124,2)+1)</f>
        <v/>
      </c>
      <c r="K124" s="28" t="str">
        <f aca="false">IF(OR($I124="",$I124="?",$D124&lt;&gt;"Advance",$B124=""),"",$I124&amp;"|"&amp;$J124&amp;"|"&amp;COUNTIFS($I$6:$I124,$I124,$J$6:$J124,$J124,$D$6:$D124,"Advance"))</f>
        <v/>
      </c>
      <c r="L124" s="29" t="str">
        <f aca="false">IF(OR($I124="",$I124="?",$B124=""),"",SUMPRODUCT((Weeks!$A$6:$A$58&lt;=$J124)*(Weeks!$Z$4:$AK$4=$I124)*Weeks!$Z$6:$AK$58)-SUMIFS($E$6:$E$1005,$I$6:$I$1005,$I124,$B$6:$B$1005,"&lt;="&amp;$B124))</f>
        <v/>
      </c>
      <c r="M124" s="19" t="str">
        <f aca="false">IF($B124&amp;$C124&amp;$D124&amp;$E124="","",IF($B124="","missing date",IF($C124="","missing worker",IF($I124="?","unknown worker - was the name changed on Workers?",IF($D124="","missing type",IF(N($E124)=0,"missing amount",IF(AND($E124&lt;0,$D124&lt;&gt;"Correction"),"negative amount - use a Correction to undo",IF(OR($B124&lt;Weeks!$A$6,$B124&gt;Weeks!$B$58),"date outside this workbook's year",IF(AND($D124="Advance",N($L124)&lt;0),"Warning: more than earned so far - worker now owes "&amp;ROUND(-$L124,0),"")))))))))</f>
        <v/>
      </c>
    </row>
    <row r="125" customFormat="false" ht="15" hidden="false" customHeight="false" outlineLevel="0" collapsed="false">
      <c r="A125" s="24" t="str">
        <f aca="false">IF($B125="","",ROW()-5)</f>
        <v/>
      </c>
      <c r="B125" s="25"/>
      <c r="C125" s="20"/>
      <c r="D125" s="26"/>
      <c r="E125" s="27"/>
      <c r="F125" s="20"/>
      <c r="G125" s="20"/>
      <c r="H125" s="26"/>
      <c r="I125" s="24" t="str">
        <f aca="false">IF($C125="","",IFERROR(INDEX(WorkerIDs,MATCH($C125,WorkerNames,0)),"?"))</f>
        <v/>
      </c>
      <c r="J125" s="18" t="str">
        <f aca="false">IF($B125="","",$B125-WEEKDAY($B125,2)+1)</f>
        <v/>
      </c>
      <c r="K125" s="28" t="str">
        <f aca="false">IF(OR($I125="",$I125="?",$D125&lt;&gt;"Advance",$B125=""),"",$I125&amp;"|"&amp;$J125&amp;"|"&amp;COUNTIFS($I$6:$I125,$I125,$J$6:$J125,$J125,$D$6:$D125,"Advance"))</f>
        <v/>
      </c>
      <c r="L125" s="29" t="str">
        <f aca="false">IF(OR($I125="",$I125="?",$B125=""),"",SUMPRODUCT((Weeks!$A$6:$A$58&lt;=$J125)*(Weeks!$Z$4:$AK$4=$I125)*Weeks!$Z$6:$AK$58)-SUMIFS($E$6:$E$1005,$I$6:$I$1005,$I125,$B$6:$B$1005,"&lt;="&amp;$B125))</f>
        <v/>
      </c>
      <c r="M125" s="19" t="str">
        <f aca="false">IF($B125&amp;$C125&amp;$D125&amp;$E125="","",IF($B125="","missing date",IF($C125="","missing worker",IF($I125="?","unknown worker - was the name changed on Workers?",IF($D125="","missing type",IF(N($E125)=0,"missing amount",IF(AND($E125&lt;0,$D125&lt;&gt;"Correction"),"negative amount - use a Correction to undo",IF(OR($B125&lt;Weeks!$A$6,$B125&gt;Weeks!$B$58),"date outside this workbook's year",IF(AND($D125="Advance",N($L125)&lt;0),"Warning: more than earned so far - worker now owes "&amp;ROUND(-$L125,0),"")))))))))</f>
        <v/>
      </c>
    </row>
    <row r="126" customFormat="false" ht="15" hidden="false" customHeight="false" outlineLevel="0" collapsed="false">
      <c r="A126" s="24" t="str">
        <f aca="false">IF($B126="","",ROW()-5)</f>
        <v/>
      </c>
      <c r="B126" s="25"/>
      <c r="C126" s="20"/>
      <c r="D126" s="26"/>
      <c r="E126" s="27"/>
      <c r="F126" s="20"/>
      <c r="G126" s="20"/>
      <c r="H126" s="26"/>
      <c r="I126" s="24" t="str">
        <f aca="false">IF($C126="","",IFERROR(INDEX(WorkerIDs,MATCH($C126,WorkerNames,0)),"?"))</f>
        <v/>
      </c>
      <c r="J126" s="18" t="str">
        <f aca="false">IF($B126="","",$B126-WEEKDAY($B126,2)+1)</f>
        <v/>
      </c>
      <c r="K126" s="28" t="str">
        <f aca="false">IF(OR($I126="",$I126="?",$D126&lt;&gt;"Advance",$B126=""),"",$I126&amp;"|"&amp;$J126&amp;"|"&amp;COUNTIFS($I$6:$I126,$I126,$J$6:$J126,$J126,$D$6:$D126,"Advance"))</f>
        <v/>
      </c>
      <c r="L126" s="29" t="str">
        <f aca="false">IF(OR($I126="",$I126="?",$B126=""),"",SUMPRODUCT((Weeks!$A$6:$A$58&lt;=$J126)*(Weeks!$Z$4:$AK$4=$I126)*Weeks!$Z$6:$AK$58)-SUMIFS($E$6:$E$1005,$I$6:$I$1005,$I126,$B$6:$B$1005,"&lt;="&amp;$B126))</f>
        <v/>
      </c>
      <c r="M126" s="19" t="str">
        <f aca="false">IF($B126&amp;$C126&amp;$D126&amp;$E126="","",IF($B126="","missing date",IF($C126="","missing worker",IF($I126="?","unknown worker - was the name changed on Workers?",IF($D126="","missing type",IF(N($E126)=0,"missing amount",IF(AND($E126&lt;0,$D126&lt;&gt;"Correction"),"negative amount - use a Correction to undo",IF(OR($B126&lt;Weeks!$A$6,$B126&gt;Weeks!$B$58),"date outside this workbook's year",IF(AND($D126="Advance",N($L126)&lt;0),"Warning: more than earned so far - worker now owes "&amp;ROUND(-$L126,0),"")))))))))</f>
        <v/>
      </c>
    </row>
    <row r="127" customFormat="false" ht="15" hidden="false" customHeight="false" outlineLevel="0" collapsed="false">
      <c r="A127" s="24" t="str">
        <f aca="false">IF($B127="","",ROW()-5)</f>
        <v/>
      </c>
      <c r="B127" s="25"/>
      <c r="C127" s="20"/>
      <c r="D127" s="26"/>
      <c r="E127" s="27"/>
      <c r="F127" s="20"/>
      <c r="G127" s="20"/>
      <c r="H127" s="26"/>
      <c r="I127" s="24" t="str">
        <f aca="false">IF($C127="","",IFERROR(INDEX(WorkerIDs,MATCH($C127,WorkerNames,0)),"?"))</f>
        <v/>
      </c>
      <c r="J127" s="18" t="str">
        <f aca="false">IF($B127="","",$B127-WEEKDAY($B127,2)+1)</f>
        <v/>
      </c>
      <c r="K127" s="28" t="str">
        <f aca="false">IF(OR($I127="",$I127="?",$D127&lt;&gt;"Advance",$B127=""),"",$I127&amp;"|"&amp;$J127&amp;"|"&amp;COUNTIFS($I$6:$I127,$I127,$J$6:$J127,$J127,$D$6:$D127,"Advance"))</f>
        <v/>
      </c>
      <c r="L127" s="29" t="str">
        <f aca="false">IF(OR($I127="",$I127="?",$B127=""),"",SUMPRODUCT((Weeks!$A$6:$A$58&lt;=$J127)*(Weeks!$Z$4:$AK$4=$I127)*Weeks!$Z$6:$AK$58)-SUMIFS($E$6:$E$1005,$I$6:$I$1005,$I127,$B$6:$B$1005,"&lt;="&amp;$B127))</f>
        <v/>
      </c>
      <c r="M127" s="19" t="str">
        <f aca="false">IF($B127&amp;$C127&amp;$D127&amp;$E127="","",IF($B127="","missing date",IF($C127="","missing worker",IF($I127="?","unknown worker - was the name changed on Workers?",IF($D127="","missing type",IF(N($E127)=0,"missing amount",IF(AND($E127&lt;0,$D127&lt;&gt;"Correction"),"negative amount - use a Correction to undo",IF(OR($B127&lt;Weeks!$A$6,$B127&gt;Weeks!$B$58),"date outside this workbook's year",IF(AND($D127="Advance",N($L127)&lt;0),"Warning: more than earned so far - worker now owes "&amp;ROUND(-$L127,0),"")))))))))</f>
        <v/>
      </c>
    </row>
    <row r="128" customFormat="false" ht="15" hidden="false" customHeight="false" outlineLevel="0" collapsed="false">
      <c r="A128" s="24" t="str">
        <f aca="false">IF($B128="","",ROW()-5)</f>
        <v/>
      </c>
      <c r="B128" s="25"/>
      <c r="C128" s="20"/>
      <c r="D128" s="26"/>
      <c r="E128" s="27"/>
      <c r="F128" s="20"/>
      <c r="G128" s="20"/>
      <c r="H128" s="26"/>
      <c r="I128" s="24" t="str">
        <f aca="false">IF($C128="","",IFERROR(INDEX(WorkerIDs,MATCH($C128,WorkerNames,0)),"?"))</f>
        <v/>
      </c>
      <c r="J128" s="18" t="str">
        <f aca="false">IF($B128="","",$B128-WEEKDAY($B128,2)+1)</f>
        <v/>
      </c>
      <c r="K128" s="28" t="str">
        <f aca="false">IF(OR($I128="",$I128="?",$D128&lt;&gt;"Advance",$B128=""),"",$I128&amp;"|"&amp;$J128&amp;"|"&amp;COUNTIFS($I$6:$I128,$I128,$J$6:$J128,$J128,$D$6:$D128,"Advance"))</f>
        <v/>
      </c>
      <c r="L128" s="29" t="str">
        <f aca="false">IF(OR($I128="",$I128="?",$B128=""),"",SUMPRODUCT((Weeks!$A$6:$A$58&lt;=$J128)*(Weeks!$Z$4:$AK$4=$I128)*Weeks!$Z$6:$AK$58)-SUMIFS($E$6:$E$1005,$I$6:$I$1005,$I128,$B$6:$B$1005,"&lt;="&amp;$B128))</f>
        <v/>
      </c>
      <c r="M128" s="19" t="str">
        <f aca="false">IF($B128&amp;$C128&amp;$D128&amp;$E128="","",IF($B128="","missing date",IF($C128="","missing worker",IF($I128="?","unknown worker - was the name changed on Workers?",IF($D128="","missing type",IF(N($E128)=0,"missing amount",IF(AND($E128&lt;0,$D128&lt;&gt;"Correction"),"negative amount - use a Correction to undo",IF(OR($B128&lt;Weeks!$A$6,$B128&gt;Weeks!$B$58),"date outside this workbook's year",IF(AND($D128="Advance",N($L128)&lt;0),"Warning: more than earned so far - worker now owes "&amp;ROUND(-$L128,0),"")))))))))</f>
        <v/>
      </c>
    </row>
    <row r="129" customFormat="false" ht="15" hidden="false" customHeight="false" outlineLevel="0" collapsed="false">
      <c r="A129" s="24" t="str">
        <f aca="false">IF($B129="","",ROW()-5)</f>
        <v/>
      </c>
      <c r="B129" s="25"/>
      <c r="C129" s="20"/>
      <c r="D129" s="26"/>
      <c r="E129" s="27"/>
      <c r="F129" s="20"/>
      <c r="G129" s="20"/>
      <c r="H129" s="26"/>
      <c r="I129" s="24" t="str">
        <f aca="false">IF($C129="","",IFERROR(INDEX(WorkerIDs,MATCH($C129,WorkerNames,0)),"?"))</f>
        <v/>
      </c>
      <c r="J129" s="18" t="str">
        <f aca="false">IF($B129="","",$B129-WEEKDAY($B129,2)+1)</f>
        <v/>
      </c>
      <c r="K129" s="28" t="str">
        <f aca="false">IF(OR($I129="",$I129="?",$D129&lt;&gt;"Advance",$B129=""),"",$I129&amp;"|"&amp;$J129&amp;"|"&amp;COUNTIFS($I$6:$I129,$I129,$J$6:$J129,$J129,$D$6:$D129,"Advance"))</f>
        <v/>
      </c>
      <c r="L129" s="29" t="str">
        <f aca="false">IF(OR($I129="",$I129="?",$B129=""),"",SUMPRODUCT((Weeks!$A$6:$A$58&lt;=$J129)*(Weeks!$Z$4:$AK$4=$I129)*Weeks!$Z$6:$AK$58)-SUMIFS($E$6:$E$1005,$I$6:$I$1005,$I129,$B$6:$B$1005,"&lt;="&amp;$B129))</f>
        <v/>
      </c>
      <c r="M129" s="19" t="str">
        <f aca="false">IF($B129&amp;$C129&amp;$D129&amp;$E129="","",IF($B129="","missing date",IF($C129="","missing worker",IF($I129="?","unknown worker - was the name changed on Workers?",IF($D129="","missing type",IF(N($E129)=0,"missing amount",IF(AND($E129&lt;0,$D129&lt;&gt;"Correction"),"negative amount - use a Correction to undo",IF(OR($B129&lt;Weeks!$A$6,$B129&gt;Weeks!$B$58),"date outside this workbook's year",IF(AND($D129="Advance",N($L129)&lt;0),"Warning: more than earned so far - worker now owes "&amp;ROUND(-$L129,0),"")))))))))</f>
        <v/>
      </c>
    </row>
    <row r="130" customFormat="false" ht="15" hidden="false" customHeight="false" outlineLevel="0" collapsed="false">
      <c r="A130" s="24" t="str">
        <f aca="false">IF($B130="","",ROW()-5)</f>
        <v/>
      </c>
      <c r="B130" s="25"/>
      <c r="C130" s="20"/>
      <c r="D130" s="26"/>
      <c r="E130" s="27"/>
      <c r="F130" s="20"/>
      <c r="G130" s="20"/>
      <c r="H130" s="26"/>
      <c r="I130" s="24" t="str">
        <f aca="false">IF($C130="","",IFERROR(INDEX(WorkerIDs,MATCH($C130,WorkerNames,0)),"?"))</f>
        <v/>
      </c>
      <c r="J130" s="18" t="str">
        <f aca="false">IF($B130="","",$B130-WEEKDAY($B130,2)+1)</f>
        <v/>
      </c>
      <c r="K130" s="28" t="str">
        <f aca="false">IF(OR($I130="",$I130="?",$D130&lt;&gt;"Advance",$B130=""),"",$I130&amp;"|"&amp;$J130&amp;"|"&amp;COUNTIFS($I$6:$I130,$I130,$J$6:$J130,$J130,$D$6:$D130,"Advance"))</f>
        <v/>
      </c>
      <c r="L130" s="29" t="str">
        <f aca="false">IF(OR($I130="",$I130="?",$B130=""),"",SUMPRODUCT((Weeks!$A$6:$A$58&lt;=$J130)*(Weeks!$Z$4:$AK$4=$I130)*Weeks!$Z$6:$AK$58)-SUMIFS($E$6:$E$1005,$I$6:$I$1005,$I130,$B$6:$B$1005,"&lt;="&amp;$B130))</f>
        <v/>
      </c>
      <c r="M130" s="19" t="str">
        <f aca="false">IF($B130&amp;$C130&amp;$D130&amp;$E130="","",IF($B130="","missing date",IF($C130="","missing worker",IF($I130="?","unknown worker - was the name changed on Workers?",IF($D130="","missing type",IF(N($E130)=0,"missing amount",IF(AND($E130&lt;0,$D130&lt;&gt;"Correction"),"negative amount - use a Correction to undo",IF(OR($B130&lt;Weeks!$A$6,$B130&gt;Weeks!$B$58),"date outside this workbook's year",IF(AND($D130="Advance",N($L130)&lt;0),"Warning: more than earned so far - worker now owes "&amp;ROUND(-$L130,0),"")))))))))</f>
        <v/>
      </c>
    </row>
    <row r="131" customFormat="false" ht="15" hidden="false" customHeight="false" outlineLevel="0" collapsed="false">
      <c r="A131" s="24" t="str">
        <f aca="false">IF($B131="","",ROW()-5)</f>
        <v/>
      </c>
      <c r="B131" s="25"/>
      <c r="C131" s="20"/>
      <c r="D131" s="26"/>
      <c r="E131" s="27"/>
      <c r="F131" s="20"/>
      <c r="G131" s="20"/>
      <c r="H131" s="26"/>
      <c r="I131" s="24" t="str">
        <f aca="false">IF($C131="","",IFERROR(INDEX(WorkerIDs,MATCH($C131,WorkerNames,0)),"?"))</f>
        <v/>
      </c>
      <c r="J131" s="18" t="str">
        <f aca="false">IF($B131="","",$B131-WEEKDAY($B131,2)+1)</f>
        <v/>
      </c>
      <c r="K131" s="28" t="str">
        <f aca="false">IF(OR($I131="",$I131="?",$D131&lt;&gt;"Advance",$B131=""),"",$I131&amp;"|"&amp;$J131&amp;"|"&amp;COUNTIFS($I$6:$I131,$I131,$J$6:$J131,$J131,$D$6:$D131,"Advance"))</f>
        <v/>
      </c>
      <c r="L131" s="29" t="str">
        <f aca="false">IF(OR($I131="",$I131="?",$B131=""),"",SUMPRODUCT((Weeks!$A$6:$A$58&lt;=$J131)*(Weeks!$Z$4:$AK$4=$I131)*Weeks!$Z$6:$AK$58)-SUMIFS($E$6:$E$1005,$I$6:$I$1005,$I131,$B$6:$B$1005,"&lt;="&amp;$B131))</f>
        <v/>
      </c>
      <c r="M131" s="19" t="str">
        <f aca="false">IF($B131&amp;$C131&amp;$D131&amp;$E131="","",IF($B131="","missing date",IF($C131="","missing worker",IF($I131="?","unknown worker - was the name changed on Workers?",IF($D131="","missing type",IF(N($E131)=0,"missing amount",IF(AND($E131&lt;0,$D131&lt;&gt;"Correction"),"negative amount - use a Correction to undo",IF(OR($B131&lt;Weeks!$A$6,$B131&gt;Weeks!$B$58),"date outside this workbook's year",IF(AND($D131="Advance",N($L131)&lt;0),"Warning: more than earned so far - worker now owes "&amp;ROUND(-$L131,0),"")))))))))</f>
        <v/>
      </c>
    </row>
    <row r="132" customFormat="false" ht="15" hidden="false" customHeight="false" outlineLevel="0" collapsed="false">
      <c r="A132" s="24" t="str">
        <f aca="false">IF($B132="","",ROW()-5)</f>
        <v/>
      </c>
      <c r="B132" s="25"/>
      <c r="C132" s="20"/>
      <c r="D132" s="26"/>
      <c r="E132" s="27"/>
      <c r="F132" s="20"/>
      <c r="G132" s="20"/>
      <c r="H132" s="26"/>
      <c r="I132" s="24" t="str">
        <f aca="false">IF($C132="","",IFERROR(INDEX(WorkerIDs,MATCH($C132,WorkerNames,0)),"?"))</f>
        <v/>
      </c>
      <c r="J132" s="18" t="str">
        <f aca="false">IF($B132="","",$B132-WEEKDAY($B132,2)+1)</f>
        <v/>
      </c>
      <c r="K132" s="28" t="str">
        <f aca="false">IF(OR($I132="",$I132="?",$D132&lt;&gt;"Advance",$B132=""),"",$I132&amp;"|"&amp;$J132&amp;"|"&amp;COUNTIFS($I$6:$I132,$I132,$J$6:$J132,$J132,$D$6:$D132,"Advance"))</f>
        <v/>
      </c>
      <c r="L132" s="29" t="str">
        <f aca="false">IF(OR($I132="",$I132="?",$B132=""),"",SUMPRODUCT((Weeks!$A$6:$A$58&lt;=$J132)*(Weeks!$Z$4:$AK$4=$I132)*Weeks!$Z$6:$AK$58)-SUMIFS($E$6:$E$1005,$I$6:$I$1005,$I132,$B$6:$B$1005,"&lt;="&amp;$B132))</f>
        <v/>
      </c>
      <c r="M132" s="19" t="str">
        <f aca="false">IF($B132&amp;$C132&amp;$D132&amp;$E132="","",IF($B132="","missing date",IF($C132="","missing worker",IF($I132="?","unknown worker - was the name changed on Workers?",IF($D132="","missing type",IF(N($E132)=0,"missing amount",IF(AND($E132&lt;0,$D132&lt;&gt;"Correction"),"negative amount - use a Correction to undo",IF(OR($B132&lt;Weeks!$A$6,$B132&gt;Weeks!$B$58),"date outside this workbook's year",IF(AND($D132="Advance",N($L132)&lt;0),"Warning: more than earned so far - worker now owes "&amp;ROUND(-$L132,0),"")))))))))</f>
        <v/>
      </c>
    </row>
    <row r="133" customFormat="false" ht="15" hidden="false" customHeight="false" outlineLevel="0" collapsed="false">
      <c r="A133" s="24" t="str">
        <f aca="false">IF($B133="","",ROW()-5)</f>
        <v/>
      </c>
      <c r="B133" s="25"/>
      <c r="C133" s="20"/>
      <c r="D133" s="26"/>
      <c r="E133" s="27"/>
      <c r="F133" s="20"/>
      <c r="G133" s="20"/>
      <c r="H133" s="26"/>
      <c r="I133" s="24" t="str">
        <f aca="false">IF($C133="","",IFERROR(INDEX(WorkerIDs,MATCH($C133,WorkerNames,0)),"?"))</f>
        <v/>
      </c>
      <c r="J133" s="18" t="str">
        <f aca="false">IF($B133="","",$B133-WEEKDAY($B133,2)+1)</f>
        <v/>
      </c>
      <c r="K133" s="28" t="str">
        <f aca="false">IF(OR($I133="",$I133="?",$D133&lt;&gt;"Advance",$B133=""),"",$I133&amp;"|"&amp;$J133&amp;"|"&amp;COUNTIFS($I$6:$I133,$I133,$J$6:$J133,$J133,$D$6:$D133,"Advance"))</f>
        <v/>
      </c>
      <c r="L133" s="29" t="str">
        <f aca="false">IF(OR($I133="",$I133="?",$B133=""),"",SUMPRODUCT((Weeks!$A$6:$A$58&lt;=$J133)*(Weeks!$Z$4:$AK$4=$I133)*Weeks!$Z$6:$AK$58)-SUMIFS($E$6:$E$1005,$I$6:$I$1005,$I133,$B$6:$B$1005,"&lt;="&amp;$B133))</f>
        <v/>
      </c>
      <c r="M133" s="19" t="str">
        <f aca="false">IF($B133&amp;$C133&amp;$D133&amp;$E133="","",IF($B133="","missing date",IF($C133="","missing worker",IF($I133="?","unknown worker - was the name changed on Workers?",IF($D133="","missing type",IF(N($E133)=0,"missing amount",IF(AND($E133&lt;0,$D133&lt;&gt;"Correction"),"negative amount - use a Correction to undo",IF(OR($B133&lt;Weeks!$A$6,$B133&gt;Weeks!$B$58),"date outside this workbook's year",IF(AND($D133="Advance",N($L133)&lt;0),"Warning: more than earned so far - worker now owes "&amp;ROUND(-$L133,0),"")))))))))</f>
        <v/>
      </c>
    </row>
    <row r="134" customFormat="false" ht="15" hidden="false" customHeight="false" outlineLevel="0" collapsed="false">
      <c r="A134" s="24" t="str">
        <f aca="false">IF($B134="","",ROW()-5)</f>
        <v/>
      </c>
      <c r="B134" s="25"/>
      <c r="C134" s="20"/>
      <c r="D134" s="26"/>
      <c r="E134" s="27"/>
      <c r="F134" s="20"/>
      <c r="G134" s="20"/>
      <c r="H134" s="26"/>
      <c r="I134" s="24" t="str">
        <f aca="false">IF($C134="","",IFERROR(INDEX(WorkerIDs,MATCH($C134,WorkerNames,0)),"?"))</f>
        <v/>
      </c>
      <c r="J134" s="18" t="str">
        <f aca="false">IF($B134="","",$B134-WEEKDAY($B134,2)+1)</f>
        <v/>
      </c>
      <c r="K134" s="28" t="str">
        <f aca="false">IF(OR($I134="",$I134="?",$D134&lt;&gt;"Advance",$B134=""),"",$I134&amp;"|"&amp;$J134&amp;"|"&amp;COUNTIFS($I$6:$I134,$I134,$J$6:$J134,$J134,$D$6:$D134,"Advance"))</f>
        <v/>
      </c>
      <c r="L134" s="29" t="str">
        <f aca="false">IF(OR($I134="",$I134="?",$B134=""),"",SUMPRODUCT((Weeks!$A$6:$A$58&lt;=$J134)*(Weeks!$Z$4:$AK$4=$I134)*Weeks!$Z$6:$AK$58)-SUMIFS($E$6:$E$1005,$I$6:$I$1005,$I134,$B$6:$B$1005,"&lt;="&amp;$B134))</f>
        <v/>
      </c>
      <c r="M134" s="19" t="str">
        <f aca="false">IF($B134&amp;$C134&amp;$D134&amp;$E134="","",IF($B134="","missing date",IF($C134="","missing worker",IF($I134="?","unknown worker - was the name changed on Workers?",IF($D134="","missing type",IF(N($E134)=0,"missing amount",IF(AND($E134&lt;0,$D134&lt;&gt;"Correction"),"negative amount - use a Correction to undo",IF(OR($B134&lt;Weeks!$A$6,$B134&gt;Weeks!$B$58),"date outside this workbook's year",IF(AND($D134="Advance",N($L134)&lt;0),"Warning: more than earned so far - worker now owes "&amp;ROUND(-$L134,0),"")))))))))</f>
        <v/>
      </c>
    </row>
    <row r="135" customFormat="false" ht="15" hidden="false" customHeight="false" outlineLevel="0" collapsed="false">
      <c r="A135" s="24" t="str">
        <f aca="false">IF($B135="","",ROW()-5)</f>
        <v/>
      </c>
      <c r="B135" s="25"/>
      <c r="C135" s="20"/>
      <c r="D135" s="26"/>
      <c r="E135" s="27"/>
      <c r="F135" s="20"/>
      <c r="G135" s="20"/>
      <c r="H135" s="26"/>
      <c r="I135" s="24" t="str">
        <f aca="false">IF($C135="","",IFERROR(INDEX(WorkerIDs,MATCH($C135,WorkerNames,0)),"?"))</f>
        <v/>
      </c>
      <c r="J135" s="18" t="str">
        <f aca="false">IF($B135="","",$B135-WEEKDAY($B135,2)+1)</f>
        <v/>
      </c>
      <c r="K135" s="28" t="str">
        <f aca="false">IF(OR($I135="",$I135="?",$D135&lt;&gt;"Advance",$B135=""),"",$I135&amp;"|"&amp;$J135&amp;"|"&amp;COUNTIFS($I$6:$I135,$I135,$J$6:$J135,$J135,$D$6:$D135,"Advance"))</f>
        <v/>
      </c>
      <c r="L135" s="29" t="str">
        <f aca="false">IF(OR($I135="",$I135="?",$B135=""),"",SUMPRODUCT((Weeks!$A$6:$A$58&lt;=$J135)*(Weeks!$Z$4:$AK$4=$I135)*Weeks!$Z$6:$AK$58)-SUMIFS($E$6:$E$1005,$I$6:$I$1005,$I135,$B$6:$B$1005,"&lt;="&amp;$B135))</f>
        <v/>
      </c>
      <c r="M135" s="19" t="str">
        <f aca="false">IF($B135&amp;$C135&amp;$D135&amp;$E135="","",IF($B135="","missing date",IF($C135="","missing worker",IF($I135="?","unknown worker - was the name changed on Workers?",IF($D135="","missing type",IF(N($E135)=0,"missing amount",IF(AND($E135&lt;0,$D135&lt;&gt;"Correction"),"negative amount - use a Correction to undo",IF(OR($B135&lt;Weeks!$A$6,$B135&gt;Weeks!$B$58),"date outside this workbook's year",IF(AND($D135="Advance",N($L135)&lt;0),"Warning: more than earned so far - worker now owes "&amp;ROUND(-$L135,0),"")))))))))</f>
        <v/>
      </c>
    </row>
    <row r="136" customFormat="false" ht="15" hidden="false" customHeight="false" outlineLevel="0" collapsed="false">
      <c r="A136" s="24" t="str">
        <f aca="false">IF($B136="","",ROW()-5)</f>
        <v/>
      </c>
      <c r="B136" s="25"/>
      <c r="C136" s="20"/>
      <c r="D136" s="26"/>
      <c r="E136" s="27"/>
      <c r="F136" s="20"/>
      <c r="G136" s="20"/>
      <c r="H136" s="26"/>
      <c r="I136" s="24" t="str">
        <f aca="false">IF($C136="","",IFERROR(INDEX(WorkerIDs,MATCH($C136,WorkerNames,0)),"?"))</f>
        <v/>
      </c>
      <c r="J136" s="18" t="str">
        <f aca="false">IF($B136="","",$B136-WEEKDAY($B136,2)+1)</f>
        <v/>
      </c>
      <c r="K136" s="28" t="str">
        <f aca="false">IF(OR($I136="",$I136="?",$D136&lt;&gt;"Advance",$B136=""),"",$I136&amp;"|"&amp;$J136&amp;"|"&amp;COUNTIFS($I$6:$I136,$I136,$J$6:$J136,$J136,$D$6:$D136,"Advance"))</f>
        <v/>
      </c>
      <c r="L136" s="29" t="str">
        <f aca="false">IF(OR($I136="",$I136="?",$B136=""),"",SUMPRODUCT((Weeks!$A$6:$A$58&lt;=$J136)*(Weeks!$Z$4:$AK$4=$I136)*Weeks!$Z$6:$AK$58)-SUMIFS($E$6:$E$1005,$I$6:$I$1005,$I136,$B$6:$B$1005,"&lt;="&amp;$B136))</f>
        <v/>
      </c>
      <c r="M136" s="19" t="str">
        <f aca="false">IF($B136&amp;$C136&amp;$D136&amp;$E136="","",IF($B136="","missing date",IF($C136="","missing worker",IF($I136="?","unknown worker - was the name changed on Workers?",IF($D136="","missing type",IF(N($E136)=0,"missing amount",IF(AND($E136&lt;0,$D136&lt;&gt;"Correction"),"negative amount - use a Correction to undo",IF(OR($B136&lt;Weeks!$A$6,$B136&gt;Weeks!$B$58),"date outside this workbook's year",IF(AND($D136="Advance",N($L136)&lt;0),"Warning: more than earned so far - worker now owes "&amp;ROUND(-$L136,0),"")))))))))</f>
        <v/>
      </c>
    </row>
    <row r="137" customFormat="false" ht="15" hidden="false" customHeight="false" outlineLevel="0" collapsed="false">
      <c r="A137" s="24" t="str">
        <f aca="false">IF($B137="","",ROW()-5)</f>
        <v/>
      </c>
      <c r="B137" s="25"/>
      <c r="C137" s="20"/>
      <c r="D137" s="26"/>
      <c r="E137" s="27"/>
      <c r="F137" s="20"/>
      <c r="G137" s="20"/>
      <c r="H137" s="26"/>
      <c r="I137" s="24" t="str">
        <f aca="false">IF($C137="","",IFERROR(INDEX(WorkerIDs,MATCH($C137,WorkerNames,0)),"?"))</f>
        <v/>
      </c>
      <c r="J137" s="18" t="str">
        <f aca="false">IF($B137="","",$B137-WEEKDAY($B137,2)+1)</f>
        <v/>
      </c>
      <c r="K137" s="28" t="str">
        <f aca="false">IF(OR($I137="",$I137="?",$D137&lt;&gt;"Advance",$B137=""),"",$I137&amp;"|"&amp;$J137&amp;"|"&amp;COUNTIFS($I$6:$I137,$I137,$J$6:$J137,$J137,$D$6:$D137,"Advance"))</f>
        <v/>
      </c>
      <c r="L137" s="29" t="str">
        <f aca="false">IF(OR($I137="",$I137="?",$B137=""),"",SUMPRODUCT((Weeks!$A$6:$A$58&lt;=$J137)*(Weeks!$Z$4:$AK$4=$I137)*Weeks!$Z$6:$AK$58)-SUMIFS($E$6:$E$1005,$I$6:$I$1005,$I137,$B$6:$B$1005,"&lt;="&amp;$B137))</f>
        <v/>
      </c>
      <c r="M137" s="19" t="str">
        <f aca="false">IF($B137&amp;$C137&amp;$D137&amp;$E137="","",IF($B137="","missing date",IF($C137="","missing worker",IF($I137="?","unknown worker - was the name changed on Workers?",IF($D137="","missing type",IF(N($E137)=0,"missing amount",IF(AND($E137&lt;0,$D137&lt;&gt;"Correction"),"negative amount - use a Correction to undo",IF(OR($B137&lt;Weeks!$A$6,$B137&gt;Weeks!$B$58),"date outside this workbook's year",IF(AND($D137="Advance",N($L137)&lt;0),"Warning: more than earned so far - worker now owes "&amp;ROUND(-$L137,0),"")))))))))</f>
        <v/>
      </c>
    </row>
    <row r="138" customFormat="false" ht="15" hidden="false" customHeight="false" outlineLevel="0" collapsed="false">
      <c r="A138" s="24" t="str">
        <f aca="false">IF($B138="","",ROW()-5)</f>
        <v/>
      </c>
      <c r="B138" s="25"/>
      <c r="C138" s="20"/>
      <c r="D138" s="26"/>
      <c r="E138" s="27"/>
      <c r="F138" s="20"/>
      <c r="G138" s="20"/>
      <c r="H138" s="26"/>
      <c r="I138" s="24" t="str">
        <f aca="false">IF($C138="","",IFERROR(INDEX(WorkerIDs,MATCH($C138,WorkerNames,0)),"?"))</f>
        <v/>
      </c>
      <c r="J138" s="18" t="str">
        <f aca="false">IF($B138="","",$B138-WEEKDAY($B138,2)+1)</f>
        <v/>
      </c>
      <c r="K138" s="28" t="str">
        <f aca="false">IF(OR($I138="",$I138="?",$D138&lt;&gt;"Advance",$B138=""),"",$I138&amp;"|"&amp;$J138&amp;"|"&amp;COUNTIFS($I$6:$I138,$I138,$J$6:$J138,$J138,$D$6:$D138,"Advance"))</f>
        <v/>
      </c>
      <c r="L138" s="29" t="str">
        <f aca="false">IF(OR($I138="",$I138="?",$B138=""),"",SUMPRODUCT((Weeks!$A$6:$A$58&lt;=$J138)*(Weeks!$Z$4:$AK$4=$I138)*Weeks!$Z$6:$AK$58)-SUMIFS($E$6:$E$1005,$I$6:$I$1005,$I138,$B$6:$B$1005,"&lt;="&amp;$B138))</f>
        <v/>
      </c>
      <c r="M138" s="19" t="str">
        <f aca="false">IF($B138&amp;$C138&amp;$D138&amp;$E138="","",IF($B138="","missing date",IF($C138="","missing worker",IF($I138="?","unknown worker - was the name changed on Workers?",IF($D138="","missing type",IF(N($E138)=0,"missing amount",IF(AND($E138&lt;0,$D138&lt;&gt;"Correction"),"negative amount - use a Correction to undo",IF(OR($B138&lt;Weeks!$A$6,$B138&gt;Weeks!$B$58),"date outside this workbook's year",IF(AND($D138="Advance",N($L138)&lt;0),"Warning: more than earned so far - worker now owes "&amp;ROUND(-$L138,0),"")))))))))</f>
        <v/>
      </c>
    </row>
    <row r="139" customFormat="false" ht="15" hidden="false" customHeight="false" outlineLevel="0" collapsed="false">
      <c r="A139" s="24" t="str">
        <f aca="false">IF($B139="","",ROW()-5)</f>
        <v/>
      </c>
      <c r="B139" s="25"/>
      <c r="C139" s="20"/>
      <c r="D139" s="26"/>
      <c r="E139" s="27"/>
      <c r="F139" s="20"/>
      <c r="G139" s="20"/>
      <c r="H139" s="26"/>
      <c r="I139" s="24" t="str">
        <f aca="false">IF($C139="","",IFERROR(INDEX(WorkerIDs,MATCH($C139,WorkerNames,0)),"?"))</f>
        <v/>
      </c>
      <c r="J139" s="18" t="str">
        <f aca="false">IF($B139="","",$B139-WEEKDAY($B139,2)+1)</f>
        <v/>
      </c>
      <c r="K139" s="28" t="str">
        <f aca="false">IF(OR($I139="",$I139="?",$D139&lt;&gt;"Advance",$B139=""),"",$I139&amp;"|"&amp;$J139&amp;"|"&amp;COUNTIFS($I$6:$I139,$I139,$J$6:$J139,$J139,$D$6:$D139,"Advance"))</f>
        <v/>
      </c>
      <c r="L139" s="29" t="str">
        <f aca="false">IF(OR($I139="",$I139="?",$B139=""),"",SUMPRODUCT((Weeks!$A$6:$A$58&lt;=$J139)*(Weeks!$Z$4:$AK$4=$I139)*Weeks!$Z$6:$AK$58)-SUMIFS($E$6:$E$1005,$I$6:$I$1005,$I139,$B$6:$B$1005,"&lt;="&amp;$B139))</f>
        <v/>
      </c>
      <c r="M139" s="19" t="str">
        <f aca="false">IF($B139&amp;$C139&amp;$D139&amp;$E139="","",IF($B139="","missing date",IF($C139="","missing worker",IF($I139="?","unknown worker - was the name changed on Workers?",IF($D139="","missing type",IF(N($E139)=0,"missing amount",IF(AND($E139&lt;0,$D139&lt;&gt;"Correction"),"negative amount - use a Correction to undo",IF(OR($B139&lt;Weeks!$A$6,$B139&gt;Weeks!$B$58),"date outside this workbook's year",IF(AND($D139="Advance",N($L139)&lt;0),"Warning: more than earned so far - worker now owes "&amp;ROUND(-$L139,0),"")))))))))</f>
        <v/>
      </c>
    </row>
    <row r="140" customFormat="false" ht="15" hidden="false" customHeight="false" outlineLevel="0" collapsed="false">
      <c r="A140" s="24" t="str">
        <f aca="false">IF($B140="","",ROW()-5)</f>
        <v/>
      </c>
      <c r="B140" s="25"/>
      <c r="C140" s="20"/>
      <c r="D140" s="26"/>
      <c r="E140" s="27"/>
      <c r="F140" s="20"/>
      <c r="G140" s="20"/>
      <c r="H140" s="26"/>
      <c r="I140" s="24" t="str">
        <f aca="false">IF($C140="","",IFERROR(INDEX(WorkerIDs,MATCH($C140,WorkerNames,0)),"?"))</f>
        <v/>
      </c>
      <c r="J140" s="18" t="str">
        <f aca="false">IF($B140="","",$B140-WEEKDAY($B140,2)+1)</f>
        <v/>
      </c>
      <c r="K140" s="28" t="str">
        <f aca="false">IF(OR($I140="",$I140="?",$D140&lt;&gt;"Advance",$B140=""),"",$I140&amp;"|"&amp;$J140&amp;"|"&amp;COUNTIFS($I$6:$I140,$I140,$J$6:$J140,$J140,$D$6:$D140,"Advance"))</f>
        <v/>
      </c>
      <c r="L140" s="29" t="str">
        <f aca="false">IF(OR($I140="",$I140="?",$B140=""),"",SUMPRODUCT((Weeks!$A$6:$A$58&lt;=$J140)*(Weeks!$Z$4:$AK$4=$I140)*Weeks!$Z$6:$AK$58)-SUMIFS($E$6:$E$1005,$I$6:$I$1005,$I140,$B$6:$B$1005,"&lt;="&amp;$B140))</f>
        <v/>
      </c>
      <c r="M140" s="19" t="str">
        <f aca="false">IF($B140&amp;$C140&amp;$D140&amp;$E140="","",IF($B140="","missing date",IF($C140="","missing worker",IF($I140="?","unknown worker - was the name changed on Workers?",IF($D140="","missing type",IF(N($E140)=0,"missing amount",IF(AND($E140&lt;0,$D140&lt;&gt;"Correction"),"negative amount - use a Correction to undo",IF(OR($B140&lt;Weeks!$A$6,$B140&gt;Weeks!$B$58),"date outside this workbook's year",IF(AND($D140="Advance",N($L140)&lt;0),"Warning: more than earned so far - worker now owes "&amp;ROUND(-$L140,0),"")))))))))</f>
        <v/>
      </c>
    </row>
    <row r="141" customFormat="false" ht="15" hidden="false" customHeight="false" outlineLevel="0" collapsed="false">
      <c r="A141" s="24" t="str">
        <f aca="false">IF($B141="","",ROW()-5)</f>
        <v/>
      </c>
      <c r="B141" s="25"/>
      <c r="C141" s="20"/>
      <c r="D141" s="26"/>
      <c r="E141" s="27"/>
      <c r="F141" s="20"/>
      <c r="G141" s="20"/>
      <c r="H141" s="26"/>
      <c r="I141" s="24" t="str">
        <f aca="false">IF($C141="","",IFERROR(INDEX(WorkerIDs,MATCH($C141,WorkerNames,0)),"?"))</f>
        <v/>
      </c>
      <c r="J141" s="18" t="str">
        <f aca="false">IF($B141="","",$B141-WEEKDAY($B141,2)+1)</f>
        <v/>
      </c>
      <c r="K141" s="28" t="str">
        <f aca="false">IF(OR($I141="",$I141="?",$D141&lt;&gt;"Advance",$B141=""),"",$I141&amp;"|"&amp;$J141&amp;"|"&amp;COUNTIFS($I$6:$I141,$I141,$J$6:$J141,$J141,$D$6:$D141,"Advance"))</f>
        <v/>
      </c>
      <c r="L141" s="29" t="str">
        <f aca="false">IF(OR($I141="",$I141="?",$B141=""),"",SUMPRODUCT((Weeks!$A$6:$A$58&lt;=$J141)*(Weeks!$Z$4:$AK$4=$I141)*Weeks!$Z$6:$AK$58)-SUMIFS($E$6:$E$1005,$I$6:$I$1005,$I141,$B$6:$B$1005,"&lt;="&amp;$B141))</f>
        <v/>
      </c>
      <c r="M141" s="19" t="str">
        <f aca="false">IF($B141&amp;$C141&amp;$D141&amp;$E141="","",IF($B141="","missing date",IF($C141="","missing worker",IF($I141="?","unknown worker - was the name changed on Workers?",IF($D141="","missing type",IF(N($E141)=0,"missing amount",IF(AND($E141&lt;0,$D141&lt;&gt;"Correction"),"negative amount - use a Correction to undo",IF(OR($B141&lt;Weeks!$A$6,$B141&gt;Weeks!$B$58),"date outside this workbook's year",IF(AND($D141="Advance",N($L141)&lt;0),"Warning: more than earned so far - worker now owes "&amp;ROUND(-$L141,0),"")))))))))</f>
        <v/>
      </c>
    </row>
    <row r="142" customFormat="false" ht="15" hidden="false" customHeight="false" outlineLevel="0" collapsed="false">
      <c r="A142" s="24" t="str">
        <f aca="false">IF($B142="","",ROW()-5)</f>
        <v/>
      </c>
      <c r="B142" s="25"/>
      <c r="C142" s="20"/>
      <c r="D142" s="26"/>
      <c r="E142" s="27"/>
      <c r="F142" s="20"/>
      <c r="G142" s="20"/>
      <c r="H142" s="26"/>
      <c r="I142" s="24" t="str">
        <f aca="false">IF($C142="","",IFERROR(INDEX(WorkerIDs,MATCH($C142,WorkerNames,0)),"?"))</f>
        <v/>
      </c>
      <c r="J142" s="18" t="str">
        <f aca="false">IF($B142="","",$B142-WEEKDAY($B142,2)+1)</f>
        <v/>
      </c>
      <c r="K142" s="28" t="str">
        <f aca="false">IF(OR($I142="",$I142="?",$D142&lt;&gt;"Advance",$B142=""),"",$I142&amp;"|"&amp;$J142&amp;"|"&amp;COUNTIFS($I$6:$I142,$I142,$J$6:$J142,$J142,$D$6:$D142,"Advance"))</f>
        <v/>
      </c>
      <c r="L142" s="29" t="str">
        <f aca="false">IF(OR($I142="",$I142="?",$B142=""),"",SUMPRODUCT((Weeks!$A$6:$A$58&lt;=$J142)*(Weeks!$Z$4:$AK$4=$I142)*Weeks!$Z$6:$AK$58)-SUMIFS($E$6:$E$1005,$I$6:$I$1005,$I142,$B$6:$B$1005,"&lt;="&amp;$B142))</f>
        <v/>
      </c>
      <c r="M142" s="19" t="str">
        <f aca="false">IF($B142&amp;$C142&amp;$D142&amp;$E142="","",IF($B142="","missing date",IF($C142="","missing worker",IF($I142="?","unknown worker - was the name changed on Workers?",IF($D142="","missing type",IF(N($E142)=0,"missing amount",IF(AND($E142&lt;0,$D142&lt;&gt;"Correction"),"negative amount - use a Correction to undo",IF(OR($B142&lt;Weeks!$A$6,$B142&gt;Weeks!$B$58),"date outside this workbook's year",IF(AND($D142="Advance",N($L142)&lt;0),"Warning: more than earned so far - worker now owes "&amp;ROUND(-$L142,0),"")))))))))</f>
        <v/>
      </c>
    </row>
    <row r="143" customFormat="false" ht="15" hidden="false" customHeight="false" outlineLevel="0" collapsed="false">
      <c r="A143" s="24" t="str">
        <f aca="false">IF($B143="","",ROW()-5)</f>
        <v/>
      </c>
      <c r="B143" s="25"/>
      <c r="C143" s="20"/>
      <c r="D143" s="26"/>
      <c r="E143" s="27"/>
      <c r="F143" s="20"/>
      <c r="G143" s="20"/>
      <c r="H143" s="26"/>
      <c r="I143" s="24" t="str">
        <f aca="false">IF($C143="","",IFERROR(INDEX(WorkerIDs,MATCH($C143,WorkerNames,0)),"?"))</f>
        <v/>
      </c>
      <c r="J143" s="18" t="str">
        <f aca="false">IF($B143="","",$B143-WEEKDAY($B143,2)+1)</f>
        <v/>
      </c>
      <c r="K143" s="28" t="str">
        <f aca="false">IF(OR($I143="",$I143="?",$D143&lt;&gt;"Advance",$B143=""),"",$I143&amp;"|"&amp;$J143&amp;"|"&amp;COUNTIFS($I$6:$I143,$I143,$J$6:$J143,$J143,$D$6:$D143,"Advance"))</f>
        <v/>
      </c>
      <c r="L143" s="29" t="str">
        <f aca="false">IF(OR($I143="",$I143="?",$B143=""),"",SUMPRODUCT((Weeks!$A$6:$A$58&lt;=$J143)*(Weeks!$Z$4:$AK$4=$I143)*Weeks!$Z$6:$AK$58)-SUMIFS($E$6:$E$1005,$I$6:$I$1005,$I143,$B$6:$B$1005,"&lt;="&amp;$B143))</f>
        <v/>
      </c>
      <c r="M143" s="19" t="str">
        <f aca="false">IF($B143&amp;$C143&amp;$D143&amp;$E143="","",IF($B143="","missing date",IF($C143="","missing worker",IF($I143="?","unknown worker - was the name changed on Workers?",IF($D143="","missing type",IF(N($E143)=0,"missing amount",IF(AND($E143&lt;0,$D143&lt;&gt;"Correction"),"negative amount - use a Correction to undo",IF(OR($B143&lt;Weeks!$A$6,$B143&gt;Weeks!$B$58),"date outside this workbook's year",IF(AND($D143="Advance",N($L143)&lt;0),"Warning: more than earned so far - worker now owes "&amp;ROUND(-$L143,0),"")))))))))</f>
        <v/>
      </c>
    </row>
    <row r="144" customFormat="false" ht="15" hidden="false" customHeight="false" outlineLevel="0" collapsed="false">
      <c r="A144" s="24" t="str">
        <f aca="false">IF($B144="","",ROW()-5)</f>
        <v/>
      </c>
      <c r="B144" s="25"/>
      <c r="C144" s="20"/>
      <c r="D144" s="26"/>
      <c r="E144" s="27"/>
      <c r="F144" s="20"/>
      <c r="G144" s="20"/>
      <c r="H144" s="26"/>
      <c r="I144" s="24" t="str">
        <f aca="false">IF($C144="","",IFERROR(INDEX(WorkerIDs,MATCH($C144,WorkerNames,0)),"?"))</f>
        <v/>
      </c>
      <c r="J144" s="18" t="str">
        <f aca="false">IF($B144="","",$B144-WEEKDAY($B144,2)+1)</f>
        <v/>
      </c>
      <c r="K144" s="28" t="str">
        <f aca="false">IF(OR($I144="",$I144="?",$D144&lt;&gt;"Advance",$B144=""),"",$I144&amp;"|"&amp;$J144&amp;"|"&amp;COUNTIFS($I$6:$I144,$I144,$J$6:$J144,$J144,$D$6:$D144,"Advance"))</f>
        <v/>
      </c>
      <c r="L144" s="29" t="str">
        <f aca="false">IF(OR($I144="",$I144="?",$B144=""),"",SUMPRODUCT((Weeks!$A$6:$A$58&lt;=$J144)*(Weeks!$Z$4:$AK$4=$I144)*Weeks!$Z$6:$AK$58)-SUMIFS($E$6:$E$1005,$I$6:$I$1005,$I144,$B$6:$B$1005,"&lt;="&amp;$B144))</f>
        <v/>
      </c>
      <c r="M144" s="19" t="str">
        <f aca="false">IF($B144&amp;$C144&amp;$D144&amp;$E144="","",IF($B144="","missing date",IF($C144="","missing worker",IF($I144="?","unknown worker - was the name changed on Workers?",IF($D144="","missing type",IF(N($E144)=0,"missing amount",IF(AND($E144&lt;0,$D144&lt;&gt;"Correction"),"negative amount - use a Correction to undo",IF(OR($B144&lt;Weeks!$A$6,$B144&gt;Weeks!$B$58),"date outside this workbook's year",IF(AND($D144="Advance",N($L144)&lt;0),"Warning: more than earned so far - worker now owes "&amp;ROUND(-$L144,0),"")))))))))</f>
        <v/>
      </c>
    </row>
    <row r="145" customFormat="false" ht="15" hidden="false" customHeight="false" outlineLevel="0" collapsed="false">
      <c r="A145" s="24" t="str">
        <f aca="false">IF($B145="","",ROW()-5)</f>
        <v/>
      </c>
      <c r="B145" s="25"/>
      <c r="C145" s="20"/>
      <c r="D145" s="26"/>
      <c r="E145" s="27"/>
      <c r="F145" s="20"/>
      <c r="G145" s="20"/>
      <c r="H145" s="26"/>
      <c r="I145" s="24" t="str">
        <f aca="false">IF($C145="","",IFERROR(INDEX(WorkerIDs,MATCH($C145,WorkerNames,0)),"?"))</f>
        <v/>
      </c>
      <c r="J145" s="18" t="str">
        <f aca="false">IF($B145="","",$B145-WEEKDAY($B145,2)+1)</f>
        <v/>
      </c>
      <c r="K145" s="28" t="str">
        <f aca="false">IF(OR($I145="",$I145="?",$D145&lt;&gt;"Advance",$B145=""),"",$I145&amp;"|"&amp;$J145&amp;"|"&amp;COUNTIFS($I$6:$I145,$I145,$J$6:$J145,$J145,$D$6:$D145,"Advance"))</f>
        <v/>
      </c>
      <c r="L145" s="29" t="str">
        <f aca="false">IF(OR($I145="",$I145="?",$B145=""),"",SUMPRODUCT((Weeks!$A$6:$A$58&lt;=$J145)*(Weeks!$Z$4:$AK$4=$I145)*Weeks!$Z$6:$AK$58)-SUMIFS($E$6:$E$1005,$I$6:$I$1005,$I145,$B$6:$B$1005,"&lt;="&amp;$B145))</f>
        <v/>
      </c>
      <c r="M145" s="19" t="str">
        <f aca="false">IF($B145&amp;$C145&amp;$D145&amp;$E145="","",IF($B145="","missing date",IF($C145="","missing worker",IF($I145="?","unknown worker - was the name changed on Workers?",IF($D145="","missing type",IF(N($E145)=0,"missing amount",IF(AND($E145&lt;0,$D145&lt;&gt;"Correction"),"negative amount - use a Correction to undo",IF(OR($B145&lt;Weeks!$A$6,$B145&gt;Weeks!$B$58),"date outside this workbook's year",IF(AND($D145="Advance",N($L145)&lt;0),"Warning: more than earned so far - worker now owes "&amp;ROUND(-$L145,0),"")))))))))</f>
        <v/>
      </c>
    </row>
    <row r="146" customFormat="false" ht="15" hidden="false" customHeight="false" outlineLevel="0" collapsed="false">
      <c r="A146" s="24" t="str">
        <f aca="false">IF($B146="","",ROW()-5)</f>
        <v/>
      </c>
      <c r="B146" s="25"/>
      <c r="C146" s="20"/>
      <c r="D146" s="26"/>
      <c r="E146" s="27"/>
      <c r="F146" s="20"/>
      <c r="G146" s="20"/>
      <c r="H146" s="26"/>
      <c r="I146" s="24" t="str">
        <f aca="false">IF($C146="","",IFERROR(INDEX(WorkerIDs,MATCH($C146,WorkerNames,0)),"?"))</f>
        <v/>
      </c>
      <c r="J146" s="18" t="str">
        <f aca="false">IF($B146="","",$B146-WEEKDAY($B146,2)+1)</f>
        <v/>
      </c>
      <c r="K146" s="28" t="str">
        <f aca="false">IF(OR($I146="",$I146="?",$D146&lt;&gt;"Advance",$B146=""),"",$I146&amp;"|"&amp;$J146&amp;"|"&amp;COUNTIFS($I$6:$I146,$I146,$J$6:$J146,$J146,$D$6:$D146,"Advance"))</f>
        <v/>
      </c>
      <c r="L146" s="29" t="str">
        <f aca="false">IF(OR($I146="",$I146="?",$B146=""),"",SUMPRODUCT((Weeks!$A$6:$A$58&lt;=$J146)*(Weeks!$Z$4:$AK$4=$I146)*Weeks!$Z$6:$AK$58)-SUMIFS($E$6:$E$1005,$I$6:$I$1005,$I146,$B$6:$B$1005,"&lt;="&amp;$B146))</f>
        <v/>
      </c>
      <c r="M146" s="19" t="str">
        <f aca="false">IF($B146&amp;$C146&amp;$D146&amp;$E146="","",IF($B146="","missing date",IF($C146="","missing worker",IF($I146="?","unknown worker - was the name changed on Workers?",IF($D146="","missing type",IF(N($E146)=0,"missing amount",IF(AND($E146&lt;0,$D146&lt;&gt;"Correction"),"negative amount - use a Correction to undo",IF(OR($B146&lt;Weeks!$A$6,$B146&gt;Weeks!$B$58),"date outside this workbook's year",IF(AND($D146="Advance",N($L146)&lt;0),"Warning: more than earned so far - worker now owes "&amp;ROUND(-$L146,0),"")))))))))</f>
        <v/>
      </c>
    </row>
    <row r="147" customFormat="false" ht="15" hidden="false" customHeight="false" outlineLevel="0" collapsed="false">
      <c r="A147" s="24" t="str">
        <f aca="false">IF($B147="","",ROW()-5)</f>
        <v/>
      </c>
      <c r="B147" s="25"/>
      <c r="C147" s="20"/>
      <c r="D147" s="26"/>
      <c r="E147" s="27"/>
      <c r="F147" s="20"/>
      <c r="G147" s="20"/>
      <c r="H147" s="26"/>
      <c r="I147" s="24" t="str">
        <f aca="false">IF($C147="","",IFERROR(INDEX(WorkerIDs,MATCH($C147,WorkerNames,0)),"?"))</f>
        <v/>
      </c>
      <c r="J147" s="18" t="str">
        <f aca="false">IF($B147="","",$B147-WEEKDAY($B147,2)+1)</f>
        <v/>
      </c>
      <c r="K147" s="28" t="str">
        <f aca="false">IF(OR($I147="",$I147="?",$D147&lt;&gt;"Advance",$B147=""),"",$I147&amp;"|"&amp;$J147&amp;"|"&amp;COUNTIFS($I$6:$I147,$I147,$J$6:$J147,$J147,$D$6:$D147,"Advance"))</f>
        <v/>
      </c>
      <c r="L147" s="29" t="str">
        <f aca="false">IF(OR($I147="",$I147="?",$B147=""),"",SUMPRODUCT((Weeks!$A$6:$A$58&lt;=$J147)*(Weeks!$Z$4:$AK$4=$I147)*Weeks!$Z$6:$AK$58)-SUMIFS($E$6:$E$1005,$I$6:$I$1005,$I147,$B$6:$B$1005,"&lt;="&amp;$B147))</f>
        <v/>
      </c>
      <c r="M147" s="19" t="str">
        <f aca="false">IF($B147&amp;$C147&amp;$D147&amp;$E147="","",IF($B147="","missing date",IF($C147="","missing worker",IF($I147="?","unknown worker - was the name changed on Workers?",IF($D147="","missing type",IF(N($E147)=0,"missing amount",IF(AND($E147&lt;0,$D147&lt;&gt;"Correction"),"negative amount - use a Correction to undo",IF(OR($B147&lt;Weeks!$A$6,$B147&gt;Weeks!$B$58),"date outside this workbook's year",IF(AND($D147="Advance",N($L147)&lt;0),"Warning: more than earned so far - worker now owes "&amp;ROUND(-$L147,0),"")))))))))</f>
        <v/>
      </c>
    </row>
    <row r="148" customFormat="false" ht="15" hidden="false" customHeight="false" outlineLevel="0" collapsed="false">
      <c r="A148" s="24" t="str">
        <f aca="false">IF($B148="","",ROW()-5)</f>
        <v/>
      </c>
      <c r="B148" s="25"/>
      <c r="C148" s="20"/>
      <c r="D148" s="26"/>
      <c r="E148" s="27"/>
      <c r="F148" s="20"/>
      <c r="G148" s="20"/>
      <c r="H148" s="26"/>
      <c r="I148" s="24" t="str">
        <f aca="false">IF($C148="","",IFERROR(INDEX(WorkerIDs,MATCH($C148,WorkerNames,0)),"?"))</f>
        <v/>
      </c>
      <c r="J148" s="18" t="str">
        <f aca="false">IF($B148="","",$B148-WEEKDAY($B148,2)+1)</f>
        <v/>
      </c>
      <c r="K148" s="28" t="str">
        <f aca="false">IF(OR($I148="",$I148="?",$D148&lt;&gt;"Advance",$B148=""),"",$I148&amp;"|"&amp;$J148&amp;"|"&amp;COUNTIFS($I$6:$I148,$I148,$J$6:$J148,$J148,$D$6:$D148,"Advance"))</f>
        <v/>
      </c>
      <c r="L148" s="29" t="str">
        <f aca="false">IF(OR($I148="",$I148="?",$B148=""),"",SUMPRODUCT((Weeks!$A$6:$A$58&lt;=$J148)*(Weeks!$Z$4:$AK$4=$I148)*Weeks!$Z$6:$AK$58)-SUMIFS($E$6:$E$1005,$I$6:$I$1005,$I148,$B$6:$B$1005,"&lt;="&amp;$B148))</f>
        <v/>
      </c>
      <c r="M148" s="19" t="str">
        <f aca="false">IF($B148&amp;$C148&amp;$D148&amp;$E148="","",IF($B148="","missing date",IF($C148="","missing worker",IF($I148="?","unknown worker - was the name changed on Workers?",IF($D148="","missing type",IF(N($E148)=0,"missing amount",IF(AND($E148&lt;0,$D148&lt;&gt;"Correction"),"negative amount - use a Correction to undo",IF(OR($B148&lt;Weeks!$A$6,$B148&gt;Weeks!$B$58),"date outside this workbook's year",IF(AND($D148="Advance",N($L148)&lt;0),"Warning: more than earned so far - worker now owes "&amp;ROUND(-$L148,0),"")))))))))</f>
        <v/>
      </c>
    </row>
    <row r="149" customFormat="false" ht="15" hidden="false" customHeight="false" outlineLevel="0" collapsed="false">
      <c r="A149" s="24" t="str">
        <f aca="false">IF($B149="","",ROW()-5)</f>
        <v/>
      </c>
      <c r="B149" s="25"/>
      <c r="C149" s="20"/>
      <c r="D149" s="26"/>
      <c r="E149" s="27"/>
      <c r="F149" s="20"/>
      <c r="G149" s="20"/>
      <c r="H149" s="26"/>
      <c r="I149" s="24" t="str">
        <f aca="false">IF($C149="","",IFERROR(INDEX(WorkerIDs,MATCH($C149,WorkerNames,0)),"?"))</f>
        <v/>
      </c>
      <c r="J149" s="18" t="str">
        <f aca="false">IF($B149="","",$B149-WEEKDAY($B149,2)+1)</f>
        <v/>
      </c>
      <c r="K149" s="28" t="str">
        <f aca="false">IF(OR($I149="",$I149="?",$D149&lt;&gt;"Advance",$B149=""),"",$I149&amp;"|"&amp;$J149&amp;"|"&amp;COUNTIFS($I$6:$I149,$I149,$J$6:$J149,$J149,$D$6:$D149,"Advance"))</f>
        <v/>
      </c>
      <c r="L149" s="29" t="str">
        <f aca="false">IF(OR($I149="",$I149="?",$B149=""),"",SUMPRODUCT((Weeks!$A$6:$A$58&lt;=$J149)*(Weeks!$Z$4:$AK$4=$I149)*Weeks!$Z$6:$AK$58)-SUMIFS($E$6:$E$1005,$I$6:$I$1005,$I149,$B$6:$B$1005,"&lt;="&amp;$B149))</f>
        <v/>
      </c>
      <c r="M149" s="19" t="str">
        <f aca="false">IF($B149&amp;$C149&amp;$D149&amp;$E149="","",IF($B149="","missing date",IF($C149="","missing worker",IF($I149="?","unknown worker - was the name changed on Workers?",IF($D149="","missing type",IF(N($E149)=0,"missing amount",IF(AND($E149&lt;0,$D149&lt;&gt;"Correction"),"negative amount - use a Correction to undo",IF(OR($B149&lt;Weeks!$A$6,$B149&gt;Weeks!$B$58),"date outside this workbook's year",IF(AND($D149="Advance",N($L149)&lt;0),"Warning: more than earned so far - worker now owes "&amp;ROUND(-$L149,0),"")))))))))</f>
        <v/>
      </c>
    </row>
    <row r="150" customFormat="false" ht="15" hidden="false" customHeight="false" outlineLevel="0" collapsed="false">
      <c r="A150" s="24" t="str">
        <f aca="false">IF($B150="","",ROW()-5)</f>
        <v/>
      </c>
      <c r="B150" s="25"/>
      <c r="C150" s="20"/>
      <c r="D150" s="26"/>
      <c r="E150" s="27"/>
      <c r="F150" s="20"/>
      <c r="G150" s="20"/>
      <c r="H150" s="26"/>
      <c r="I150" s="24" t="str">
        <f aca="false">IF($C150="","",IFERROR(INDEX(WorkerIDs,MATCH($C150,WorkerNames,0)),"?"))</f>
        <v/>
      </c>
      <c r="J150" s="18" t="str">
        <f aca="false">IF($B150="","",$B150-WEEKDAY($B150,2)+1)</f>
        <v/>
      </c>
      <c r="K150" s="28" t="str">
        <f aca="false">IF(OR($I150="",$I150="?",$D150&lt;&gt;"Advance",$B150=""),"",$I150&amp;"|"&amp;$J150&amp;"|"&amp;COUNTIFS($I$6:$I150,$I150,$J$6:$J150,$J150,$D$6:$D150,"Advance"))</f>
        <v/>
      </c>
      <c r="L150" s="29" t="str">
        <f aca="false">IF(OR($I150="",$I150="?",$B150=""),"",SUMPRODUCT((Weeks!$A$6:$A$58&lt;=$J150)*(Weeks!$Z$4:$AK$4=$I150)*Weeks!$Z$6:$AK$58)-SUMIFS($E$6:$E$1005,$I$6:$I$1005,$I150,$B$6:$B$1005,"&lt;="&amp;$B150))</f>
        <v/>
      </c>
      <c r="M150" s="19" t="str">
        <f aca="false">IF($B150&amp;$C150&amp;$D150&amp;$E150="","",IF($B150="","missing date",IF($C150="","missing worker",IF($I150="?","unknown worker - was the name changed on Workers?",IF($D150="","missing type",IF(N($E150)=0,"missing amount",IF(AND($E150&lt;0,$D150&lt;&gt;"Correction"),"negative amount - use a Correction to undo",IF(OR($B150&lt;Weeks!$A$6,$B150&gt;Weeks!$B$58),"date outside this workbook's year",IF(AND($D150="Advance",N($L150)&lt;0),"Warning: more than earned so far - worker now owes "&amp;ROUND(-$L150,0),"")))))))))</f>
        <v/>
      </c>
    </row>
    <row r="151" customFormat="false" ht="15" hidden="false" customHeight="false" outlineLevel="0" collapsed="false">
      <c r="A151" s="24" t="str">
        <f aca="false">IF($B151="","",ROW()-5)</f>
        <v/>
      </c>
      <c r="B151" s="25"/>
      <c r="C151" s="20"/>
      <c r="D151" s="26"/>
      <c r="E151" s="27"/>
      <c r="F151" s="20"/>
      <c r="G151" s="20"/>
      <c r="H151" s="26"/>
      <c r="I151" s="24" t="str">
        <f aca="false">IF($C151="","",IFERROR(INDEX(WorkerIDs,MATCH($C151,WorkerNames,0)),"?"))</f>
        <v/>
      </c>
      <c r="J151" s="18" t="str">
        <f aca="false">IF($B151="","",$B151-WEEKDAY($B151,2)+1)</f>
        <v/>
      </c>
      <c r="K151" s="28" t="str">
        <f aca="false">IF(OR($I151="",$I151="?",$D151&lt;&gt;"Advance",$B151=""),"",$I151&amp;"|"&amp;$J151&amp;"|"&amp;COUNTIFS($I$6:$I151,$I151,$J$6:$J151,$J151,$D$6:$D151,"Advance"))</f>
        <v/>
      </c>
      <c r="L151" s="29" t="str">
        <f aca="false">IF(OR($I151="",$I151="?",$B151=""),"",SUMPRODUCT((Weeks!$A$6:$A$58&lt;=$J151)*(Weeks!$Z$4:$AK$4=$I151)*Weeks!$Z$6:$AK$58)-SUMIFS($E$6:$E$1005,$I$6:$I$1005,$I151,$B$6:$B$1005,"&lt;="&amp;$B151))</f>
        <v/>
      </c>
      <c r="M151" s="19" t="str">
        <f aca="false">IF($B151&amp;$C151&amp;$D151&amp;$E151="","",IF($B151="","missing date",IF($C151="","missing worker",IF($I151="?","unknown worker - was the name changed on Workers?",IF($D151="","missing type",IF(N($E151)=0,"missing amount",IF(AND($E151&lt;0,$D151&lt;&gt;"Correction"),"negative amount - use a Correction to undo",IF(OR($B151&lt;Weeks!$A$6,$B151&gt;Weeks!$B$58),"date outside this workbook's year",IF(AND($D151="Advance",N($L151)&lt;0),"Warning: more than earned so far - worker now owes "&amp;ROUND(-$L151,0),"")))))))))</f>
        <v/>
      </c>
    </row>
    <row r="152" customFormat="false" ht="15" hidden="false" customHeight="false" outlineLevel="0" collapsed="false">
      <c r="A152" s="24" t="str">
        <f aca="false">IF($B152="","",ROW()-5)</f>
        <v/>
      </c>
      <c r="B152" s="25"/>
      <c r="C152" s="20"/>
      <c r="D152" s="26"/>
      <c r="E152" s="27"/>
      <c r="F152" s="20"/>
      <c r="G152" s="20"/>
      <c r="H152" s="26"/>
      <c r="I152" s="24" t="str">
        <f aca="false">IF($C152="","",IFERROR(INDEX(WorkerIDs,MATCH($C152,WorkerNames,0)),"?"))</f>
        <v/>
      </c>
      <c r="J152" s="18" t="str">
        <f aca="false">IF($B152="","",$B152-WEEKDAY($B152,2)+1)</f>
        <v/>
      </c>
      <c r="K152" s="28" t="str">
        <f aca="false">IF(OR($I152="",$I152="?",$D152&lt;&gt;"Advance",$B152=""),"",$I152&amp;"|"&amp;$J152&amp;"|"&amp;COUNTIFS($I$6:$I152,$I152,$J$6:$J152,$J152,$D$6:$D152,"Advance"))</f>
        <v/>
      </c>
      <c r="L152" s="29" t="str">
        <f aca="false">IF(OR($I152="",$I152="?",$B152=""),"",SUMPRODUCT((Weeks!$A$6:$A$58&lt;=$J152)*(Weeks!$Z$4:$AK$4=$I152)*Weeks!$Z$6:$AK$58)-SUMIFS($E$6:$E$1005,$I$6:$I$1005,$I152,$B$6:$B$1005,"&lt;="&amp;$B152))</f>
        <v/>
      </c>
      <c r="M152" s="19" t="str">
        <f aca="false">IF($B152&amp;$C152&amp;$D152&amp;$E152="","",IF($B152="","missing date",IF($C152="","missing worker",IF($I152="?","unknown worker - was the name changed on Workers?",IF($D152="","missing type",IF(N($E152)=0,"missing amount",IF(AND($E152&lt;0,$D152&lt;&gt;"Correction"),"negative amount - use a Correction to undo",IF(OR($B152&lt;Weeks!$A$6,$B152&gt;Weeks!$B$58),"date outside this workbook's year",IF(AND($D152="Advance",N($L152)&lt;0),"Warning: more than earned so far - worker now owes "&amp;ROUND(-$L152,0),"")))))))))</f>
        <v/>
      </c>
    </row>
    <row r="153" customFormat="false" ht="15" hidden="false" customHeight="false" outlineLevel="0" collapsed="false">
      <c r="A153" s="24" t="str">
        <f aca="false">IF($B153="","",ROW()-5)</f>
        <v/>
      </c>
      <c r="B153" s="25"/>
      <c r="C153" s="20"/>
      <c r="D153" s="26"/>
      <c r="E153" s="27"/>
      <c r="F153" s="20"/>
      <c r="G153" s="20"/>
      <c r="H153" s="26"/>
      <c r="I153" s="24" t="str">
        <f aca="false">IF($C153="","",IFERROR(INDEX(WorkerIDs,MATCH($C153,WorkerNames,0)),"?"))</f>
        <v/>
      </c>
      <c r="J153" s="18" t="str">
        <f aca="false">IF($B153="","",$B153-WEEKDAY($B153,2)+1)</f>
        <v/>
      </c>
      <c r="K153" s="28" t="str">
        <f aca="false">IF(OR($I153="",$I153="?",$D153&lt;&gt;"Advance",$B153=""),"",$I153&amp;"|"&amp;$J153&amp;"|"&amp;COUNTIFS($I$6:$I153,$I153,$J$6:$J153,$J153,$D$6:$D153,"Advance"))</f>
        <v/>
      </c>
      <c r="L153" s="29" t="str">
        <f aca="false">IF(OR($I153="",$I153="?",$B153=""),"",SUMPRODUCT((Weeks!$A$6:$A$58&lt;=$J153)*(Weeks!$Z$4:$AK$4=$I153)*Weeks!$Z$6:$AK$58)-SUMIFS($E$6:$E$1005,$I$6:$I$1005,$I153,$B$6:$B$1005,"&lt;="&amp;$B153))</f>
        <v/>
      </c>
      <c r="M153" s="19" t="str">
        <f aca="false">IF($B153&amp;$C153&amp;$D153&amp;$E153="","",IF($B153="","missing date",IF($C153="","missing worker",IF($I153="?","unknown worker - was the name changed on Workers?",IF($D153="","missing type",IF(N($E153)=0,"missing amount",IF(AND($E153&lt;0,$D153&lt;&gt;"Correction"),"negative amount - use a Correction to undo",IF(OR($B153&lt;Weeks!$A$6,$B153&gt;Weeks!$B$58),"date outside this workbook's year",IF(AND($D153="Advance",N($L153)&lt;0),"Warning: more than earned so far - worker now owes "&amp;ROUND(-$L153,0),"")))))))))</f>
        <v/>
      </c>
    </row>
    <row r="154" customFormat="false" ht="15" hidden="false" customHeight="false" outlineLevel="0" collapsed="false">
      <c r="A154" s="24" t="str">
        <f aca="false">IF($B154="","",ROW()-5)</f>
        <v/>
      </c>
      <c r="B154" s="25"/>
      <c r="C154" s="20"/>
      <c r="D154" s="26"/>
      <c r="E154" s="27"/>
      <c r="F154" s="20"/>
      <c r="G154" s="20"/>
      <c r="H154" s="26"/>
      <c r="I154" s="24" t="str">
        <f aca="false">IF($C154="","",IFERROR(INDEX(WorkerIDs,MATCH($C154,WorkerNames,0)),"?"))</f>
        <v/>
      </c>
      <c r="J154" s="18" t="str">
        <f aca="false">IF($B154="","",$B154-WEEKDAY($B154,2)+1)</f>
        <v/>
      </c>
      <c r="K154" s="28" t="str">
        <f aca="false">IF(OR($I154="",$I154="?",$D154&lt;&gt;"Advance",$B154=""),"",$I154&amp;"|"&amp;$J154&amp;"|"&amp;COUNTIFS($I$6:$I154,$I154,$J$6:$J154,$J154,$D$6:$D154,"Advance"))</f>
        <v/>
      </c>
      <c r="L154" s="29" t="str">
        <f aca="false">IF(OR($I154="",$I154="?",$B154=""),"",SUMPRODUCT((Weeks!$A$6:$A$58&lt;=$J154)*(Weeks!$Z$4:$AK$4=$I154)*Weeks!$Z$6:$AK$58)-SUMIFS($E$6:$E$1005,$I$6:$I$1005,$I154,$B$6:$B$1005,"&lt;="&amp;$B154))</f>
        <v/>
      </c>
      <c r="M154" s="19" t="str">
        <f aca="false">IF($B154&amp;$C154&amp;$D154&amp;$E154="","",IF($B154="","missing date",IF($C154="","missing worker",IF($I154="?","unknown worker - was the name changed on Workers?",IF($D154="","missing type",IF(N($E154)=0,"missing amount",IF(AND($E154&lt;0,$D154&lt;&gt;"Correction"),"negative amount - use a Correction to undo",IF(OR($B154&lt;Weeks!$A$6,$B154&gt;Weeks!$B$58),"date outside this workbook's year",IF(AND($D154="Advance",N($L154)&lt;0),"Warning: more than earned so far - worker now owes "&amp;ROUND(-$L154,0),"")))))))))</f>
        <v/>
      </c>
    </row>
    <row r="155" customFormat="false" ht="15" hidden="false" customHeight="false" outlineLevel="0" collapsed="false">
      <c r="A155" s="24" t="str">
        <f aca="false">IF($B155="","",ROW()-5)</f>
        <v/>
      </c>
      <c r="B155" s="25"/>
      <c r="C155" s="20"/>
      <c r="D155" s="26"/>
      <c r="E155" s="27"/>
      <c r="F155" s="20"/>
      <c r="G155" s="20"/>
      <c r="H155" s="26"/>
      <c r="I155" s="24" t="str">
        <f aca="false">IF($C155="","",IFERROR(INDEX(WorkerIDs,MATCH($C155,WorkerNames,0)),"?"))</f>
        <v/>
      </c>
      <c r="J155" s="18" t="str">
        <f aca="false">IF($B155="","",$B155-WEEKDAY($B155,2)+1)</f>
        <v/>
      </c>
      <c r="K155" s="28" t="str">
        <f aca="false">IF(OR($I155="",$I155="?",$D155&lt;&gt;"Advance",$B155=""),"",$I155&amp;"|"&amp;$J155&amp;"|"&amp;COUNTIFS($I$6:$I155,$I155,$J$6:$J155,$J155,$D$6:$D155,"Advance"))</f>
        <v/>
      </c>
      <c r="L155" s="29" t="str">
        <f aca="false">IF(OR($I155="",$I155="?",$B155=""),"",SUMPRODUCT((Weeks!$A$6:$A$58&lt;=$J155)*(Weeks!$Z$4:$AK$4=$I155)*Weeks!$Z$6:$AK$58)-SUMIFS($E$6:$E$1005,$I$6:$I$1005,$I155,$B$6:$B$1005,"&lt;="&amp;$B155))</f>
        <v/>
      </c>
      <c r="M155" s="19" t="str">
        <f aca="false">IF($B155&amp;$C155&amp;$D155&amp;$E155="","",IF($B155="","missing date",IF($C155="","missing worker",IF($I155="?","unknown worker - was the name changed on Workers?",IF($D155="","missing type",IF(N($E155)=0,"missing amount",IF(AND($E155&lt;0,$D155&lt;&gt;"Correction"),"negative amount - use a Correction to undo",IF(OR($B155&lt;Weeks!$A$6,$B155&gt;Weeks!$B$58),"date outside this workbook's year",IF(AND($D155="Advance",N($L155)&lt;0),"Warning: more than earned so far - worker now owes "&amp;ROUND(-$L155,0),"")))))))))</f>
        <v/>
      </c>
    </row>
    <row r="156" customFormat="false" ht="15" hidden="false" customHeight="false" outlineLevel="0" collapsed="false">
      <c r="A156" s="24" t="str">
        <f aca="false">IF($B156="","",ROW()-5)</f>
        <v/>
      </c>
      <c r="B156" s="25"/>
      <c r="C156" s="20"/>
      <c r="D156" s="26"/>
      <c r="E156" s="27"/>
      <c r="F156" s="20"/>
      <c r="G156" s="20"/>
      <c r="H156" s="26"/>
      <c r="I156" s="24" t="str">
        <f aca="false">IF($C156="","",IFERROR(INDEX(WorkerIDs,MATCH($C156,WorkerNames,0)),"?"))</f>
        <v/>
      </c>
      <c r="J156" s="18" t="str">
        <f aca="false">IF($B156="","",$B156-WEEKDAY($B156,2)+1)</f>
        <v/>
      </c>
      <c r="K156" s="28" t="str">
        <f aca="false">IF(OR($I156="",$I156="?",$D156&lt;&gt;"Advance",$B156=""),"",$I156&amp;"|"&amp;$J156&amp;"|"&amp;COUNTIFS($I$6:$I156,$I156,$J$6:$J156,$J156,$D$6:$D156,"Advance"))</f>
        <v/>
      </c>
      <c r="L156" s="29" t="str">
        <f aca="false">IF(OR($I156="",$I156="?",$B156=""),"",SUMPRODUCT((Weeks!$A$6:$A$58&lt;=$J156)*(Weeks!$Z$4:$AK$4=$I156)*Weeks!$Z$6:$AK$58)-SUMIFS($E$6:$E$1005,$I$6:$I$1005,$I156,$B$6:$B$1005,"&lt;="&amp;$B156))</f>
        <v/>
      </c>
      <c r="M156" s="19" t="str">
        <f aca="false">IF($B156&amp;$C156&amp;$D156&amp;$E156="","",IF($B156="","missing date",IF($C156="","missing worker",IF($I156="?","unknown worker - was the name changed on Workers?",IF($D156="","missing type",IF(N($E156)=0,"missing amount",IF(AND($E156&lt;0,$D156&lt;&gt;"Correction"),"negative amount - use a Correction to undo",IF(OR($B156&lt;Weeks!$A$6,$B156&gt;Weeks!$B$58),"date outside this workbook's year",IF(AND($D156="Advance",N($L156)&lt;0),"Warning: more than earned so far - worker now owes "&amp;ROUND(-$L156,0),"")))))))))</f>
        <v/>
      </c>
    </row>
    <row r="157" customFormat="false" ht="15" hidden="false" customHeight="false" outlineLevel="0" collapsed="false">
      <c r="A157" s="24" t="str">
        <f aca="false">IF($B157="","",ROW()-5)</f>
        <v/>
      </c>
      <c r="B157" s="25"/>
      <c r="C157" s="20"/>
      <c r="D157" s="26"/>
      <c r="E157" s="27"/>
      <c r="F157" s="20"/>
      <c r="G157" s="20"/>
      <c r="H157" s="26"/>
      <c r="I157" s="24" t="str">
        <f aca="false">IF($C157="","",IFERROR(INDEX(WorkerIDs,MATCH($C157,WorkerNames,0)),"?"))</f>
        <v/>
      </c>
      <c r="J157" s="18" t="str">
        <f aca="false">IF($B157="","",$B157-WEEKDAY($B157,2)+1)</f>
        <v/>
      </c>
      <c r="K157" s="28" t="str">
        <f aca="false">IF(OR($I157="",$I157="?",$D157&lt;&gt;"Advance",$B157=""),"",$I157&amp;"|"&amp;$J157&amp;"|"&amp;COUNTIFS($I$6:$I157,$I157,$J$6:$J157,$J157,$D$6:$D157,"Advance"))</f>
        <v/>
      </c>
      <c r="L157" s="29" t="str">
        <f aca="false">IF(OR($I157="",$I157="?",$B157=""),"",SUMPRODUCT((Weeks!$A$6:$A$58&lt;=$J157)*(Weeks!$Z$4:$AK$4=$I157)*Weeks!$Z$6:$AK$58)-SUMIFS($E$6:$E$1005,$I$6:$I$1005,$I157,$B$6:$B$1005,"&lt;="&amp;$B157))</f>
        <v/>
      </c>
      <c r="M157" s="19" t="str">
        <f aca="false">IF($B157&amp;$C157&amp;$D157&amp;$E157="","",IF($B157="","missing date",IF($C157="","missing worker",IF($I157="?","unknown worker - was the name changed on Workers?",IF($D157="","missing type",IF(N($E157)=0,"missing amount",IF(AND($E157&lt;0,$D157&lt;&gt;"Correction"),"negative amount - use a Correction to undo",IF(OR($B157&lt;Weeks!$A$6,$B157&gt;Weeks!$B$58),"date outside this workbook's year",IF(AND($D157="Advance",N($L157)&lt;0),"Warning: more than earned so far - worker now owes "&amp;ROUND(-$L157,0),"")))))))))</f>
        <v/>
      </c>
    </row>
    <row r="158" customFormat="false" ht="15" hidden="false" customHeight="false" outlineLevel="0" collapsed="false">
      <c r="A158" s="24" t="str">
        <f aca="false">IF($B158="","",ROW()-5)</f>
        <v/>
      </c>
      <c r="B158" s="25"/>
      <c r="C158" s="20"/>
      <c r="D158" s="26"/>
      <c r="E158" s="27"/>
      <c r="F158" s="20"/>
      <c r="G158" s="20"/>
      <c r="H158" s="26"/>
      <c r="I158" s="24" t="str">
        <f aca="false">IF($C158="","",IFERROR(INDEX(WorkerIDs,MATCH($C158,WorkerNames,0)),"?"))</f>
        <v/>
      </c>
      <c r="J158" s="18" t="str">
        <f aca="false">IF($B158="","",$B158-WEEKDAY($B158,2)+1)</f>
        <v/>
      </c>
      <c r="K158" s="28" t="str">
        <f aca="false">IF(OR($I158="",$I158="?",$D158&lt;&gt;"Advance",$B158=""),"",$I158&amp;"|"&amp;$J158&amp;"|"&amp;COUNTIFS($I$6:$I158,$I158,$J$6:$J158,$J158,$D$6:$D158,"Advance"))</f>
        <v/>
      </c>
      <c r="L158" s="29" t="str">
        <f aca="false">IF(OR($I158="",$I158="?",$B158=""),"",SUMPRODUCT((Weeks!$A$6:$A$58&lt;=$J158)*(Weeks!$Z$4:$AK$4=$I158)*Weeks!$Z$6:$AK$58)-SUMIFS($E$6:$E$1005,$I$6:$I$1005,$I158,$B$6:$B$1005,"&lt;="&amp;$B158))</f>
        <v/>
      </c>
      <c r="M158" s="19" t="str">
        <f aca="false">IF($B158&amp;$C158&amp;$D158&amp;$E158="","",IF($B158="","missing date",IF($C158="","missing worker",IF($I158="?","unknown worker - was the name changed on Workers?",IF($D158="","missing type",IF(N($E158)=0,"missing amount",IF(AND($E158&lt;0,$D158&lt;&gt;"Correction"),"negative amount - use a Correction to undo",IF(OR($B158&lt;Weeks!$A$6,$B158&gt;Weeks!$B$58),"date outside this workbook's year",IF(AND($D158="Advance",N($L158)&lt;0),"Warning: more than earned so far - worker now owes "&amp;ROUND(-$L158,0),"")))))))))</f>
        <v/>
      </c>
    </row>
    <row r="159" customFormat="false" ht="15" hidden="false" customHeight="false" outlineLevel="0" collapsed="false">
      <c r="A159" s="24" t="str">
        <f aca="false">IF($B159="","",ROW()-5)</f>
        <v/>
      </c>
      <c r="B159" s="25"/>
      <c r="C159" s="20"/>
      <c r="D159" s="26"/>
      <c r="E159" s="27"/>
      <c r="F159" s="20"/>
      <c r="G159" s="20"/>
      <c r="H159" s="26"/>
      <c r="I159" s="24" t="str">
        <f aca="false">IF($C159="","",IFERROR(INDEX(WorkerIDs,MATCH($C159,WorkerNames,0)),"?"))</f>
        <v/>
      </c>
      <c r="J159" s="18" t="str">
        <f aca="false">IF($B159="","",$B159-WEEKDAY($B159,2)+1)</f>
        <v/>
      </c>
      <c r="K159" s="28" t="str">
        <f aca="false">IF(OR($I159="",$I159="?",$D159&lt;&gt;"Advance",$B159=""),"",$I159&amp;"|"&amp;$J159&amp;"|"&amp;COUNTIFS($I$6:$I159,$I159,$J$6:$J159,$J159,$D$6:$D159,"Advance"))</f>
        <v/>
      </c>
      <c r="L159" s="29" t="str">
        <f aca="false">IF(OR($I159="",$I159="?",$B159=""),"",SUMPRODUCT((Weeks!$A$6:$A$58&lt;=$J159)*(Weeks!$Z$4:$AK$4=$I159)*Weeks!$Z$6:$AK$58)-SUMIFS($E$6:$E$1005,$I$6:$I$1005,$I159,$B$6:$B$1005,"&lt;="&amp;$B159))</f>
        <v/>
      </c>
      <c r="M159" s="19" t="str">
        <f aca="false">IF($B159&amp;$C159&amp;$D159&amp;$E159="","",IF($B159="","missing date",IF($C159="","missing worker",IF($I159="?","unknown worker - was the name changed on Workers?",IF($D159="","missing type",IF(N($E159)=0,"missing amount",IF(AND($E159&lt;0,$D159&lt;&gt;"Correction"),"negative amount - use a Correction to undo",IF(OR($B159&lt;Weeks!$A$6,$B159&gt;Weeks!$B$58),"date outside this workbook's year",IF(AND($D159="Advance",N($L159)&lt;0),"Warning: more than earned so far - worker now owes "&amp;ROUND(-$L159,0),"")))))))))</f>
        <v/>
      </c>
    </row>
    <row r="160" customFormat="false" ht="15" hidden="false" customHeight="false" outlineLevel="0" collapsed="false">
      <c r="A160" s="24" t="str">
        <f aca="false">IF($B160="","",ROW()-5)</f>
        <v/>
      </c>
      <c r="B160" s="25"/>
      <c r="C160" s="20"/>
      <c r="D160" s="26"/>
      <c r="E160" s="27"/>
      <c r="F160" s="20"/>
      <c r="G160" s="20"/>
      <c r="H160" s="26"/>
      <c r="I160" s="24" t="str">
        <f aca="false">IF($C160="","",IFERROR(INDEX(WorkerIDs,MATCH($C160,WorkerNames,0)),"?"))</f>
        <v/>
      </c>
      <c r="J160" s="18" t="str">
        <f aca="false">IF($B160="","",$B160-WEEKDAY($B160,2)+1)</f>
        <v/>
      </c>
      <c r="K160" s="28" t="str">
        <f aca="false">IF(OR($I160="",$I160="?",$D160&lt;&gt;"Advance",$B160=""),"",$I160&amp;"|"&amp;$J160&amp;"|"&amp;COUNTIFS($I$6:$I160,$I160,$J$6:$J160,$J160,$D$6:$D160,"Advance"))</f>
        <v/>
      </c>
      <c r="L160" s="29" t="str">
        <f aca="false">IF(OR($I160="",$I160="?",$B160=""),"",SUMPRODUCT((Weeks!$A$6:$A$58&lt;=$J160)*(Weeks!$Z$4:$AK$4=$I160)*Weeks!$Z$6:$AK$58)-SUMIFS($E$6:$E$1005,$I$6:$I$1005,$I160,$B$6:$B$1005,"&lt;="&amp;$B160))</f>
        <v/>
      </c>
      <c r="M160" s="19" t="str">
        <f aca="false">IF($B160&amp;$C160&amp;$D160&amp;$E160="","",IF($B160="","missing date",IF($C160="","missing worker",IF($I160="?","unknown worker - was the name changed on Workers?",IF($D160="","missing type",IF(N($E160)=0,"missing amount",IF(AND($E160&lt;0,$D160&lt;&gt;"Correction"),"negative amount - use a Correction to undo",IF(OR($B160&lt;Weeks!$A$6,$B160&gt;Weeks!$B$58),"date outside this workbook's year",IF(AND($D160="Advance",N($L160)&lt;0),"Warning: more than earned so far - worker now owes "&amp;ROUND(-$L160,0),"")))))))))</f>
        <v/>
      </c>
    </row>
    <row r="161" customFormat="false" ht="15" hidden="false" customHeight="false" outlineLevel="0" collapsed="false">
      <c r="A161" s="24" t="str">
        <f aca="false">IF($B161="","",ROW()-5)</f>
        <v/>
      </c>
      <c r="B161" s="25"/>
      <c r="C161" s="20"/>
      <c r="D161" s="26"/>
      <c r="E161" s="27"/>
      <c r="F161" s="20"/>
      <c r="G161" s="20"/>
      <c r="H161" s="26"/>
      <c r="I161" s="24" t="str">
        <f aca="false">IF($C161="","",IFERROR(INDEX(WorkerIDs,MATCH($C161,WorkerNames,0)),"?"))</f>
        <v/>
      </c>
      <c r="J161" s="18" t="str">
        <f aca="false">IF($B161="","",$B161-WEEKDAY($B161,2)+1)</f>
        <v/>
      </c>
      <c r="K161" s="28" t="str">
        <f aca="false">IF(OR($I161="",$I161="?",$D161&lt;&gt;"Advance",$B161=""),"",$I161&amp;"|"&amp;$J161&amp;"|"&amp;COUNTIFS($I$6:$I161,$I161,$J$6:$J161,$J161,$D$6:$D161,"Advance"))</f>
        <v/>
      </c>
      <c r="L161" s="29" t="str">
        <f aca="false">IF(OR($I161="",$I161="?",$B161=""),"",SUMPRODUCT((Weeks!$A$6:$A$58&lt;=$J161)*(Weeks!$Z$4:$AK$4=$I161)*Weeks!$Z$6:$AK$58)-SUMIFS($E$6:$E$1005,$I$6:$I$1005,$I161,$B$6:$B$1005,"&lt;="&amp;$B161))</f>
        <v/>
      </c>
      <c r="M161" s="19" t="str">
        <f aca="false">IF($B161&amp;$C161&amp;$D161&amp;$E161="","",IF($B161="","missing date",IF($C161="","missing worker",IF($I161="?","unknown worker - was the name changed on Workers?",IF($D161="","missing type",IF(N($E161)=0,"missing amount",IF(AND($E161&lt;0,$D161&lt;&gt;"Correction"),"negative amount - use a Correction to undo",IF(OR($B161&lt;Weeks!$A$6,$B161&gt;Weeks!$B$58),"date outside this workbook's year",IF(AND($D161="Advance",N($L161)&lt;0),"Warning: more than earned so far - worker now owes "&amp;ROUND(-$L161,0),"")))))))))</f>
        <v/>
      </c>
    </row>
    <row r="162" customFormat="false" ht="15" hidden="false" customHeight="false" outlineLevel="0" collapsed="false">
      <c r="A162" s="24" t="str">
        <f aca="false">IF($B162="","",ROW()-5)</f>
        <v/>
      </c>
      <c r="B162" s="25"/>
      <c r="C162" s="20"/>
      <c r="D162" s="26"/>
      <c r="E162" s="27"/>
      <c r="F162" s="20"/>
      <c r="G162" s="20"/>
      <c r="H162" s="26"/>
      <c r="I162" s="24" t="str">
        <f aca="false">IF($C162="","",IFERROR(INDEX(WorkerIDs,MATCH($C162,WorkerNames,0)),"?"))</f>
        <v/>
      </c>
      <c r="J162" s="18" t="str">
        <f aca="false">IF($B162="","",$B162-WEEKDAY($B162,2)+1)</f>
        <v/>
      </c>
      <c r="K162" s="28" t="str">
        <f aca="false">IF(OR($I162="",$I162="?",$D162&lt;&gt;"Advance",$B162=""),"",$I162&amp;"|"&amp;$J162&amp;"|"&amp;COUNTIFS($I$6:$I162,$I162,$J$6:$J162,$J162,$D$6:$D162,"Advance"))</f>
        <v/>
      </c>
      <c r="L162" s="29" t="str">
        <f aca="false">IF(OR($I162="",$I162="?",$B162=""),"",SUMPRODUCT((Weeks!$A$6:$A$58&lt;=$J162)*(Weeks!$Z$4:$AK$4=$I162)*Weeks!$Z$6:$AK$58)-SUMIFS($E$6:$E$1005,$I$6:$I$1005,$I162,$B$6:$B$1005,"&lt;="&amp;$B162))</f>
        <v/>
      </c>
      <c r="M162" s="19" t="str">
        <f aca="false">IF($B162&amp;$C162&amp;$D162&amp;$E162="","",IF($B162="","missing date",IF($C162="","missing worker",IF($I162="?","unknown worker - was the name changed on Workers?",IF($D162="","missing type",IF(N($E162)=0,"missing amount",IF(AND($E162&lt;0,$D162&lt;&gt;"Correction"),"negative amount - use a Correction to undo",IF(OR($B162&lt;Weeks!$A$6,$B162&gt;Weeks!$B$58),"date outside this workbook's year",IF(AND($D162="Advance",N($L162)&lt;0),"Warning: more than earned so far - worker now owes "&amp;ROUND(-$L162,0),"")))))))))</f>
        <v/>
      </c>
    </row>
    <row r="163" customFormat="false" ht="15" hidden="false" customHeight="false" outlineLevel="0" collapsed="false">
      <c r="A163" s="24" t="str">
        <f aca="false">IF($B163="","",ROW()-5)</f>
        <v/>
      </c>
      <c r="B163" s="25"/>
      <c r="C163" s="20"/>
      <c r="D163" s="26"/>
      <c r="E163" s="27"/>
      <c r="F163" s="20"/>
      <c r="G163" s="20"/>
      <c r="H163" s="26"/>
      <c r="I163" s="24" t="str">
        <f aca="false">IF($C163="","",IFERROR(INDEX(WorkerIDs,MATCH($C163,WorkerNames,0)),"?"))</f>
        <v/>
      </c>
      <c r="J163" s="18" t="str">
        <f aca="false">IF($B163="","",$B163-WEEKDAY($B163,2)+1)</f>
        <v/>
      </c>
      <c r="K163" s="28" t="str">
        <f aca="false">IF(OR($I163="",$I163="?",$D163&lt;&gt;"Advance",$B163=""),"",$I163&amp;"|"&amp;$J163&amp;"|"&amp;COUNTIFS($I$6:$I163,$I163,$J$6:$J163,$J163,$D$6:$D163,"Advance"))</f>
        <v/>
      </c>
      <c r="L163" s="29" t="str">
        <f aca="false">IF(OR($I163="",$I163="?",$B163=""),"",SUMPRODUCT((Weeks!$A$6:$A$58&lt;=$J163)*(Weeks!$Z$4:$AK$4=$I163)*Weeks!$Z$6:$AK$58)-SUMIFS($E$6:$E$1005,$I$6:$I$1005,$I163,$B$6:$B$1005,"&lt;="&amp;$B163))</f>
        <v/>
      </c>
      <c r="M163" s="19" t="str">
        <f aca="false">IF($B163&amp;$C163&amp;$D163&amp;$E163="","",IF($B163="","missing date",IF($C163="","missing worker",IF($I163="?","unknown worker - was the name changed on Workers?",IF($D163="","missing type",IF(N($E163)=0,"missing amount",IF(AND($E163&lt;0,$D163&lt;&gt;"Correction"),"negative amount - use a Correction to undo",IF(OR($B163&lt;Weeks!$A$6,$B163&gt;Weeks!$B$58),"date outside this workbook's year",IF(AND($D163="Advance",N($L163)&lt;0),"Warning: more than earned so far - worker now owes "&amp;ROUND(-$L163,0),"")))))))))</f>
        <v/>
      </c>
    </row>
    <row r="164" customFormat="false" ht="15" hidden="false" customHeight="false" outlineLevel="0" collapsed="false">
      <c r="A164" s="24" t="str">
        <f aca="false">IF($B164="","",ROW()-5)</f>
        <v/>
      </c>
      <c r="B164" s="25"/>
      <c r="C164" s="20"/>
      <c r="D164" s="26"/>
      <c r="E164" s="27"/>
      <c r="F164" s="20"/>
      <c r="G164" s="20"/>
      <c r="H164" s="26"/>
      <c r="I164" s="24" t="str">
        <f aca="false">IF($C164="","",IFERROR(INDEX(WorkerIDs,MATCH($C164,WorkerNames,0)),"?"))</f>
        <v/>
      </c>
      <c r="J164" s="18" t="str">
        <f aca="false">IF($B164="","",$B164-WEEKDAY($B164,2)+1)</f>
        <v/>
      </c>
      <c r="K164" s="28" t="str">
        <f aca="false">IF(OR($I164="",$I164="?",$D164&lt;&gt;"Advance",$B164=""),"",$I164&amp;"|"&amp;$J164&amp;"|"&amp;COUNTIFS($I$6:$I164,$I164,$J$6:$J164,$J164,$D$6:$D164,"Advance"))</f>
        <v/>
      </c>
      <c r="L164" s="29" t="str">
        <f aca="false">IF(OR($I164="",$I164="?",$B164=""),"",SUMPRODUCT((Weeks!$A$6:$A$58&lt;=$J164)*(Weeks!$Z$4:$AK$4=$I164)*Weeks!$Z$6:$AK$58)-SUMIFS($E$6:$E$1005,$I$6:$I$1005,$I164,$B$6:$B$1005,"&lt;="&amp;$B164))</f>
        <v/>
      </c>
      <c r="M164" s="19" t="str">
        <f aca="false">IF($B164&amp;$C164&amp;$D164&amp;$E164="","",IF($B164="","missing date",IF($C164="","missing worker",IF($I164="?","unknown worker - was the name changed on Workers?",IF($D164="","missing type",IF(N($E164)=0,"missing amount",IF(AND($E164&lt;0,$D164&lt;&gt;"Correction"),"negative amount - use a Correction to undo",IF(OR($B164&lt;Weeks!$A$6,$B164&gt;Weeks!$B$58),"date outside this workbook's year",IF(AND($D164="Advance",N($L164)&lt;0),"Warning: more than earned so far - worker now owes "&amp;ROUND(-$L164,0),"")))))))))</f>
        <v/>
      </c>
    </row>
    <row r="165" customFormat="false" ht="15" hidden="false" customHeight="false" outlineLevel="0" collapsed="false">
      <c r="A165" s="24" t="str">
        <f aca="false">IF($B165="","",ROW()-5)</f>
        <v/>
      </c>
      <c r="B165" s="25"/>
      <c r="C165" s="20"/>
      <c r="D165" s="26"/>
      <c r="E165" s="27"/>
      <c r="F165" s="20"/>
      <c r="G165" s="20"/>
      <c r="H165" s="26"/>
      <c r="I165" s="24" t="str">
        <f aca="false">IF($C165="","",IFERROR(INDEX(WorkerIDs,MATCH($C165,WorkerNames,0)),"?"))</f>
        <v/>
      </c>
      <c r="J165" s="18" t="str">
        <f aca="false">IF($B165="","",$B165-WEEKDAY($B165,2)+1)</f>
        <v/>
      </c>
      <c r="K165" s="28" t="str">
        <f aca="false">IF(OR($I165="",$I165="?",$D165&lt;&gt;"Advance",$B165=""),"",$I165&amp;"|"&amp;$J165&amp;"|"&amp;COUNTIFS($I$6:$I165,$I165,$J$6:$J165,$J165,$D$6:$D165,"Advance"))</f>
        <v/>
      </c>
      <c r="L165" s="29" t="str">
        <f aca="false">IF(OR($I165="",$I165="?",$B165=""),"",SUMPRODUCT((Weeks!$A$6:$A$58&lt;=$J165)*(Weeks!$Z$4:$AK$4=$I165)*Weeks!$Z$6:$AK$58)-SUMIFS($E$6:$E$1005,$I$6:$I$1005,$I165,$B$6:$B$1005,"&lt;="&amp;$B165))</f>
        <v/>
      </c>
      <c r="M165" s="19" t="str">
        <f aca="false">IF($B165&amp;$C165&amp;$D165&amp;$E165="","",IF($B165="","missing date",IF($C165="","missing worker",IF($I165="?","unknown worker - was the name changed on Workers?",IF($D165="","missing type",IF(N($E165)=0,"missing amount",IF(AND($E165&lt;0,$D165&lt;&gt;"Correction"),"negative amount - use a Correction to undo",IF(OR($B165&lt;Weeks!$A$6,$B165&gt;Weeks!$B$58),"date outside this workbook's year",IF(AND($D165="Advance",N($L165)&lt;0),"Warning: more than earned so far - worker now owes "&amp;ROUND(-$L165,0),"")))))))))</f>
        <v/>
      </c>
    </row>
    <row r="166" customFormat="false" ht="15" hidden="false" customHeight="false" outlineLevel="0" collapsed="false">
      <c r="A166" s="24" t="str">
        <f aca="false">IF($B166="","",ROW()-5)</f>
        <v/>
      </c>
      <c r="B166" s="25"/>
      <c r="C166" s="20"/>
      <c r="D166" s="26"/>
      <c r="E166" s="27"/>
      <c r="F166" s="20"/>
      <c r="G166" s="20"/>
      <c r="H166" s="26"/>
      <c r="I166" s="24" t="str">
        <f aca="false">IF($C166="","",IFERROR(INDEX(WorkerIDs,MATCH($C166,WorkerNames,0)),"?"))</f>
        <v/>
      </c>
      <c r="J166" s="18" t="str">
        <f aca="false">IF($B166="","",$B166-WEEKDAY($B166,2)+1)</f>
        <v/>
      </c>
      <c r="K166" s="28" t="str">
        <f aca="false">IF(OR($I166="",$I166="?",$D166&lt;&gt;"Advance",$B166=""),"",$I166&amp;"|"&amp;$J166&amp;"|"&amp;COUNTIFS($I$6:$I166,$I166,$J$6:$J166,$J166,$D$6:$D166,"Advance"))</f>
        <v/>
      </c>
      <c r="L166" s="29" t="str">
        <f aca="false">IF(OR($I166="",$I166="?",$B166=""),"",SUMPRODUCT((Weeks!$A$6:$A$58&lt;=$J166)*(Weeks!$Z$4:$AK$4=$I166)*Weeks!$Z$6:$AK$58)-SUMIFS($E$6:$E$1005,$I$6:$I$1005,$I166,$B$6:$B$1005,"&lt;="&amp;$B166))</f>
        <v/>
      </c>
      <c r="M166" s="19" t="str">
        <f aca="false">IF($B166&amp;$C166&amp;$D166&amp;$E166="","",IF($B166="","missing date",IF($C166="","missing worker",IF($I166="?","unknown worker - was the name changed on Workers?",IF($D166="","missing type",IF(N($E166)=0,"missing amount",IF(AND($E166&lt;0,$D166&lt;&gt;"Correction"),"negative amount - use a Correction to undo",IF(OR($B166&lt;Weeks!$A$6,$B166&gt;Weeks!$B$58),"date outside this workbook's year",IF(AND($D166="Advance",N($L166)&lt;0),"Warning: more than earned so far - worker now owes "&amp;ROUND(-$L166,0),"")))))))))</f>
        <v/>
      </c>
    </row>
    <row r="167" customFormat="false" ht="15" hidden="false" customHeight="false" outlineLevel="0" collapsed="false">
      <c r="A167" s="24" t="str">
        <f aca="false">IF($B167="","",ROW()-5)</f>
        <v/>
      </c>
      <c r="B167" s="25"/>
      <c r="C167" s="20"/>
      <c r="D167" s="26"/>
      <c r="E167" s="27"/>
      <c r="F167" s="20"/>
      <c r="G167" s="20"/>
      <c r="H167" s="26"/>
      <c r="I167" s="24" t="str">
        <f aca="false">IF($C167="","",IFERROR(INDEX(WorkerIDs,MATCH($C167,WorkerNames,0)),"?"))</f>
        <v/>
      </c>
      <c r="J167" s="18" t="str">
        <f aca="false">IF($B167="","",$B167-WEEKDAY($B167,2)+1)</f>
        <v/>
      </c>
      <c r="K167" s="28" t="str">
        <f aca="false">IF(OR($I167="",$I167="?",$D167&lt;&gt;"Advance",$B167=""),"",$I167&amp;"|"&amp;$J167&amp;"|"&amp;COUNTIFS($I$6:$I167,$I167,$J$6:$J167,$J167,$D$6:$D167,"Advance"))</f>
        <v/>
      </c>
      <c r="L167" s="29" t="str">
        <f aca="false">IF(OR($I167="",$I167="?",$B167=""),"",SUMPRODUCT((Weeks!$A$6:$A$58&lt;=$J167)*(Weeks!$Z$4:$AK$4=$I167)*Weeks!$Z$6:$AK$58)-SUMIFS($E$6:$E$1005,$I$6:$I$1005,$I167,$B$6:$B$1005,"&lt;="&amp;$B167))</f>
        <v/>
      </c>
      <c r="M167" s="19" t="str">
        <f aca="false">IF($B167&amp;$C167&amp;$D167&amp;$E167="","",IF($B167="","missing date",IF($C167="","missing worker",IF($I167="?","unknown worker - was the name changed on Workers?",IF($D167="","missing type",IF(N($E167)=0,"missing amount",IF(AND($E167&lt;0,$D167&lt;&gt;"Correction"),"negative amount - use a Correction to undo",IF(OR($B167&lt;Weeks!$A$6,$B167&gt;Weeks!$B$58),"date outside this workbook's year",IF(AND($D167="Advance",N($L167)&lt;0),"Warning: more than earned so far - worker now owes "&amp;ROUND(-$L167,0),"")))))))))</f>
        <v/>
      </c>
    </row>
    <row r="168" customFormat="false" ht="15" hidden="false" customHeight="false" outlineLevel="0" collapsed="false">
      <c r="A168" s="24" t="str">
        <f aca="false">IF($B168="","",ROW()-5)</f>
        <v/>
      </c>
      <c r="B168" s="25"/>
      <c r="C168" s="20"/>
      <c r="D168" s="26"/>
      <c r="E168" s="27"/>
      <c r="F168" s="20"/>
      <c r="G168" s="20"/>
      <c r="H168" s="26"/>
      <c r="I168" s="24" t="str">
        <f aca="false">IF($C168="","",IFERROR(INDEX(WorkerIDs,MATCH($C168,WorkerNames,0)),"?"))</f>
        <v/>
      </c>
      <c r="J168" s="18" t="str">
        <f aca="false">IF($B168="","",$B168-WEEKDAY($B168,2)+1)</f>
        <v/>
      </c>
      <c r="K168" s="28" t="str">
        <f aca="false">IF(OR($I168="",$I168="?",$D168&lt;&gt;"Advance",$B168=""),"",$I168&amp;"|"&amp;$J168&amp;"|"&amp;COUNTIFS($I$6:$I168,$I168,$J$6:$J168,$J168,$D$6:$D168,"Advance"))</f>
        <v/>
      </c>
      <c r="L168" s="29" t="str">
        <f aca="false">IF(OR($I168="",$I168="?",$B168=""),"",SUMPRODUCT((Weeks!$A$6:$A$58&lt;=$J168)*(Weeks!$Z$4:$AK$4=$I168)*Weeks!$Z$6:$AK$58)-SUMIFS($E$6:$E$1005,$I$6:$I$1005,$I168,$B$6:$B$1005,"&lt;="&amp;$B168))</f>
        <v/>
      </c>
      <c r="M168" s="19" t="str">
        <f aca="false">IF($B168&amp;$C168&amp;$D168&amp;$E168="","",IF($B168="","missing date",IF($C168="","missing worker",IF($I168="?","unknown worker - was the name changed on Workers?",IF($D168="","missing type",IF(N($E168)=0,"missing amount",IF(AND($E168&lt;0,$D168&lt;&gt;"Correction"),"negative amount - use a Correction to undo",IF(OR($B168&lt;Weeks!$A$6,$B168&gt;Weeks!$B$58),"date outside this workbook's year",IF(AND($D168="Advance",N($L168)&lt;0),"Warning: more than earned so far - worker now owes "&amp;ROUND(-$L168,0),"")))))))))</f>
        <v/>
      </c>
    </row>
    <row r="169" customFormat="false" ht="15" hidden="false" customHeight="false" outlineLevel="0" collapsed="false">
      <c r="A169" s="24" t="str">
        <f aca="false">IF($B169="","",ROW()-5)</f>
        <v/>
      </c>
      <c r="B169" s="25"/>
      <c r="C169" s="20"/>
      <c r="D169" s="26"/>
      <c r="E169" s="27"/>
      <c r="F169" s="20"/>
      <c r="G169" s="20"/>
      <c r="H169" s="26"/>
      <c r="I169" s="24" t="str">
        <f aca="false">IF($C169="","",IFERROR(INDEX(WorkerIDs,MATCH($C169,WorkerNames,0)),"?"))</f>
        <v/>
      </c>
      <c r="J169" s="18" t="str">
        <f aca="false">IF($B169="","",$B169-WEEKDAY($B169,2)+1)</f>
        <v/>
      </c>
      <c r="K169" s="28" t="str">
        <f aca="false">IF(OR($I169="",$I169="?",$D169&lt;&gt;"Advance",$B169=""),"",$I169&amp;"|"&amp;$J169&amp;"|"&amp;COUNTIFS($I$6:$I169,$I169,$J$6:$J169,$J169,$D$6:$D169,"Advance"))</f>
        <v/>
      </c>
      <c r="L169" s="29" t="str">
        <f aca="false">IF(OR($I169="",$I169="?",$B169=""),"",SUMPRODUCT((Weeks!$A$6:$A$58&lt;=$J169)*(Weeks!$Z$4:$AK$4=$I169)*Weeks!$Z$6:$AK$58)-SUMIFS($E$6:$E$1005,$I$6:$I$1005,$I169,$B$6:$B$1005,"&lt;="&amp;$B169))</f>
        <v/>
      </c>
      <c r="M169" s="19" t="str">
        <f aca="false">IF($B169&amp;$C169&amp;$D169&amp;$E169="","",IF($B169="","missing date",IF($C169="","missing worker",IF($I169="?","unknown worker - was the name changed on Workers?",IF($D169="","missing type",IF(N($E169)=0,"missing amount",IF(AND($E169&lt;0,$D169&lt;&gt;"Correction"),"negative amount - use a Correction to undo",IF(OR($B169&lt;Weeks!$A$6,$B169&gt;Weeks!$B$58),"date outside this workbook's year",IF(AND($D169="Advance",N($L169)&lt;0),"Warning: more than earned so far - worker now owes "&amp;ROUND(-$L169,0),"")))))))))</f>
        <v/>
      </c>
    </row>
    <row r="170" customFormat="false" ht="15" hidden="false" customHeight="false" outlineLevel="0" collapsed="false">
      <c r="A170" s="24" t="str">
        <f aca="false">IF($B170="","",ROW()-5)</f>
        <v/>
      </c>
      <c r="B170" s="25"/>
      <c r="C170" s="20"/>
      <c r="D170" s="26"/>
      <c r="E170" s="27"/>
      <c r="F170" s="20"/>
      <c r="G170" s="20"/>
      <c r="H170" s="26"/>
      <c r="I170" s="24" t="str">
        <f aca="false">IF($C170="","",IFERROR(INDEX(WorkerIDs,MATCH($C170,WorkerNames,0)),"?"))</f>
        <v/>
      </c>
      <c r="J170" s="18" t="str">
        <f aca="false">IF($B170="","",$B170-WEEKDAY($B170,2)+1)</f>
        <v/>
      </c>
      <c r="K170" s="28" t="str">
        <f aca="false">IF(OR($I170="",$I170="?",$D170&lt;&gt;"Advance",$B170=""),"",$I170&amp;"|"&amp;$J170&amp;"|"&amp;COUNTIFS($I$6:$I170,$I170,$J$6:$J170,$J170,$D$6:$D170,"Advance"))</f>
        <v/>
      </c>
      <c r="L170" s="29" t="str">
        <f aca="false">IF(OR($I170="",$I170="?",$B170=""),"",SUMPRODUCT((Weeks!$A$6:$A$58&lt;=$J170)*(Weeks!$Z$4:$AK$4=$I170)*Weeks!$Z$6:$AK$58)-SUMIFS($E$6:$E$1005,$I$6:$I$1005,$I170,$B$6:$B$1005,"&lt;="&amp;$B170))</f>
        <v/>
      </c>
      <c r="M170" s="19" t="str">
        <f aca="false">IF($B170&amp;$C170&amp;$D170&amp;$E170="","",IF($B170="","missing date",IF($C170="","missing worker",IF($I170="?","unknown worker - was the name changed on Workers?",IF($D170="","missing type",IF(N($E170)=0,"missing amount",IF(AND($E170&lt;0,$D170&lt;&gt;"Correction"),"negative amount - use a Correction to undo",IF(OR($B170&lt;Weeks!$A$6,$B170&gt;Weeks!$B$58),"date outside this workbook's year",IF(AND($D170="Advance",N($L170)&lt;0),"Warning: more than earned so far - worker now owes "&amp;ROUND(-$L170,0),"")))))))))</f>
        <v/>
      </c>
    </row>
    <row r="171" customFormat="false" ht="15" hidden="false" customHeight="false" outlineLevel="0" collapsed="false">
      <c r="A171" s="24" t="str">
        <f aca="false">IF($B171="","",ROW()-5)</f>
        <v/>
      </c>
      <c r="B171" s="25"/>
      <c r="C171" s="20"/>
      <c r="D171" s="26"/>
      <c r="E171" s="27"/>
      <c r="F171" s="20"/>
      <c r="G171" s="20"/>
      <c r="H171" s="26"/>
      <c r="I171" s="24" t="str">
        <f aca="false">IF($C171="","",IFERROR(INDEX(WorkerIDs,MATCH($C171,WorkerNames,0)),"?"))</f>
        <v/>
      </c>
      <c r="J171" s="18" t="str">
        <f aca="false">IF($B171="","",$B171-WEEKDAY($B171,2)+1)</f>
        <v/>
      </c>
      <c r="K171" s="28" t="str">
        <f aca="false">IF(OR($I171="",$I171="?",$D171&lt;&gt;"Advance",$B171=""),"",$I171&amp;"|"&amp;$J171&amp;"|"&amp;COUNTIFS($I$6:$I171,$I171,$J$6:$J171,$J171,$D$6:$D171,"Advance"))</f>
        <v/>
      </c>
      <c r="L171" s="29" t="str">
        <f aca="false">IF(OR($I171="",$I171="?",$B171=""),"",SUMPRODUCT((Weeks!$A$6:$A$58&lt;=$J171)*(Weeks!$Z$4:$AK$4=$I171)*Weeks!$Z$6:$AK$58)-SUMIFS($E$6:$E$1005,$I$6:$I$1005,$I171,$B$6:$B$1005,"&lt;="&amp;$B171))</f>
        <v/>
      </c>
      <c r="M171" s="19" t="str">
        <f aca="false">IF($B171&amp;$C171&amp;$D171&amp;$E171="","",IF($B171="","missing date",IF($C171="","missing worker",IF($I171="?","unknown worker - was the name changed on Workers?",IF($D171="","missing type",IF(N($E171)=0,"missing amount",IF(AND($E171&lt;0,$D171&lt;&gt;"Correction"),"negative amount - use a Correction to undo",IF(OR($B171&lt;Weeks!$A$6,$B171&gt;Weeks!$B$58),"date outside this workbook's year",IF(AND($D171="Advance",N($L171)&lt;0),"Warning: more than earned so far - worker now owes "&amp;ROUND(-$L171,0),"")))))))))</f>
        <v/>
      </c>
    </row>
    <row r="172" customFormat="false" ht="15" hidden="false" customHeight="false" outlineLevel="0" collapsed="false">
      <c r="A172" s="24" t="str">
        <f aca="false">IF($B172="","",ROW()-5)</f>
        <v/>
      </c>
      <c r="B172" s="25"/>
      <c r="C172" s="20"/>
      <c r="D172" s="26"/>
      <c r="E172" s="27"/>
      <c r="F172" s="20"/>
      <c r="G172" s="20"/>
      <c r="H172" s="26"/>
      <c r="I172" s="24" t="str">
        <f aca="false">IF($C172="","",IFERROR(INDEX(WorkerIDs,MATCH($C172,WorkerNames,0)),"?"))</f>
        <v/>
      </c>
      <c r="J172" s="18" t="str">
        <f aca="false">IF($B172="","",$B172-WEEKDAY($B172,2)+1)</f>
        <v/>
      </c>
      <c r="K172" s="28" t="str">
        <f aca="false">IF(OR($I172="",$I172="?",$D172&lt;&gt;"Advance",$B172=""),"",$I172&amp;"|"&amp;$J172&amp;"|"&amp;COUNTIFS($I$6:$I172,$I172,$J$6:$J172,$J172,$D$6:$D172,"Advance"))</f>
        <v/>
      </c>
      <c r="L172" s="29" t="str">
        <f aca="false">IF(OR($I172="",$I172="?",$B172=""),"",SUMPRODUCT((Weeks!$A$6:$A$58&lt;=$J172)*(Weeks!$Z$4:$AK$4=$I172)*Weeks!$Z$6:$AK$58)-SUMIFS($E$6:$E$1005,$I$6:$I$1005,$I172,$B$6:$B$1005,"&lt;="&amp;$B172))</f>
        <v/>
      </c>
      <c r="M172" s="19" t="str">
        <f aca="false">IF($B172&amp;$C172&amp;$D172&amp;$E172="","",IF($B172="","missing date",IF($C172="","missing worker",IF($I172="?","unknown worker - was the name changed on Workers?",IF($D172="","missing type",IF(N($E172)=0,"missing amount",IF(AND($E172&lt;0,$D172&lt;&gt;"Correction"),"negative amount - use a Correction to undo",IF(OR($B172&lt;Weeks!$A$6,$B172&gt;Weeks!$B$58),"date outside this workbook's year",IF(AND($D172="Advance",N($L172)&lt;0),"Warning: more than earned so far - worker now owes "&amp;ROUND(-$L172,0),"")))))))))</f>
        <v/>
      </c>
    </row>
    <row r="173" customFormat="false" ht="15" hidden="false" customHeight="false" outlineLevel="0" collapsed="false">
      <c r="A173" s="24" t="str">
        <f aca="false">IF($B173="","",ROW()-5)</f>
        <v/>
      </c>
      <c r="B173" s="25"/>
      <c r="C173" s="20"/>
      <c r="D173" s="26"/>
      <c r="E173" s="27"/>
      <c r="F173" s="20"/>
      <c r="G173" s="20"/>
      <c r="H173" s="26"/>
      <c r="I173" s="24" t="str">
        <f aca="false">IF($C173="","",IFERROR(INDEX(WorkerIDs,MATCH($C173,WorkerNames,0)),"?"))</f>
        <v/>
      </c>
      <c r="J173" s="18" t="str">
        <f aca="false">IF($B173="","",$B173-WEEKDAY($B173,2)+1)</f>
        <v/>
      </c>
      <c r="K173" s="28" t="str">
        <f aca="false">IF(OR($I173="",$I173="?",$D173&lt;&gt;"Advance",$B173=""),"",$I173&amp;"|"&amp;$J173&amp;"|"&amp;COUNTIFS($I$6:$I173,$I173,$J$6:$J173,$J173,$D$6:$D173,"Advance"))</f>
        <v/>
      </c>
      <c r="L173" s="29" t="str">
        <f aca="false">IF(OR($I173="",$I173="?",$B173=""),"",SUMPRODUCT((Weeks!$A$6:$A$58&lt;=$J173)*(Weeks!$Z$4:$AK$4=$I173)*Weeks!$Z$6:$AK$58)-SUMIFS($E$6:$E$1005,$I$6:$I$1005,$I173,$B$6:$B$1005,"&lt;="&amp;$B173))</f>
        <v/>
      </c>
      <c r="M173" s="19" t="str">
        <f aca="false">IF($B173&amp;$C173&amp;$D173&amp;$E173="","",IF($B173="","missing date",IF($C173="","missing worker",IF($I173="?","unknown worker - was the name changed on Workers?",IF($D173="","missing type",IF(N($E173)=0,"missing amount",IF(AND($E173&lt;0,$D173&lt;&gt;"Correction"),"negative amount - use a Correction to undo",IF(OR($B173&lt;Weeks!$A$6,$B173&gt;Weeks!$B$58),"date outside this workbook's year",IF(AND($D173="Advance",N($L173)&lt;0),"Warning: more than earned so far - worker now owes "&amp;ROUND(-$L173,0),"")))))))))</f>
        <v/>
      </c>
    </row>
    <row r="174" customFormat="false" ht="15" hidden="false" customHeight="false" outlineLevel="0" collapsed="false">
      <c r="A174" s="24" t="str">
        <f aca="false">IF($B174="","",ROW()-5)</f>
        <v/>
      </c>
      <c r="B174" s="25"/>
      <c r="C174" s="20"/>
      <c r="D174" s="26"/>
      <c r="E174" s="27"/>
      <c r="F174" s="20"/>
      <c r="G174" s="20"/>
      <c r="H174" s="26"/>
      <c r="I174" s="24" t="str">
        <f aca="false">IF($C174="","",IFERROR(INDEX(WorkerIDs,MATCH($C174,WorkerNames,0)),"?"))</f>
        <v/>
      </c>
      <c r="J174" s="18" t="str">
        <f aca="false">IF($B174="","",$B174-WEEKDAY($B174,2)+1)</f>
        <v/>
      </c>
      <c r="K174" s="28" t="str">
        <f aca="false">IF(OR($I174="",$I174="?",$D174&lt;&gt;"Advance",$B174=""),"",$I174&amp;"|"&amp;$J174&amp;"|"&amp;COUNTIFS($I$6:$I174,$I174,$J$6:$J174,$J174,$D$6:$D174,"Advance"))</f>
        <v/>
      </c>
      <c r="L174" s="29" t="str">
        <f aca="false">IF(OR($I174="",$I174="?",$B174=""),"",SUMPRODUCT((Weeks!$A$6:$A$58&lt;=$J174)*(Weeks!$Z$4:$AK$4=$I174)*Weeks!$Z$6:$AK$58)-SUMIFS($E$6:$E$1005,$I$6:$I$1005,$I174,$B$6:$B$1005,"&lt;="&amp;$B174))</f>
        <v/>
      </c>
      <c r="M174" s="19" t="str">
        <f aca="false">IF($B174&amp;$C174&amp;$D174&amp;$E174="","",IF($B174="","missing date",IF($C174="","missing worker",IF($I174="?","unknown worker - was the name changed on Workers?",IF($D174="","missing type",IF(N($E174)=0,"missing amount",IF(AND($E174&lt;0,$D174&lt;&gt;"Correction"),"negative amount - use a Correction to undo",IF(OR($B174&lt;Weeks!$A$6,$B174&gt;Weeks!$B$58),"date outside this workbook's year",IF(AND($D174="Advance",N($L174)&lt;0),"Warning: more than earned so far - worker now owes "&amp;ROUND(-$L174,0),"")))))))))</f>
        <v/>
      </c>
    </row>
    <row r="175" customFormat="false" ht="15" hidden="false" customHeight="false" outlineLevel="0" collapsed="false">
      <c r="A175" s="24" t="str">
        <f aca="false">IF($B175="","",ROW()-5)</f>
        <v/>
      </c>
      <c r="B175" s="25"/>
      <c r="C175" s="20"/>
      <c r="D175" s="26"/>
      <c r="E175" s="27"/>
      <c r="F175" s="20"/>
      <c r="G175" s="20"/>
      <c r="H175" s="26"/>
      <c r="I175" s="24" t="str">
        <f aca="false">IF($C175="","",IFERROR(INDEX(WorkerIDs,MATCH($C175,WorkerNames,0)),"?"))</f>
        <v/>
      </c>
      <c r="J175" s="18" t="str">
        <f aca="false">IF($B175="","",$B175-WEEKDAY($B175,2)+1)</f>
        <v/>
      </c>
      <c r="K175" s="28" t="str">
        <f aca="false">IF(OR($I175="",$I175="?",$D175&lt;&gt;"Advance",$B175=""),"",$I175&amp;"|"&amp;$J175&amp;"|"&amp;COUNTIFS($I$6:$I175,$I175,$J$6:$J175,$J175,$D$6:$D175,"Advance"))</f>
        <v/>
      </c>
      <c r="L175" s="29" t="str">
        <f aca="false">IF(OR($I175="",$I175="?",$B175=""),"",SUMPRODUCT((Weeks!$A$6:$A$58&lt;=$J175)*(Weeks!$Z$4:$AK$4=$I175)*Weeks!$Z$6:$AK$58)-SUMIFS($E$6:$E$1005,$I$6:$I$1005,$I175,$B$6:$B$1005,"&lt;="&amp;$B175))</f>
        <v/>
      </c>
      <c r="M175" s="19" t="str">
        <f aca="false">IF($B175&amp;$C175&amp;$D175&amp;$E175="","",IF($B175="","missing date",IF($C175="","missing worker",IF($I175="?","unknown worker - was the name changed on Workers?",IF($D175="","missing type",IF(N($E175)=0,"missing amount",IF(AND($E175&lt;0,$D175&lt;&gt;"Correction"),"negative amount - use a Correction to undo",IF(OR($B175&lt;Weeks!$A$6,$B175&gt;Weeks!$B$58),"date outside this workbook's year",IF(AND($D175="Advance",N($L175)&lt;0),"Warning: more than earned so far - worker now owes "&amp;ROUND(-$L175,0),"")))))))))</f>
        <v/>
      </c>
    </row>
    <row r="176" customFormat="false" ht="15" hidden="false" customHeight="false" outlineLevel="0" collapsed="false">
      <c r="A176" s="24" t="str">
        <f aca="false">IF($B176="","",ROW()-5)</f>
        <v/>
      </c>
      <c r="B176" s="25"/>
      <c r="C176" s="20"/>
      <c r="D176" s="26"/>
      <c r="E176" s="27"/>
      <c r="F176" s="20"/>
      <c r="G176" s="20"/>
      <c r="H176" s="26"/>
      <c r="I176" s="24" t="str">
        <f aca="false">IF($C176="","",IFERROR(INDEX(WorkerIDs,MATCH($C176,WorkerNames,0)),"?"))</f>
        <v/>
      </c>
      <c r="J176" s="18" t="str">
        <f aca="false">IF($B176="","",$B176-WEEKDAY($B176,2)+1)</f>
        <v/>
      </c>
      <c r="K176" s="28" t="str">
        <f aca="false">IF(OR($I176="",$I176="?",$D176&lt;&gt;"Advance",$B176=""),"",$I176&amp;"|"&amp;$J176&amp;"|"&amp;COUNTIFS($I$6:$I176,$I176,$J$6:$J176,$J176,$D$6:$D176,"Advance"))</f>
        <v/>
      </c>
      <c r="L176" s="29" t="str">
        <f aca="false">IF(OR($I176="",$I176="?",$B176=""),"",SUMPRODUCT((Weeks!$A$6:$A$58&lt;=$J176)*(Weeks!$Z$4:$AK$4=$I176)*Weeks!$Z$6:$AK$58)-SUMIFS($E$6:$E$1005,$I$6:$I$1005,$I176,$B$6:$B$1005,"&lt;="&amp;$B176))</f>
        <v/>
      </c>
      <c r="M176" s="19" t="str">
        <f aca="false">IF($B176&amp;$C176&amp;$D176&amp;$E176="","",IF($B176="","missing date",IF($C176="","missing worker",IF($I176="?","unknown worker - was the name changed on Workers?",IF($D176="","missing type",IF(N($E176)=0,"missing amount",IF(AND($E176&lt;0,$D176&lt;&gt;"Correction"),"negative amount - use a Correction to undo",IF(OR($B176&lt;Weeks!$A$6,$B176&gt;Weeks!$B$58),"date outside this workbook's year",IF(AND($D176="Advance",N($L176)&lt;0),"Warning: more than earned so far - worker now owes "&amp;ROUND(-$L176,0),"")))))))))</f>
        <v/>
      </c>
    </row>
    <row r="177" customFormat="false" ht="15" hidden="false" customHeight="false" outlineLevel="0" collapsed="false">
      <c r="A177" s="24" t="str">
        <f aca="false">IF($B177="","",ROW()-5)</f>
        <v/>
      </c>
      <c r="B177" s="25"/>
      <c r="C177" s="20"/>
      <c r="D177" s="26"/>
      <c r="E177" s="27"/>
      <c r="F177" s="20"/>
      <c r="G177" s="20"/>
      <c r="H177" s="26"/>
      <c r="I177" s="24" t="str">
        <f aca="false">IF($C177="","",IFERROR(INDEX(WorkerIDs,MATCH($C177,WorkerNames,0)),"?"))</f>
        <v/>
      </c>
      <c r="J177" s="18" t="str">
        <f aca="false">IF($B177="","",$B177-WEEKDAY($B177,2)+1)</f>
        <v/>
      </c>
      <c r="K177" s="28" t="str">
        <f aca="false">IF(OR($I177="",$I177="?",$D177&lt;&gt;"Advance",$B177=""),"",$I177&amp;"|"&amp;$J177&amp;"|"&amp;COUNTIFS($I$6:$I177,$I177,$J$6:$J177,$J177,$D$6:$D177,"Advance"))</f>
        <v/>
      </c>
      <c r="L177" s="29" t="str">
        <f aca="false">IF(OR($I177="",$I177="?",$B177=""),"",SUMPRODUCT((Weeks!$A$6:$A$58&lt;=$J177)*(Weeks!$Z$4:$AK$4=$I177)*Weeks!$Z$6:$AK$58)-SUMIFS($E$6:$E$1005,$I$6:$I$1005,$I177,$B$6:$B$1005,"&lt;="&amp;$B177))</f>
        <v/>
      </c>
      <c r="M177" s="19" t="str">
        <f aca="false">IF($B177&amp;$C177&amp;$D177&amp;$E177="","",IF($B177="","missing date",IF($C177="","missing worker",IF($I177="?","unknown worker - was the name changed on Workers?",IF($D177="","missing type",IF(N($E177)=0,"missing amount",IF(AND($E177&lt;0,$D177&lt;&gt;"Correction"),"negative amount - use a Correction to undo",IF(OR($B177&lt;Weeks!$A$6,$B177&gt;Weeks!$B$58),"date outside this workbook's year",IF(AND($D177="Advance",N($L177)&lt;0),"Warning: more than earned so far - worker now owes "&amp;ROUND(-$L177,0),"")))))))))</f>
        <v/>
      </c>
    </row>
    <row r="178" customFormat="false" ht="15" hidden="false" customHeight="false" outlineLevel="0" collapsed="false">
      <c r="A178" s="24" t="str">
        <f aca="false">IF($B178="","",ROW()-5)</f>
        <v/>
      </c>
      <c r="B178" s="25"/>
      <c r="C178" s="20"/>
      <c r="D178" s="26"/>
      <c r="E178" s="27"/>
      <c r="F178" s="20"/>
      <c r="G178" s="20"/>
      <c r="H178" s="26"/>
      <c r="I178" s="24" t="str">
        <f aca="false">IF($C178="","",IFERROR(INDEX(WorkerIDs,MATCH($C178,WorkerNames,0)),"?"))</f>
        <v/>
      </c>
      <c r="J178" s="18" t="str">
        <f aca="false">IF($B178="","",$B178-WEEKDAY($B178,2)+1)</f>
        <v/>
      </c>
      <c r="K178" s="28" t="str">
        <f aca="false">IF(OR($I178="",$I178="?",$D178&lt;&gt;"Advance",$B178=""),"",$I178&amp;"|"&amp;$J178&amp;"|"&amp;COUNTIFS($I$6:$I178,$I178,$J$6:$J178,$J178,$D$6:$D178,"Advance"))</f>
        <v/>
      </c>
      <c r="L178" s="29" t="str">
        <f aca="false">IF(OR($I178="",$I178="?",$B178=""),"",SUMPRODUCT((Weeks!$A$6:$A$58&lt;=$J178)*(Weeks!$Z$4:$AK$4=$I178)*Weeks!$Z$6:$AK$58)-SUMIFS($E$6:$E$1005,$I$6:$I$1005,$I178,$B$6:$B$1005,"&lt;="&amp;$B178))</f>
        <v/>
      </c>
      <c r="M178" s="19" t="str">
        <f aca="false">IF($B178&amp;$C178&amp;$D178&amp;$E178="","",IF($B178="","missing date",IF($C178="","missing worker",IF($I178="?","unknown worker - was the name changed on Workers?",IF($D178="","missing type",IF(N($E178)=0,"missing amount",IF(AND($E178&lt;0,$D178&lt;&gt;"Correction"),"negative amount - use a Correction to undo",IF(OR($B178&lt;Weeks!$A$6,$B178&gt;Weeks!$B$58),"date outside this workbook's year",IF(AND($D178="Advance",N($L178)&lt;0),"Warning: more than earned so far - worker now owes "&amp;ROUND(-$L178,0),"")))))))))</f>
        <v/>
      </c>
    </row>
    <row r="179" customFormat="false" ht="15" hidden="false" customHeight="false" outlineLevel="0" collapsed="false">
      <c r="A179" s="24" t="str">
        <f aca="false">IF($B179="","",ROW()-5)</f>
        <v/>
      </c>
      <c r="B179" s="25"/>
      <c r="C179" s="20"/>
      <c r="D179" s="26"/>
      <c r="E179" s="27"/>
      <c r="F179" s="20"/>
      <c r="G179" s="20"/>
      <c r="H179" s="26"/>
      <c r="I179" s="24" t="str">
        <f aca="false">IF($C179="","",IFERROR(INDEX(WorkerIDs,MATCH($C179,WorkerNames,0)),"?"))</f>
        <v/>
      </c>
      <c r="J179" s="18" t="str">
        <f aca="false">IF($B179="","",$B179-WEEKDAY($B179,2)+1)</f>
        <v/>
      </c>
      <c r="K179" s="28" t="str">
        <f aca="false">IF(OR($I179="",$I179="?",$D179&lt;&gt;"Advance",$B179=""),"",$I179&amp;"|"&amp;$J179&amp;"|"&amp;COUNTIFS($I$6:$I179,$I179,$J$6:$J179,$J179,$D$6:$D179,"Advance"))</f>
        <v/>
      </c>
      <c r="L179" s="29" t="str">
        <f aca="false">IF(OR($I179="",$I179="?",$B179=""),"",SUMPRODUCT((Weeks!$A$6:$A$58&lt;=$J179)*(Weeks!$Z$4:$AK$4=$I179)*Weeks!$Z$6:$AK$58)-SUMIFS($E$6:$E$1005,$I$6:$I$1005,$I179,$B$6:$B$1005,"&lt;="&amp;$B179))</f>
        <v/>
      </c>
      <c r="M179" s="19" t="str">
        <f aca="false">IF($B179&amp;$C179&amp;$D179&amp;$E179="","",IF($B179="","missing date",IF($C179="","missing worker",IF($I179="?","unknown worker - was the name changed on Workers?",IF($D179="","missing type",IF(N($E179)=0,"missing amount",IF(AND($E179&lt;0,$D179&lt;&gt;"Correction"),"negative amount - use a Correction to undo",IF(OR($B179&lt;Weeks!$A$6,$B179&gt;Weeks!$B$58),"date outside this workbook's year",IF(AND($D179="Advance",N($L179)&lt;0),"Warning: more than earned so far - worker now owes "&amp;ROUND(-$L179,0),"")))))))))</f>
        <v/>
      </c>
    </row>
    <row r="180" customFormat="false" ht="15" hidden="false" customHeight="false" outlineLevel="0" collapsed="false">
      <c r="A180" s="24" t="str">
        <f aca="false">IF($B180="","",ROW()-5)</f>
        <v/>
      </c>
      <c r="B180" s="25"/>
      <c r="C180" s="20"/>
      <c r="D180" s="26"/>
      <c r="E180" s="27"/>
      <c r="F180" s="20"/>
      <c r="G180" s="20"/>
      <c r="H180" s="26"/>
      <c r="I180" s="24" t="str">
        <f aca="false">IF($C180="","",IFERROR(INDEX(WorkerIDs,MATCH($C180,WorkerNames,0)),"?"))</f>
        <v/>
      </c>
      <c r="J180" s="18" t="str">
        <f aca="false">IF($B180="","",$B180-WEEKDAY($B180,2)+1)</f>
        <v/>
      </c>
      <c r="K180" s="28" t="str">
        <f aca="false">IF(OR($I180="",$I180="?",$D180&lt;&gt;"Advance",$B180=""),"",$I180&amp;"|"&amp;$J180&amp;"|"&amp;COUNTIFS($I$6:$I180,$I180,$J$6:$J180,$J180,$D$6:$D180,"Advance"))</f>
        <v/>
      </c>
      <c r="L180" s="29" t="str">
        <f aca="false">IF(OR($I180="",$I180="?",$B180=""),"",SUMPRODUCT((Weeks!$A$6:$A$58&lt;=$J180)*(Weeks!$Z$4:$AK$4=$I180)*Weeks!$Z$6:$AK$58)-SUMIFS($E$6:$E$1005,$I$6:$I$1005,$I180,$B$6:$B$1005,"&lt;="&amp;$B180))</f>
        <v/>
      </c>
      <c r="M180" s="19" t="str">
        <f aca="false">IF($B180&amp;$C180&amp;$D180&amp;$E180="","",IF($B180="","missing date",IF($C180="","missing worker",IF($I180="?","unknown worker - was the name changed on Workers?",IF($D180="","missing type",IF(N($E180)=0,"missing amount",IF(AND($E180&lt;0,$D180&lt;&gt;"Correction"),"negative amount - use a Correction to undo",IF(OR($B180&lt;Weeks!$A$6,$B180&gt;Weeks!$B$58),"date outside this workbook's year",IF(AND($D180="Advance",N($L180)&lt;0),"Warning: more than earned so far - worker now owes "&amp;ROUND(-$L180,0),"")))))))))</f>
        <v/>
      </c>
    </row>
    <row r="181" customFormat="false" ht="15" hidden="false" customHeight="false" outlineLevel="0" collapsed="false">
      <c r="A181" s="24" t="str">
        <f aca="false">IF($B181="","",ROW()-5)</f>
        <v/>
      </c>
      <c r="B181" s="25"/>
      <c r="C181" s="20"/>
      <c r="D181" s="26"/>
      <c r="E181" s="27"/>
      <c r="F181" s="20"/>
      <c r="G181" s="20"/>
      <c r="H181" s="26"/>
      <c r="I181" s="24" t="str">
        <f aca="false">IF($C181="","",IFERROR(INDEX(WorkerIDs,MATCH($C181,WorkerNames,0)),"?"))</f>
        <v/>
      </c>
      <c r="J181" s="18" t="str">
        <f aca="false">IF($B181="","",$B181-WEEKDAY($B181,2)+1)</f>
        <v/>
      </c>
      <c r="K181" s="28" t="str">
        <f aca="false">IF(OR($I181="",$I181="?",$D181&lt;&gt;"Advance",$B181=""),"",$I181&amp;"|"&amp;$J181&amp;"|"&amp;COUNTIFS($I$6:$I181,$I181,$J$6:$J181,$J181,$D$6:$D181,"Advance"))</f>
        <v/>
      </c>
      <c r="L181" s="29" t="str">
        <f aca="false">IF(OR($I181="",$I181="?",$B181=""),"",SUMPRODUCT((Weeks!$A$6:$A$58&lt;=$J181)*(Weeks!$Z$4:$AK$4=$I181)*Weeks!$Z$6:$AK$58)-SUMIFS($E$6:$E$1005,$I$6:$I$1005,$I181,$B$6:$B$1005,"&lt;="&amp;$B181))</f>
        <v/>
      </c>
      <c r="M181" s="19" t="str">
        <f aca="false">IF($B181&amp;$C181&amp;$D181&amp;$E181="","",IF($B181="","missing date",IF($C181="","missing worker",IF($I181="?","unknown worker - was the name changed on Workers?",IF($D181="","missing type",IF(N($E181)=0,"missing amount",IF(AND($E181&lt;0,$D181&lt;&gt;"Correction"),"negative amount - use a Correction to undo",IF(OR($B181&lt;Weeks!$A$6,$B181&gt;Weeks!$B$58),"date outside this workbook's year",IF(AND($D181="Advance",N($L181)&lt;0),"Warning: more than earned so far - worker now owes "&amp;ROUND(-$L181,0),"")))))))))</f>
        <v/>
      </c>
    </row>
    <row r="182" customFormat="false" ht="15" hidden="false" customHeight="false" outlineLevel="0" collapsed="false">
      <c r="A182" s="24" t="str">
        <f aca="false">IF($B182="","",ROW()-5)</f>
        <v/>
      </c>
      <c r="B182" s="25"/>
      <c r="C182" s="20"/>
      <c r="D182" s="26"/>
      <c r="E182" s="27"/>
      <c r="F182" s="20"/>
      <c r="G182" s="20"/>
      <c r="H182" s="26"/>
      <c r="I182" s="24" t="str">
        <f aca="false">IF($C182="","",IFERROR(INDEX(WorkerIDs,MATCH($C182,WorkerNames,0)),"?"))</f>
        <v/>
      </c>
      <c r="J182" s="18" t="str">
        <f aca="false">IF($B182="","",$B182-WEEKDAY($B182,2)+1)</f>
        <v/>
      </c>
      <c r="K182" s="28" t="str">
        <f aca="false">IF(OR($I182="",$I182="?",$D182&lt;&gt;"Advance",$B182=""),"",$I182&amp;"|"&amp;$J182&amp;"|"&amp;COUNTIFS($I$6:$I182,$I182,$J$6:$J182,$J182,$D$6:$D182,"Advance"))</f>
        <v/>
      </c>
      <c r="L182" s="29" t="str">
        <f aca="false">IF(OR($I182="",$I182="?",$B182=""),"",SUMPRODUCT((Weeks!$A$6:$A$58&lt;=$J182)*(Weeks!$Z$4:$AK$4=$I182)*Weeks!$Z$6:$AK$58)-SUMIFS($E$6:$E$1005,$I$6:$I$1005,$I182,$B$6:$B$1005,"&lt;="&amp;$B182))</f>
        <v/>
      </c>
      <c r="M182" s="19" t="str">
        <f aca="false">IF($B182&amp;$C182&amp;$D182&amp;$E182="","",IF($B182="","missing date",IF($C182="","missing worker",IF($I182="?","unknown worker - was the name changed on Workers?",IF($D182="","missing type",IF(N($E182)=0,"missing amount",IF(AND($E182&lt;0,$D182&lt;&gt;"Correction"),"negative amount - use a Correction to undo",IF(OR($B182&lt;Weeks!$A$6,$B182&gt;Weeks!$B$58),"date outside this workbook's year",IF(AND($D182="Advance",N($L182)&lt;0),"Warning: more than earned so far - worker now owes "&amp;ROUND(-$L182,0),"")))))))))</f>
        <v/>
      </c>
    </row>
    <row r="183" customFormat="false" ht="15" hidden="false" customHeight="false" outlineLevel="0" collapsed="false">
      <c r="A183" s="24" t="str">
        <f aca="false">IF($B183="","",ROW()-5)</f>
        <v/>
      </c>
      <c r="B183" s="25"/>
      <c r="C183" s="20"/>
      <c r="D183" s="26"/>
      <c r="E183" s="27"/>
      <c r="F183" s="20"/>
      <c r="G183" s="20"/>
      <c r="H183" s="26"/>
      <c r="I183" s="24" t="str">
        <f aca="false">IF($C183="","",IFERROR(INDEX(WorkerIDs,MATCH($C183,WorkerNames,0)),"?"))</f>
        <v/>
      </c>
      <c r="J183" s="18" t="str">
        <f aca="false">IF($B183="","",$B183-WEEKDAY($B183,2)+1)</f>
        <v/>
      </c>
      <c r="K183" s="28" t="str">
        <f aca="false">IF(OR($I183="",$I183="?",$D183&lt;&gt;"Advance",$B183=""),"",$I183&amp;"|"&amp;$J183&amp;"|"&amp;COUNTIFS($I$6:$I183,$I183,$J$6:$J183,$J183,$D$6:$D183,"Advance"))</f>
        <v/>
      </c>
      <c r="L183" s="29" t="str">
        <f aca="false">IF(OR($I183="",$I183="?",$B183=""),"",SUMPRODUCT((Weeks!$A$6:$A$58&lt;=$J183)*(Weeks!$Z$4:$AK$4=$I183)*Weeks!$Z$6:$AK$58)-SUMIFS($E$6:$E$1005,$I$6:$I$1005,$I183,$B$6:$B$1005,"&lt;="&amp;$B183))</f>
        <v/>
      </c>
      <c r="M183" s="19" t="str">
        <f aca="false">IF($B183&amp;$C183&amp;$D183&amp;$E183="","",IF($B183="","missing date",IF($C183="","missing worker",IF($I183="?","unknown worker - was the name changed on Workers?",IF($D183="","missing type",IF(N($E183)=0,"missing amount",IF(AND($E183&lt;0,$D183&lt;&gt;"Correction"),"negative amount - use a Correction to undo",IF(OR($B183&lt;Weeks!$A$6,$B183&gt;Weeks!$B$58),"date outside this workbook's year",IF(AND($D183="Advance",N($L183)&lt;0),"Warning: more than earned so far - worker now owes "&amp;ROUND(-$L183,0),"")))))))))</f>
        <v/>
      </c>
    </row>
    <row r="184" customFormat="false" ht="15" hidden="false" customHeight="false" outlineLevel="0" collapsed="false">
      <c r="A184" s="24" t="str">
        <f aca="false">IF($B184="","",ROW()-5)</f>
        <v/>
      </c>
      <c r="B184" s="25"/>
      <c r="C184" s="20"/>
      <c r="D184" s="26"/>
      <c r="E184" s="27"/>
      <c r="F184" s="20"/>
      <c r="G184" s="20"/>
      <c r="H184" s="26"/>
      <c r="I184" s="24" t="str">
        <f aca="false">IF($C184="","",IFERROR(INDEX(WorkerIDs,MATCH($C184,WorkerNames,0)),"?"))</f>
        <v/>
      </c>
      <c r="J184" s="18" t="str">
        <f aca="false">IF($B184="","",$B184-WEEKDAY($B184,2)+1)</f>
        <v/>
      </c>
      <c r="K184" s="28" t="str">
        <f aca="false">IF(OR($I184="",$I184="?",$D184&lt;&gt;"Advance",$B184=""),"",$I184&amp;"|"&amp;$J184&amp;"|"&amp;COUNTIFS($I$6:$I184,$I184,$J$6:$J184,$J184,$D$6:$D184,"Advance"))</f>
        <v/>
      </c>
      <c r="L184" s="29" t="str">
        <f aca="false">IF(OR($I184="",$I184="?",$B184=""),"",SUMPRODUCT((Weeks!$A$6:$A$58&lt;=$J184)*(Weeks!$Z$4:$AK$4=$I184)*Weeks!$Z$6:$AK$58)-SUMIFS($E$6:$E$1005,$I$6:$I$1005,$I184,$B$6:$B$1005,"&lt;="&amp;$B184))</f>
        <v/>
      </c>
      <c r="M184" s="19" t="str">
        <f aca="false">IF($B184&amp;$C184&amp;$D184&amp;$E184="","",IF($B184="","missing date",IF($C184="","missing worker",IF($I184="?","unknown worker - was the name changed on Workers?",IF($D184="","missing type",IF(N($E184)=0,"missing amount",IF(AND($E184&lt;0,$D184&lt;&gt;"Correction"),"negative amount - use a Correction to undo",IF(OR($B184&lt;Weeks!$A$6,$B184&gt;Weeks!$B$58),"date outside this workbook's year",IF(AND($D184="Advance",N($L184)&lt;0),"Warning: more than earned so far - worker now owes "&amp;ROUND(-$L184,0),"")))))))))</f>
        <v/>
      </c>
    </row>
    <row r="185" customFormat="false" ht="15" hidden="false" customHeight="false" outlineLevel="0" collapsed="false">
      <c r="A185" s="24" t="str">
        <f aca="false">IF($B185="","",ROW()-5)</f>
        <v/>
      </c>
      <c r="B185" s="25"/>
      <c r="C185" s="20"/>
      <c r="D185" s="26"/>
      <c r="E185" s="27"/>
      <c r="F185" s="20"/>
      <c r="G185" s="20"/>
      <c r="H185" s="26"/>
      <c r="I185" s="24" t="str">
        <f aca="false">IF($C185="","",IFERROR(INDEX(WorkerIDs,MATCH($C185,WorkerNames,0)),"?"))</f>
        <v/>
      </c>
      <c r="J185" s="18" t="str">
        <f aca="false">IF($B185="","",$B185-WEEKDAY($B185,2)+1)</f>
        <v/>
      </c>
      <c r="K185" s="28" t="str">
        <f aca="false">IF(OR($I185="",$I185="?",$D185&lt;&gt;"Advance",$B185=""),"",$I185&amp;"|"&amp;$J185&amp;"|"&amp;COUNTIFS($I$6:$I185,$I185,$J$6:$J185,$J185,$D$6:$D185,"Advance"))</f>
        <v/>
      </c>
      <c r="L185" s="29" t="str">
        <f aca="false">IF(OR($I185="",$I185="?",$B185=""),"",SUMPRODUCT((Weeks!$A$6:$A$58&lt;=$J185)*(Weeks!$Z$4:$AK$4=$I185)*Weeks!$Z$6:$AK$58)-SUMIFS($E$6:$E$1005,$I$6:$I$1005,$I185,$B$6:$B$1005,"&lt;="&amp;$B185))</f>
        <v/>
      </c>
      <c r="M185" s="19" t="str">
        <f aca="false">IF($B185&amp;$C185&amp;$D185&amp;$E185="","",IF($B185="","missing date",IF($C185="","missing worker",IF($I185="?","unknown worker - was the name changed on Workers?",IF($D185="","missing type",IF(N($E185)=0,"missing amount",IF(AND($E185&lt;0,$D185&lt;&gt;"Correction"),"negative amount - use a Correction to undo",IF(OR($B185&lt;Weeks!$A$6,$B185&gt;Weeks!$B$58),"date outside this workbook's year",IF(AND($D185="Advance",N($L185)&lt;0),"Warning: more than earned so far - worker now owes "&amp;ROUND(-$L185,0),"")))))))))</f>
        <v/>
      </c>
    </row>
    <row r="186" customFormat="false" ht="15" hidden="false" customHeight="false" outlineLevel="0" collapsed="false">
      <c r="A186" s="24" t="str">
        <f aca="false">IF($B186="","",ROW()-5)</f>
        <v/>
      </c>
      <c r="B186" s="25"/>
      <c r="C186" s="20"/>
      <c r="D186" s="26"/>
      <c r="E186" s="27"/>
      <c r="F186" s="20"/>
      <c r="G186" s="20"/>
      <c r="H186" s="26"/>
      <c r="I186" s="24" t="str">
        <f aca="false">IF($C186="","",IFERROR(INDEX(WorkerIDs,MATCH($C186,WorkerNames,0)),"?"))</f>
        <v/>
      </c>
      <c r="J186" s="18" t="str">
        <f aca="false">IF($B186="","",$B186-WEEKDAY($B186,2)+1)</f>
        <v/>
      </c>
      <c r="K186" s="28" t="str">
        <f aca="false">IF(OR($I186="",$I186="?",$D186&lt;&gt;"Advance",$B186=""),"",$I186&amp;"|"&amp;$J186&amp;"|"&amp;COUNTIFS($I$6:$I186,$I186,$J$6:$J186,$J186,$D$6:$D186,"Advance"))</f>
        <v/>
      </c>
      <c r="L186" s="29" t="str">
        <f aca="false">IF(OR($I186="",$I186="?",$B186=""),"",SUMPRODUCT((Weeks!$A$6:$A$58&lt;=$J186)*(Weeks!$Z$4:$AK$4=$I186)*Weeks!$Z$6:$AK$58)-SUMIFS($E$6:$E$1005,$I$6:$I$1005,$I186,$B$6:$B$1005,"&lt;="&amp;$B186))</f>
        <v/>
      </c>
      <c r="M186" s="19" t="str">
        <f aca="false">IF($B186&amp;$C186&amp;$D186&amp;$E186="","",IF($B186="","missing date",IF($C186="","missing worker",IF($I186="?","unknown worker - was the name changed on Workers?",IF($D186="","missing type",IF(N($E186)=0,"missing amount",IF(AND($E186&lt;0,$D186&lt;&gt;"Correction"),"negative amount - use a Correction to undo",IF(OR($B186&lt;Weeks!$A$6,$B186&gt;Weeks!$B$58),"date outside this workbook's year",IF(AND($D186="Advance",N($L186)&lt;0),"Warning: more than earned so far - worker now owes "&amp;ROUND(-$L186,0),"")))))))))</f>
        <v/>
      </c>
    </row>
    <row r="187" customFormat="false" ht="15" hidden="false" customHeight="false" outlineLevel="0" collapsed="false">
      <c r="A187" s="24" t="str">
        <f aca="false">IF($B187="","",ROW()-5)</f>
        <v/>
      </c>
      <c r="B187" s="25"/>
      <c r="C187" s="20"/>
      <c r="D187" s="26"/>
      <c r="E187" s="27"/>
      <c r="F187" s="20"/>
      <c r="G187" s="20"/>
      <c r="H187" s="26"/>
      <c r="I187" s="24" t="str">
        <f aca="false">IF($C187="","",IFERROR(INDEX(WorkerIDs,MATCH($C187,WorkerNames,0)),"?"))</f>
        <v/>
      </c>
      <c r="J187" s="18" t="str">
        <f aca="false">IF($B187="","",$B187-WEEKDAY($B187,2)+1)</f>
        <v/>
      </c>
      <c r="K187" s="28" t="str">
        <f aca="false">IF(OR($I187="",$I187="?",$D187&lt;&gt;"Advance",$B187=""),"",$I187&amp;"|"&amp;$J187&amp;"|"&amp;COUNTIFS($I$6:$I187,$I187,$J$6:$J187,$J187,$D$6:$D187,"Advance"))</f>
        <v/>
      </c>
      <c r="L187" s="29" t="str">
        <f aca="false">IF(OR($I187="",$I187="?",$B187=""),"",SUMPRODUCT((Weeks!$A$6:$A$58&lt;=$J187)*(Weeks!$Z$4:$AK$4=$I187)*Weeks!$Z$6:$AK$58)-SUMIFS($E$6:$E$1005,$I$6:$I$1005,$I187,$B$6:$B$1005,"&lt;="&amp;$B187))</f>
        <v/>
      </c>
      <c r="M187" s="19" t="str">
        <f aca="false">IF($B187&amp;$C187&amp;$D187&amp;$E187="","",IF($B187="","missing date",IF($C187="","missing worker",IF($I187="?","unknown worker - was the name changed on Workers?",IF($D187="","missing type",IF(N($E187)=0,"missing amount",IF(AND($E187&lt;0,$D187&lt;&gt;"Correction"),"negative amount - use a Correction to undo",IF(OR($B187&lt;Weeks!$A$6,$B187&gt;Weeks!$B$58),"date outside this workbook's year",IF(AND($D187="Advance",N($L187)&lt;0),"Warning: more than earned so far - worker now owes "&amp;ROUND(-$L187,0),"")))))))))</f>
        <v/>
      </c>
    </row>
    <row r="188" customFormat="false" ht="15" hidden="false" customHeight="false" outlineLevel="0" collapsed="false">
      <c r="A188" s="24" t="str">
        <f aca="false">IF($B188="","",ROW()-5)</f>
        <v/>
      </c>
      <c r="B188" s="25"/>
      <c r="C188" s="20"/>
      <c r="D188" s="26"/>
      <c r="E188" s="27"/>
      <c r="F188" s="20"/>
      <c r="G188" s="20"/>
      <c r="H188" s="26"/>
      <c r="I188" s="24" t="str">
        <f aca="false">IF($C188="","",IFERROR(INDEX(WorkerIDs,MATCH($C188,WorkerNames,0)),"?"))</f>
        <v/>
      </c>
      <c r="J188" s="18" t="str">
        <f aca="false">IF($B188="","",$B188-WEEKDAY($B188,2)+1)</f>
        <v/>
      </c>
      <c r="K188" s="28" t="str">
        <f aca="false">IF(OR($I188="",$I188="?",$D188&lt;&gt;"Advance",$B188=""),"",$I188&amp;"|"&amp;$J188&amp;"|"&amp;COUNTIFS($I$6:$I188,$I188,$J$6:$J188,$J188,$D$6:$D188,"Advance"))</f>
        <v/>
      </c>
      <c r="L188" s="29" t="str">
        <f aca="false">IF(OR($I188="",$I188="?",$B188=""),"",SUMPRODUCT((Weeks!$A$6:$A$58&lt;=$J188)*(Weeks!$Z$4:$AK$4=$I188)*Weeks!$Z$6:$AK$58)-SUMIFS($E$6:$E$1005,$I$6:$I$1005,$I188,$B$6:$B$1005,"&lt;="&amp;$B188))</f>
        <v/>
      </c>
      <c r="M188" s="19" t="str">
        <f aca="false">IF($B188&amp;$C188&amp;$D188&amp;$E188="","",IF($B188="","missing date",IF($C188="","missing worker",IF($I188="?","unknown worker - was the name changed on Workers?",IF($D188="","missing type",IF(N($E188)=0,"missing amount",IF(AND($E188&lt;0,$D188&lt;&gt;"Correction"),"negative amount - use a Correction to undo",IF(OR($B188&lt;Weeks!$A$6,$B188&gt;Weeks!$B$58),"date outside this workbook's year",IF(AND($D188="Advance",N($L188)&lt;0),"Warning: more than earned so far - worker now owes "&amp;ROUND(-$L188,0),"")))))))))</f>
        <v/>
      </c>
    </row>
    <row r="189" customFormat="false" ht="15" hidden="false" customHeight="false" outlineLevel="0" collapsed="false">
      <c r="A189" s="24" t="str">
        <f aca="false">IF($B189="","",ROW()-5)</f>
        <v/>
      </c>
      <c r="B189" s="25"/>
      <c r="C189" s="20"/>
      <c r="D189" s="26"/>
      <c r="E189" s="27"/>
      <c r="F189" s="20"/>
      <c r="G189" s="20"/>
      <c r="H189" s="26"/>
      <c r="I189" s="24" t="str">
        <f aca="false">IF($C189="","",IFERROR(INDEX(WorkerIDs,MATCH($C189,WorkerNames,0)),"?"))</f>
        <v/>
      </c>
      <c r="J189" s="18" t="str">
        <f aca="false">IF($B189="","",$B189-WEEKDAY($B189,2)+1)</f>
        <v/>
      </c>
      <c r="K189" s="28" t="str">
        <f aca="false">IF(OR($I189="",$I189="?",$D189&lt;&gt;"Advance",$B189=""),"",$I189&amp;"|"&amp;$J189&amp;"|"&amp;COUNTIFS($I$6:$I189,$I189,$J$6:$J189,$J189,$D$6:$D189,"Advance"))</f>
        <v/>
      </c>
      <c r="L189" s="29" t="str">
        <f aca="false">IF(OR($I189="",$I189="?",$B189=""),"",SUMPRODUCT((Weeks!$A$6:$A$58&lt;=$J189)*(Weeks!$Z$4:$AK$4=$I189)*Weeks!$Z$6:$AK$58)-SUMIFS($E$6:$E$1005,$I$6:$I$1005,$I189,$B$6:$B$1005,"&lt;="&amp;$B189))</f>
        <v/>
      </c>
      <c r="M189" s="19" t="str">
        <f aca="false">IF($B189&amp;$C189&amp;$D189&amp;$E189="","",IF($B189="","missing date",IF($C189="","missing worker",IF($I189="?","unknown worker - was the name changed on Workers?",IF($D189="","missing type",IF(N($E189)=0,"missing amount",IF(AND($E189&lt;0,$D189&lt;&gt;"Correction"),"negative amount - use a Correction to undo",IF(OR($B189&lt;Weeks!$A$6,$B189&gt;Weeks!$B$58),"date outside this workbook's year",IF(AND($D189="Advance",N($L189)&lt;0),"Warning: more than earned so far - worker now owes "&amp;ROUND(-$L189,0),"")))))))))</f>
        <v/>
      </c>
    </row>
    <row r="190" customFormat="false" ht="15" hidden="false" customHeight="false" outlineLevel="0" collapsed="false">
      <c r="A190" s="24" t="str">
        <f aca="false">IF($B190="","",ROW()-5)</f>
        <v/>
      </c>
      <c r="B190" s="25"/>
      <c r="C190" s="20"/>
      <c r="D190" s="26"/>
      <c r="E190" s="27"/>
      <c r="F190" s="20"/>
      <c r="G190" s="20"/>
      <c r="H190" s="26"/>
      <c r="I190" s="24" t="str">
        <f aca="false">IF($C190="","",IFERROR(INDEX(WorkerIDs,MATCH($C190,WorkerNames,0)),"?"))</f>
        <v/>
      </c>
      <c r="J190" s="18" t="str">
        <f aca="false">IF($B190="","",$B190-WEEKDAY($B190,2)+1)</f>
        <v/>
      </c>
      <c r="K190" s="28" t="str">
        <f aca="false">IF(OR($I190="",$I190="?",$D190&lt;&gt;"Advance",$B190=""),"",$I190&amp;"|"&amp;$J190&amp;"|"&amp;COUNTIFS($I$6:$I190,$I190,$J$6:$J190,$J190,$D$6:$D190,"Advance"))</f>
        <v/>
      </c>
      <c r="L190" s="29" t="str">
        <f aca="false">IF(OR($I190="",$I190="?",$B190=""),"",SUMPRODUCT((Weeks!$A$6:$A$58&lt;=$J190)*(Weeks!$Z$4:$AK$4=$I190)*Weeks!$Z$6:$AK$58)-SUMIFS($E$6:$E$1005,$I$6:$I$1005,$I190,$B$6:$B$1005,"&lt;="&amp;$B190))</f>
        <v/>
      </c>
      <c r="M190" s="19" t="str">
        <f aca="false">IF($B190&amp;$C190&amp;$D190&amp;$E190="","",IF($B190="","missing date",IF($C190="","missing worker",IF($I190="?","unknown worker - was the name changed on Workers?",IF($D190="","missing type",IF(N($E190)=0,"missing amount",IF(AND($E190&lt;0,$D190&lt;&gt;"Correction"),"negative amount - use a Correction to undo",IF(OR($B190&lt;Weeks!$A$6,$B190&gt;Weeks!$B$58),"date outside this workbook's year",IF(AND($D190="Advance",N($L190)&lt;0),"Warning: more than earned so far - worker now owes "&amp;ROUND(-$L190,0),"")))))))))</f>
        <v/>
      </c>
    </row>
    <row r="191" customFormat="false" ht="15" hidden="false" customHeight="false" outlineLevel="0" collapsed="false">
      <c r="A191" s="24" t="str">
        <f aca="false">IF($B191="","",ROW()-5)</f>
        <v/>
      </c>
      <c r="B191" s="25"/>
      <c r="C191" s="20"/>
      <c r="D191" s="26"/>
      <c r="E191" s="27"/>
      <c r="F191" s="20"/>
      <c r="G191" s="20"/>
      <c r="H191" s="26"/>
      <c r="I191" s="24" t="str">
        <f aca="false">IF($C191="","",IFERROR(INDEX(WorkerIDs,MATCH($C191,WorkerNames,0)),"?"))</f>
        <v/>
      </c>
      <c r="J191" s="18" t="str">
        <f aca="false">IF($B191="","",$B191-WEEKDAY($B191,2)+1)</f>
        <v/>
      </c>
      <c r="K191" s="28" t="str">
        <f aca="false">IF(OR($I191="",$I191="?",$D191&lt;&gt;"Advance",$B191=""),"",$I191&amp;"|"&amp;$J191&amp;"|"&amp;COUNTIFS($I$6:$I191,$I191,$J$6:$J191,$J191,$D$6:$D191,"Advance"))</f>
        <v/>
      </c>
      <c r="L191" s="29" t="str">
        <f aca="false">IF(OR($I191="",$I191="?",$B191=""),"",SUMPRODUCT((Weeks!$A$6:$A$58&lt;=$J191)*(Weeks!$Z$4:$AK$4=$I191)*Weeks!$Z$6:$AK$58)-SUMIFS($E$6:$E$1005,$I$6:$I$1005,$I191,$B$6:$B$1005,"&lt;="&amp;$B191))</f>
        <v/>
      </c>
      <c r="M191" s="19" t="str">
        <f aca="false">IF($B191&amp;$C191&amp;$D191&amp;$E191="","",IF($B191="","missing date",IF($C191="","missing worker",IF($I191="?","unknown worker - was the name changed on Workers?",IF($D191="","missing type",IF(N($E191)=0,"missing amount",IF(AND($E191&lt;0,$D191&lt;&gt;"Correction"),"negative amount - use a Correction to undo",IF(OR($B191&lt;Weeks!$A$6,$B191&gt;Weeks!$B$58),"date outside this workbook's year",IF(AND($D191="Advance",N($L191)&lt;0),"Warning: more than earned so far - worker now owes "&amp;ROUND(-$L191,0),"")))))))))</f>
        <v/>
      </c>
    </row>
    <row r="192" customFormat="false" ht="15" hidden="false" customHeight="false" outlineLevel="0" collapsed="false">
      <c r="A192" s="24" t="str">
        <f aca="false">IF($B192="","",ROW()-5)</f>
        <v/>
      </c>
      <c r="B192" s="25"/>
      <c r="C192" s="20"/>
      <c r="D192" s="26"/>
      <c r="E192" s="27"/>
      <c r="F192" s="20"/>
      <c r="G192" s="20"/>
      <c r="H192" s="26"/>
      <c r="I192" s="24" t="str">
        <f aca="false">IF($C192="","",IFERROR(INDEX(WorkerIDs,MATCH($C192,WorkerNames,0)),"?"))</f>
        <v/>
      </c>
      <c r="J192" s="18" t="str">
        <f aca="false">IF($B192="","",$B192-WEEKDAY($B192,2)+1)</f>
        <v/>
      </c>
      <c r="K192" s="28" t="str">
        <f aca="false">IF(OR($I192="",$I192="?",$D192&lt;&gt;"Advance",$B192=""),"",$I192&amp;"|"&amp;$J192&amp;"|"&amp;COUNTIFS($I$6:$I192,$I192,$J$6:$J192,$J192,$D$6:$D192,"Advance"))</f>
        <v/>
      </c>
      <c r="L192" s="29" t="str">
        <f aca="false">IF(OR($I192="",$I192="?",$B192=""),"",SUMPRODUCT((Weeks!$A$6:$A$58&lt;=$J192)*(Weeks!$Z$4:$AK$4=$I192)*Weeks!$Z$6:$AK$58)-SUMIFS($E$6:$E$1005,$I$6:$I$1005,$I192,$B$6:$B$1005,"&lt;="&amp;$B192))</f>
        <v/>
      </c>
      <c r="M192" s="19" t="str">
        <f aca="false">IF($B192&amp;$C192&amp;$D192&amp;$E192="","",IF($B192="","missing date",IF($C192="","missing worker",IF($I192="?","unknown worker - was the name changed on Workers?",IF($D192="","missing type",IF(N($E192)=0,"missing amount",IF(AND($E192&lt;0,$D192&lt;&gt;"Correction"),"negative amount - use a Correction to undo",IF(OR($B192&lt;Weeks!$A$6,$B192&gt;Weeks!$B$58),"date outside this workbook's year",IF(AND($D192="Advance",N($L192)&lt;0),"Warning: more than earned so far - worker now owes "&amp;ROUND(-$L192,0),"")))))))))</f>
        <v/>
      </c>
    </row>
    <row r="193" customFormat="false" ht="15" hidden="false" customHeight="false" outlineLevel="0" collapsed="false">
      <c r="A193" s="24" t="str">
        <f aca="false">IF($B193="","",ROW()-5)</f>
        <v/>
      </c>
      <c r="B193" s="25"/>
      <c r="C193" s="20"/>
      <c r="D193" s="26"/>
      <c r="E193" s="27"/>
      <c r="F193" s="20"/>
      <c r="G193" s="20"/>
      <c r="H193" s="26"/>
      <c r="I193" s="24" t="str">
        <f aca="false">IF($C193="","",IFERROR(INDEX(WorkerIDs,MATCH($C193,WorkerNames,0)),"?"))</f>
        <v/>
      </c>
      <c r="J193" s="18" t="str">
        <f aca="false">IF($B193="","",$B193-WEEKDAY($B193,2)+1)</f>
        <v/>
      </c>
      <c r="K193" s="28" t="str">
        <f aca="false">IF(OR($I193="",$I193="?",$D193&lt;&gt;"Advance",$B193=""),"",$I193&amp;"|"&amp;$J193&amp;"|"&amp;COUNTIFS($I$6:$I193,$I193,$J$6:$J193,$J193,$D$6:$D193,"Advance"))</f>
        <v/>
      </c>
      <c r="L193" s="29" t="str">
        <f aca="false">IF(OR($I193="",$I193="?",$B193=""),"",SUMPRODUCT((Weeks!$A$6:$A$58&lt;=$J193)*(Weeks!$Z$4:$AK$4=$I193)*Weeks!$Z$6:$AK$58)-SUMIFS($E$6:$E$1005,$I$6:$I$1005,$I193,$B$6:$B$1005,"&lt;="&amp;$B193))</f>
        <v/>
      </c>
      <c r="M193" s="19" t="str">
        <f aca="false">IF($B193&amp;$C193&amp;$D193&amp;$E193="","",IF($B193="","missing date",IF($C193="","missing worker",IF($I193="?","unknown worker - was the name changed on Workers?",IF($D193="","missing type",IF(N($E193)=0,"missing amount",IF(AND($E193&lt;0,$D193&lt;&gt;"Correction"),"negative amount - use a Correction to undo",IF(OR($B193&lt;Weeks!$A$6,$B193&gt;Weeks!$B$58),"date outside this workbook's year",IF(AND($D193="Advance",N($L193)&lt;0),"Warning: more than earned so far - worker now owes "&amp;ROUND(-$L193,0),"")))))))))</f>
        <v/>
      </c>
    </row>
    <row r="194" customFormat="false" ht="15" hidden="false" customHeight="false" outlineLevel="0" collapsed="false">
      <c r="A194" s="24" t="str">
        <f aca="false">IF($B194="","",ROW()-5)</f>
        <v/>
      </c>
      <c r="B194" s="25"/>
      <c r="C194" s="20"/>
      <c r="D194" s="26"/>
      <c r="E194" s="27"/>
      <c r="F194" s="20"/>
      <c r="G194" s="20"/>
      <c r="H194" s="26"/>
      <c r="I194" s="24" t="str">
        <f aca="false">IF($C194="","",IFERROR(INDEX(WorkerIDs,MATCH($C194,WorkerNames,0)),"?"))</f>
        <v/>
      </c>
      <c r="J194" s="18" t="str">
        <f aca="false">IF($B194="","",$B194-WEEKDAY($B194,2)+1)</f>
        <v/>
      </c>
      <c r="K194" s="28" t="str">
        <f aca="false">IF(OR($I194="",$I194="?",$D194&lt;&gt;"Advance",$B194=""),"",$I194&amp;"|"&amp;$J194&amp;"|"&amp;COUNTIFS($I$6:$I194,$I194,$J$6:$J194,$J194,$D$6:$D194,"Advance"))</f>
        <v/>
      </c>
      <c r="L194" s="29" t="str">
        <f aca="false">IF(OR($I194="",$I194="?",$B194=""),"",SUMPRODUCT((Weeks!$A$6:$A$58&lt;=$J194)*(Weeks!$Z$4:$AK$4=$I194)*Weeks!$Z$6:$AK$58)-SUMIFS($E$6:$E$1005,$I$6:$I$1005,$I194,$B$6:$B$1005,"&lt;="&amp;$B194))</f>
        <v/>
      </c>
      <c r="M194" s="19" t="str">
        <f aca="false">IF($B194&amp;$C194&amp;$D194&amp;$E194="","",IF($B194="","missing date",IF($C194="","missing worker",IF($I194="?","unknown worker - was the name changed on Workers?",IF($D194="","missing type",IF(N($E194)=0,"missing amount",IF(AND($E194&lt;0,$D194&lt;&gt;"Correction"),"negative amount - use a Correction to undo",IF(OR($B194&lt;Weeks!$A$6,$B194&gt;Weeks!$B$58),"date outside this workbook's year",IF(AND($D194="Advance",N($L194)&lt;0),"Warning: more than earned so far - worker now owes "&amp;ROUND(-$L194,0),"")))))))))</f>
        <v/>
      </c>
    </row>
    <row r="195" customFormat="false" ht="15" hidden="false" customHeight="false" outlineLevel="0" collapsed="false">
      <c r="A195" s="24" t="str">
        <f aca="false">IF($B195="","",ROW()-5)</f>
        <v/>
      </c>
      <c r="B195" s="25"/>
      <c r="C195" s="20"/>
      <c r="D195" s="26"/>
      <c r="E195" s="27"/>
      <c r="F195" s="20"/>
      <c r="G195" s="20"/>
      <c r="H195" s="26"/>
      <c r="I195" s="24" t="str">
        <f aca="false">IF($C195="","",IFERROR(INDEX(WorkerIDs,MATCH($C195,WorkerNames,0)),"?"))</f>
        <v/>
      </c>
      <c r="J195" s="18" t="str">
        <f aca="false">IF($B195="","",$B195-WEEKDAY($B195,2)+1)</f>
        <v/>
      </c>
      <c r="K195" s="28" t="str">
        <f aca="false">IF(OR($I195="",$I195="?",$D195&lt;&gt;"Advance",$B195=""),"",$I195&amp;"|"&amp;$J195&amp;"|"&amp;COUNTIFS($I$6:$I195,$I195,$J$6:$J195,$J195,$D$6:$D195,"Advance"))</f>
        <v/>
      </c>
      <c r="L195" s="29" t="str">
        <f aca="false">IF(OR($I195="",$I195="?",$B195=""),"",SUMPRODUCT((Weeks!$A$6:$A$58&lt;=$J195)*(Weeks!$Z$4:$AK$4=$I195)*Weeks!$Z$6:$AK$58)-SUMIFS($E$6:$E$1005,$I$6:$I$1005,$I195,$B$6:$B$1005,"&lt;="&amp;$B195))</f>
        <v/>
      </c>
      <c r="M195" s="19" t="str">
        <f aca="false">IF($B195&amp;$C195&amp;$D195&amp;$E195="","",IF($B195="","missing date",IF($C195="","missing worker",IF($I195="?","unknown worker - was the name changed on Workers?",IF($D195="","missing type",IF(N($E195)=0,"missing amount",IF(AND($E195&lt;0,$D195&lt;&gt;"Correction"),"negative amount - use a Correction to undo",IF(OR($B195&lt;Weeks!$A$6,$B195&gt;Weeks!$B$58),"date outside this workbook's year",IF(AND($D195="Advance",N($L195)&lt;0),"Warning: more than earned so far - worker now owes "&amp;ROUND(-$L195,0),"")))))))))</f>
        <v/>
      </c>
    </row>
    <row r="196" customFormat="false" ht="15" hidden="false" customHeight="false" outlineLevel="0" collapsed="false">
      <c r="A196" s="24" t="str">
        <f aca="false">IF($B196="","",ROW()-5)</f>
        <v/>
      </c>
      <c r="B196" s="25"/>
      <c r="C196" s="20"/>
      <c r="D196" s="26"/>
      <c r="E196" s="27"/>
      <c r="F196" s="20"/>
      <c r="G196" s="20"/>
      <c r="H196" s="26"/>
      <c r="I196" s="24" t="str">
        <f aca="false">IF($C196="","",IFERROR(INDEX(WorkerIDs,MATCH($C196,WorkerNames,0)),"?"))</f>
        <v/>
      </c>
      <c r="J196" s="18" t="str">
        <f aca="false">IF($B196="","",$B196-WEEKDAY($B196,2)+1)</f>
        <v/>
      </c>
      <c r="K196" s="28" t="str">
        <f aca="false">IF(OR($I196="",$I196="?",$D196&lt;&gt;"Advance",$B196=""),"",$I196&amp;"|"&amp;$J196&amp;"|"&amp;COUNTIFS($I$6:$I196,$I196,$J$6:$J196,$J196,$D$6:$D196,"Advance"))</f>
        <v/>
      </c>
      <c r="L196" s="29" t="str">
        <f aca="false">IF(OR($I196="",$I196="?",$B196=""),"",SUMPRODUCT((Weeks!$A$6:$A$58&lt;=$J196)*(Weeks!$Z$4:$AK$4=$I196)*Weeks!$Z$6:$AK$58)-SUMIFS($E$6:$E$1005,$I$6:$I$1005,$I196,$B$6:$B$1005,"&lt;="&amp;$B196))</f>
        <v/>
      </c>
      <c r="M196" s="19" t="str">
        <f aca="false">IF($B196&amp;$C196&amp;$D196&amp;$E196="","",IF($B196="","missing date",IF($C196="","missing worker",IF($I196="?","unknown worker - was the name changed on Workers?",IF($D196="","missing type",IF(N($E196)=0,"missing amount",IF(AND($E196&lt;0,$D196&lt;&gt;"Correction"),"negative amount - use a Correction to undo",IF(OR($B196&lt;Weeks!$A$6,$B196&gt;Weeks!$B$58),"date outside this workbook's year",IF(AND($D196="Advance",N($L196)&lt;0),"Warning: more than earned so far - worker now owes "&amp;ROUND(-$L196,0),"")))))))))</f>
        <v/>
      </c>
    </row>
    <row r="197" customFormat="false" ht="15" hidden="false" customHeight="false" outlineLevel="0" collapsed="false">
      <c r="A197" s="24" t="str">
        <f aca="false">IF($B197="","",ROW()-5)</f>
        <v/>
      </c>
      <c r="B197" s="25"/>
      <c r="C197" s="20"/>
      <c r="D197" s="26"/>
      <c r="E197" s="27"/>
      <c r="F197" s="20"/>
      <c r="G197" s="20"/>
      <c r="H197" s="26"/>
      <c r="I197" s="24" t="str">
        <f aca="false">IF($C197="","",IFERROR(INDEX(WorkerIDs,MATCH($C197,WorkerNames,0)),"?"))</f>
        <v/>
      </c>
      <c r="J197" s="18" t="str">
        <f aca="false">IF($B197="","",$B197-WEEKDAY($B197,2)+1)</f>
        <v/>
      </c>
      <c r="K197" s="28" t="str">
        <f aca="false">IF(OR($I197="",$I197="?",$D197&lt;&gt;"Advance",$B197=""),"",$I197&amp;"|"&amp;$J197&amp;"|"&amp;COUNTIFS($I$6:$I197,$I197,$J$6:$J197,$J197,$D$6:$D197,"Advance"))</f>
        <v/>
      </c>
      <c r="L197" s="29" t="str">
        <f aca="false">IF(OR($I197="",$I197="?",$B197=""),"",SUMPRODUCT((Weeks!$A$6:$A$58&lt;=$J197)*(Weeks!$Z$4:$AK$4=$I197)*Weeks!$Z$6:$AK$58)-SUMIFS($E$6:$E$1005,$I$6:$I$1005,$I197,$B$6:$B$1005,"&lt;="&amp;$B197))</f>
        <v/>
      </c>
      <c r="M197" s="19" t="str">
        <f aca="false">IF($B197&amp;$C197&amp;$D197&amp;$E197="","",IF($B197="","missing date",IF($C197="","missing worker",IF($I197="?","unknown worker - was the name changed on Workers?",IF($D197="","missing type",IF(N($E197)=0,"missing amount",IF(AND($E197&lt;0,$D197&lt;&gt;"Correction"),"negative amount - use a Correction to undo",IF(OR($B197&lt;Weeks!$A$6,$B197&gt;Weeks!$B$58),"date outside this workbook's year",IF(AND($D197="Advance",N($L197)&lt;0),"Warning: more than earned so far - worker now owes "&amp;ROUND(-$L197,0),"")))))))))</f>
        <v/>
      </c>
    </row>
    <row r="198" customFormat="false" ht="15" hidden="false" customHeight="false" outlineLevel="0" collapsed="false">
      <c r="A198" s="24" t="str">
        <f aca="false">IF($B198="","",ROW()-5)</f>
        <v/>
      </c>
      <c r="B198" s="25"/>
      <c r="C198" s="20"/>
      <c r="D198" s="26"/>
      <c r="E198" s="27"/>
      <c r="F198" s="20"/>
      <c r="G198" s="20"/>
      <c r="H198" s="26"/>
      <c r="I198" s="24" t="str">
        <f aca="false">IF($C198="","",IFERROR(INDEX(WorkerIDs,MATCH($C198,WorkerNames,0)),"?"))</f>
        <v/>
      </c>
      <c r="J198" s="18" t="str">
        <f aca="false">IF($B198="","",$B198-WEEKDAY($B198,2)+1)</f>
        <v/>
      </c>
      <c r="K198" s="28" t="str">
        <f aca="false">IF(OR($I198="",$I198="?",$D198&lt;&gt;"Advance",$B198=""),"",$I198&amp;"|"&amp;$J198&amp;"|"&amp;COUNTIFS($I$6:$I198,$I198,$J$6:$J198,$J198,$D$6:$D198,"Advance"))</f>
        <v/>
      </c>
      <c r="L198" s="29" t="str">
        <f aca="false">IF(OR($I198="",$I198="?",$B198=""),"",SUMPRODUCT((Weeks!$A$6:$A$58&lt;=$J198)*(Weeks!$Z$4:$AK$4=$I198)*Weeks!$Z$6:$AK$58)-SUMIFS($E$6:$E$1005,$I$6:$I$1005,$I198,$B$6:$B$1005,"&lt;="&amp;$B198))</f>
        <v/>
      </c>
      <c r="M198" s="19" t="str">
        <f aca="false">IF($B198&amp;$C198&amp;$D198&amp;$E198="","",IF($B198="","missing date",IF($C198="","missing worker",IF($I198="?","unknown worker - was the name changed on Workers?",IF($D198="","missing type",IF(N($E198)=0,"missing amount",IF(AND($E198&lt;0,$D198&lt;&gt;"Correction"),"negative amount - use a Correction to undo",IF(OR($B198&lt;Weeks!$A$6,$B198&gt;Weeks!$B$58),"date outside this workbook's year",IF(AND($D198="Advance",N($L198)&lt;0),"Warning: more than earned so far - worker now owes "&amp;ROUND(-$L198,0),"")))))))))</f>
        <v/>
      </c>
    </row>
    <row r="199" customFormat="false" ht="15" hidden="false" customHeight="false" outlineLevel="0" collapsed="false">
      <c r="A199" s="24" t="str">
        <f aca="false">IF($B199="","",ROW()-5)</f>
        <v/>
      </c>
      <c r="B199" s="25"/>
      <c r="C199" s="20"/>
      <c r="D199" s="26"/>
      <c r="E199" s="27"/>
      <c r="F199" s="20"/>
      <c r="G199" s="20"/>
      <c r="H199" s="26"/>
      <c r="I199" s="24" t="str">
        <f aca="false">IF($C199="","",IFERROR(INDEX(WorkerIDs,MATCH($C199,WorkerNames,0)),"?"))</f>
        <v/>
      </c>
      <c r="J199" s="18" t="str">
        <f aca="false">IF($B199="","",$B199-WEEKDAY($B199,2)+1)</f>
        <v/>
      </c>
      <c r="K199" s="28" t="str">
        <f aca="false">IF(OR($I199="",$I199="?",$D199&lt;&gt;"Advance",$B199=""),"",$I199&amp;"|"&amp;$J199&amp;"|"&amp;COUNTIFS($I$6:$I199,$I199,$J$6:$J199,$J199,$D$6:$D199,"Advance"))</f>
        <v/>
      </c>
      <c r="L199" s="29" t="str">
        <f aca="false">IF(OR($I199="",$I199="?",$B199=""),"",SUMPRODUCT((Weeks!$A$6:$A$58&lt;=$J199)*(Weeks!$Z$4:$AK$4=$I199)*Weeks!$Z$6:$AK$58)-SUMIFS($E$6:$E$1005,$I$6:$I$1005,$I199,$B$6:$B$1005,"&lt;="&amp;$B199))</f>
        <v/>
      </c>
      <c r="M199" s="19" t="str">
        <f aca="false">IF($B199&amp;$C199&amp;$D199&amp;$E199="","",IF($B199="","missing date",IF($C199="","missing worker",IF($I199="?","unknown worker - was the name changed on Workers?",IF($D199="","missing type",IF(N($E199)=0,"missing amount",IF(AND($E199&lt;0,$D199&lt;&gt;"Correction"),"negative amount - use a Correction to undo",IF(OR($B199&lt;Weeks!$A$6,$B199&gt;Weeks!$B$58),"date outside this workbook's year",IF(AND($D199="Advance",N($L199)&lt;0),"Warning: more than earned so far - worker now owes "&amp;ROUND(-$L199,0),"")))))))))</f>
        <v/>
      </c>
    </row>
    <row r="200" customFormat="false" ht="15" hidden="false" customHeight="false" outlineLevel="0" collapsed="false">
      <c r="A200" s="24" t="str">
        <f aca="false">IF($B200="","",ROW()-5)</f>
        <v/>
      </c>
      <c r="B200" s="25"/>
      <c r="C200" s="20"/>
      <c r="D200" s="26"/>
      <c r="E200" s="27"/>
      <c r="F200" s="20"/>
      <c r="G200" s="20"/>
      <c r="H200" s="26"/>
      <c r="I200" s="24" t="str">
        <f aca="false">IF($C200="","",IFERROR(INDEX(WorkerIDs,MATCH($C200,WorkerNames,0)),"?"))</f>
        <v/>
      </c>
      <c r="J200" s="18" t="str">
        <f aca="false">IF($B200="","",$B200-WEEKDAY($B200,2)+1)</f>
        <v/>
      </c>
      <c r="K200" s="28" t="str">
        <f aca="false">IF(OR($I200="",$I200="?",$D200&lt;&gt;"Advance",$B200=""),"",$I200&amp;"|"&amp;$J200&amp;"|"&amp;COUNTIFS($I$6:$I200,$I200,$J$6:$J200,$J200,$D$6:$D200,"Advance"))</f>
        <v/>
      </c>
      <c r="L200" s="29" t="str">
        <f aca="false">IF(OR($I200="",$I200="?",$B200=""),"",SUMPRODUCT((Weeks!$A$6:$A$58&lt;=$J200)*(Weeks!$Z$4:$AK$4=$I200)*Weeks!$Z$6:$AK$58)-SUMIFS($E$6:$E$1005,$I$6:$I$1005,$I200,$B$6:$B$1005,"&lt;="&amp;$B200))</f>
        <v/>
      </c>
      <c r="M200" s="19" t="str">
        <f aca="false">IF($B200&amp;$C200&amp;$D200&amp;$E200="","",IF($B200="","missing date",IF($C200="","missing worker",IF($I200="?","unknown worker - was the name changed on Workers?",IF($D200="","missing type",IF(N($E200)=0,"missing amount",IF(AND($E200&lt;0,$D200&lt;&gt;"Correction"),"negative amount - use a Correction to undo",IF(OR($B200&lt;Weeks!$A$6,$B200&gt;Weeks!$B$58),"date outside this workbook's year",IF(AND($D200="Advance",N($L200)&lt;0),"Warning: more than earned so far - worker now owes "&amp;ROUND(-$L200,0),"")))))))))</f>
        <v/>
      </c>
    </row>
    <row r="201" customFormat="false" ht="15" hidden="false" customHeight="false" outlineLevel="0" collapsed="false">
      <c r="A201" s="24" t="str">
        <f aca="false">IF($B201="","",ROW()-5)</f>
        <v/>
      </c>
      <c r="B201" s="25"/>
      <c r="C201" s="20"/>
      <c r="D201" s="26"/>
      <c r="E201" s="27"/>
      <c r="F201" s="20"/>
      <c r="G201" s="20"/>
      <c r="H201" s="26"/>
      <c r="I201" s="24" t="str">
        <f aca="false">IF($C201="","",IFERROR(INDEX(WorkerIDs,MATCH($C201,WorkerNames,0)),"?"))</f>
        <v/>
      </c>
      <c r="J201" s="18" t="str">
        <f aca="false">IF($B201="","",$B201-WEEKDAY($B201,2)+1)</f>
        <v/>
      </c>
      <c r="K201" s="28" t="str">
        <f aca="false">IF(OR($I201="",$I201="?",$D201&lt;&gt;"Advance",$B201=""),"",$I201&amp;"|"&amp;$J201&amp;"|"&amp;COUNTIFS($I$6:$I201,$I201,$J$6:$J201,$J201,$D$6:$D201,"Advance"))</f>
        <v/>
      </c>
      <c r="L201" s="29" t="str">
        <f aca="false">IF(OR($I201="",$I201="?",$B201=""),"",SUMPRODUCT((Weeks!$A$6:$A$58&lt;=$J201)*(Weeks!$Z$4:$AK$4=$I201)*Weeks!$Z$6:$AK$58)-SUMIFS($E$6:$E$1005,$I$6:$I$1005,$I201,$B$6:$B$1005,"&lt;="&amp;$B201))</f>
        <v/>
      </c>
      <c r="M201" s="19" t="str">
        <f aca="false">IF($B201&amp;$C201&amp;$D201&amp;$E201="","",IF($B201="","missing date",IF($C201="","missing worker",IF($I201="?","unknown worker - was the name changed on Workers?",IF($D201="","missing type",IF(N($E201)=0,"missing amount",IF(AND($E201&lt;0,$D201&lt;&gt;"Correction"),"negative amount - use a Correction to undo",IF(OR($B201&lt;Weeks!$A$6,$B201&gt;Weeks!$B$58),"date outside this workbook's year",IF(AND($D201="Advance",N($L201)&lt;0),"Warning: more than earned so far - worker now owes "&amp;ROUND(-$L201,0),"")))))))))</f>
        <v/>
      </c>
    </row>
    <row r="202" customFormat="false" ht="15" hidden="false" customHeight="false" outlineLevel="0" collapsed="false">
      <c r="A202" s="24" t="str">
        <f aca="false">IF($B202="","",ROW()-5)</f>
        <v/>
      </c>
      <c r="B202" s="25"/>
      <c r="C202" s="20"/>
      <c r="D202" s="26"/>
      <c r="E202" s="27"/>
      <c r="F202" s="20"/>
      <c r="G202" s="20"/>
      <c r="H202" s="26"/>
      <c r="I202" s="24" t="str">
        <f aca="false">IF($C202="","",IFERROR(INDEX(WorkerIDs,MATCH($C202,WorkerNames,0)),"?"))</f>
        <v/>
      </c>
      <c r="J202" s="18" t="str">
        <f aca="false">IF($B202="","",$B202-WEEKDAY($B202,2)+1)</f>
        <v/>
      </c>
      <c r="K202" s="28" t="str">
        <f aca="false">IF(OR($I202="",$I202="?",$D202&lt;&gt;"Advance",$B202=""),"",$I202&amp;"|"&amp;$J202&amp;"|"&amp;COUNTIFS($I$6:$I202,$I202,$J$6:$J202,$J202,$D$6:$D202,"Advance"))</f>
        <v/>
      </c>
      <c r="L202" s="29" t="str">
        <f aca="false">IF(OR($I202="",$I202="?",$B202=""),"",SUMPRODUCT((Weeks!$A$6:$A$58&lt;=$J202)*(Weeks!$Z$4:$AK$4=$I202)*Weeks!$Z$6:$AK$58)-SUMIFS($E$6:$E$1005,$I$6:$I$1005,$I202,$B$6:$B$1005,"&lt;="&amp;$B202))</f>
        <v/>
      </c>
      <c r="M202" s="19" t="str">
        <f aca="false">IF($B202&amp;$C202&amp;$D202&amp;$E202="","",IF($B202="","missing date",IF($C202="","missing worker",IF($I202="?","unknown worker - was the name changed on Workers?",IF($D202="","missing type",IF(N($E202)=0,"missing amount",IF(AND($E202&lt;0,$D202&lt;&gt;"Correction"),"negative amount - use a Correction to undo",IF(OR($B202&lt;Weeks!$A$6,$B202&gt;Weeks!$B$58),"date outside this workbook's year",IF(AND($D202="Advance",N($L202)&lt;0),"Warning: more than earned so far - worker now owes "&amp;ROUND(-$L202,0),"")))))))))</f>
        <v/>
      </c>
    </row>
    <row r="203" customFormat="false" ht="15" hidden="false" customHeight="false" outlineLevel="0" collapsed="false">
      <c r="A203" s="24" t="str">
        <f aca="false">IF($B203="","",ROW()-5)</f>
        <v/>
      </c>
      <c r="B203" s="25"/>
      <c r="C203" s="20"/>
      <c r="D203" s="26"/>
      <c r="E203" s="27"/>
      <c r="F203" s="20"/>
      <c r="G203" s="20"/>
      <c r="H203" s="26"/>
      <c r="I203" s="24" t="str">
        <f aca="false">IF($C203="","",IFERROR(INDEX(WorkerIDs,MATCH($C203,WorkerNames,0)),"?"))</f>
        <v/>
      </c>
      <c r="J203" s="18" t="str">
        <f aca="false">IF($B203="","",$B203-WEEKDAY($B203,2)+1)</f>
        <v/>
      </c>
      <c r="K203" s="28" t="str">
        <f aca="false">IF(OR($I203="",$I203="?",$D203&lt;&gt;"Advance",$B203=""),"",$I203&amp;"|"&amp;$J203&amp;"|"&amp;COUNTIFS($I$6:$I203,$I203,$J$6:$J203,$J203,$D$6:$D203,"Advance"))</f>
        <v/>
      </c>
      <c r="L203" s="29" t="str">
        <f aca="false">IF(OR($I203="",$I203="?",$B203=""),"",SUMPRODUCT((Weeks!$A$6:$A$58&lt;=$J203)*(Weeks!$Z$4:$AK$4=$I203)*Weeks!$Z$6:$AK$58)-SUMIFS($E$6:$E$1005,$I$6:$I$1005,$I203,$B$6:$B$1005,"&lt;="&amp;$B203))</f>
        <v/>
      </c>
      <c r="M203" s="19" t="str">
        <f aca="false">IF($B203&amp;$C203&amp;$D203&amp;$E203="","",IF($B203="","missing date",IF($C203="","missing worker",IF($I203="?","unknown worker - was the name changed on Workers?",IF($D203="","missing type",IF(N($E203)=0,"missing amount",IF(AND($E203&lt;0,$D203&lt;&gt;"Correction"),"negative amount - use a Correction to undo",IF(OR($B203&lt;Weeks!$A$6,$B203&gt;Weeks!$B$58),"date outside this workbook's year",IF(AND($D203="Advance",N($L203)&lt;0),"Warning: more than earned so far - worker now owes "&amp;ROUND(-$L203,0),"")))))))))</f>
        <v/>
      </c>
    </row>
    <row r="204" customFormat="false" ht="15" hidden="false" customHeight="false" outlineLevel="0" collapsed="false">
      <c r="A204" s="24" t="str">
        <f aca="false">IF($B204="","",ROW()-5)</f>
        <v/>
      </c>
      <c r="B204" s="25"/>
      <c r="C204" s="20"/>
      <c r="D204" s="26"/>
      <c r="E204" s="27"/>
      <c r="F204" s="20"/>
      <c r="G204" s="20"/>
      <c r="H204" s="26"/>
      <c r="I204" s="24" t="str">
        <f aca="false">IF($C204="","",IFERROR(INDEX(WorkerIDs,MATCH($C204,WorkerNames,0)),"?"))</f>
        <v/>
      </c>
      <c r="J204" s="18" t="str">
        <f aca="false">IF($B204="","",$B204-WEEKDAY($B204,2)+1)</f>
        <v/>
      </c>
      <c r="K204" s="28" t="str">
        <f aca="false">IF(OR($I204="",$I204="?",$D204&lt;&gt;"Advance",$B204=""),"",$I204&amp;"|"&amp;$J204&amp;"|"&amp;COUNTIFS($I$6:$I204,$I204,$J$6:$J204,$J204,$D$6:$D204,"Advance"))</f>
        <v/>
      </c>
      <c r="L204" s="29" t="str">
        <f aca="false">IF(OR($I204="",$I204="?",$B204=""),"",SUMPRODUCT((Weeks!$A$6:$A$58&lt;=$J204)*(Weeks!$Z$4:$AK$4=$I204)*Weeks!$Z$6:$AK$58)-SUMIFS($E$6:$E$1005,$I$6:$I$1005,$I204,$B$6:$B$1005,"&lt;="&amp;$B204))</f>
        <v/>
      </c>
      <c r="M204" s="19" t="str">
        <f aca="false">IF($B204&amp;$C204&amp;$D204&amp;$E204="","",IF($B204="","missing date",IF($C204="","missing worker",IF($I204="?","unknown worker - was the name changed on Workers?",IF($D204="","missing type",IF(N($E204)=0,"missing amount",IF(AND($E204&lt;0,$D204&lt;&gt;"Correction"),"negative amount - use a Correction to undo",IF(OR($B204&lt;Weeks!$A$6,$B204&gt;Weeks!$B$58),"date outside this workbook's year",IF(AND($D204="Advance",N($L204)&lt;0),"Warning: more than earned so far - worker now owes "&amp;ROUND(-$L204,0),"")))))))))</f>
        <v/>
      </c>
    </row>
    <row r="205" customFormat="false" ht="15" hidden="false" customHeight="false" outlineLevel="0" collapsed="false">
      <c r="A205" s="24" t="str">
        <f aca="false">IF($B205="","",ROW()-5)</f>
        <v/>
      </c>
      <c r="B205" s="25"/>
      <c r="C205" s="20"/>
      <c r="D205" s="26"/>
      <c r="E205" s="27"/>
      <c r="F205" s="20"/>
      <c r="G205" s="20"/>
      <c r="H205" s="26"/>
      <c r="I205" s="24" t="str">
        <f aca="false">IF($C205="","",IFERROR(INDEX(WorkerIDs,MATCH($C205,WorkerNames,0)),"?"))</f>
        <v/>
      </c>
      <c r="J205" s="18" t="str">
        <f aca="false">IF($B205="","",$B205-WEEKDAY($B205,2)+1)</f>
        <v/>
      </c>
      <c r="K205" s="28" t="str">
        <f aca="false">IF(OR($I205="",$I205="?",$D205&lt;&gt;"Advance",$B205=""),"",$I205&amp;"|"&amp;$J205&amp;"|"&amp;COUNTIFS($I$6:$I205,$I205,$J$6:$J205,$J205,$D$6:$D205,"Advance"))</f>
        <v/>
      </c>
      <c r="L205" s="29" t="str">
        <f aca="false">IF(OR($I205="",$I205="?",$B205=""),"",SUMPRODUCT((Weeks!$A$6:$A$58&lt;=$J205)*(Weeks!$Z$4:$AK$4=$I205)*Weeks!$Z$6:$AK$58)-SUMIFS($E$6:$E$1005,$I$6:$I$1005,$I205,$B$6:$B$1005,"&lt;="&amp;$B205))</f>
        <v/>
      </c>
      <c r="M205" s="19" t="str">
        <f aca="false">IF($B205&amp;$C205&amp;$D205&amp;$E205="","",IF($B205="","missing date",IF($C205="","missing worker",IF($I205="?","unknown worker - was the name changed on Workers?",IF($D205="","missing type",IF(N($E205)=0,"missing amount",IF(AND($E205&lt;0,$D205&lt;&gt;"Correction"),"negative amount - use a Correction to undo",IF(OR($B205&lt;Weeks!$A$6,$B205&gt;Weeks!$B$58),"date outside this workbook's year",IF(AND($D205="Advance",N($L205)&lt;0),"Warning: more than earned so far - worker now owes "&amp;ROUND(-$L205,0),"")))))))))</f>
        <v/>
      </c>
    </row>
    <row r="206" customFormat="false" ht="15" hidden="false" customHeight="false" outlineLevel="0" collapsed="false">
      <c r="A206" s="24" t="str">
        <f aca="false">IF($B206="","",ROW()-5)</f>
        <v/>
      </c>
      <c r="B206" s="25"/>
      <c r="C206" s="20"/>
      <c r="D206" s="26"/>
      <c r="E206" s="27"/>
      <c r="F206" s="20"/>
      <c r="G206" s="20"/>
      <c r="H206" s="26"/>
      <c r="I206" s="24" t="str">
        <f aca="false">IF($C206="","",IFERROR(INDEX(WorkerIDs,MATCH($C206,WorkerNames,0)),"?"))</f>
        <v/>
      </c>
      <c r="J206" s="18" t="str">
        <f aca="false">IF($B206="","",$B206-WEEKDAY($B206,2)+1)</f>
        <v/>
      </c>
      <c r="K206" s="28" t="str">
        <f aca="false">IF(OR($I206="",$I206="?",$D206&lt;&gt;"Advance",$B206=""),"",$I206&amp;"|"&amp;$J206&amp;"|"&amp;COUNTIFS($I$6:$I206,$I206,$J$6:$J206,$J206,$D$6:$D206,"Advance"))</f>
        <v/>
      </c>
      <c r="L206" s="29" t="str">
        <f aca="false">IF(OR($I206="",$I206="?",$B206=""),"",SUMPRODUCT((Weeks!$A$6:$A$58&lt;=$J206)*(Weeks!$Z$4:$AK$4=$I206)*Weeks!$Z$6:$AK$58)-SUMIFS($E$6:$E$1005,$I$6:$I$1005,$I206,$B$6:$B$1005,"&lt;="&amp;$B206))</f>
        <v/>
      </c>
      <c r="M206" s="19" t="str">
        <f aca="false">IF($B206&amp;$C206&amp;$D206&amp;$E206="","",IF($B206="","missing date",IF($C206="","missing worker",IF($I206="?","unknown worker - was the name changed on Workers?",IF($D206="","missing type",IF(N($E206)=0,"missing amount",IF(AND($E206&lt;0,$D206&lt;&gt;"Correction"),"negative amount - use a Correction to undo",IF(OR($B206&lt;Weeks!$A$6,$B206&gt;Weeks!$B$58),"date outside this workbook's year",IF(AND($D206="Advance",N($L206)&lt;0),"Warning: more than earned so far - worker now owes "&amp;ROUND(-$L206,0),"")))))))))</f>
        <v/>
      </c>
    </row>
    <row r="207" customFormat="false" ht="15" hidden="false" customHeight="false" outlineLevel="0" collapsed="false">
      <c r="A207" s="24" t="str">
        <f aca="false">IF($B207="","",ROW()-5)</f>
        <v/>
      </c>
      <c r="B207" s="25"/>
      <c r="C207" s="20"/>
      <c r="D207" s="26"/>
      <c r="E207" s="27"/>
      <c r="F207" s="20"/>
      <c r="G207" s="20"/>
      <c r="H207" s="26"/>
      <c r="I207" s="24" t="str">
        <f aca="false">IF($C207="","",IFERROR(INDEX(WorkerIDs,MATCH($C207,WorkerNames,0)),"?"))</f>
        <v/>
      </c>
      <c r="J207" s="18" t="str">
        <f aca="false">IF($B207="","",$B207-WEEKDAY($B207,2)+1)</f>
        <v/>
      </c>
      <c r="K207" s="28" t="str">
        <f aca="false">IF(OR($I207="",$I207="?",$D207&lt;&gt;"Advance",$B207=""),"",$I207&amp;"|"&amp;$J207&amp;"|"&amp;COUNTIFS($I$6:$I207,$I207,$J$6:$J207,$J207,$D$6:$D207,"Advance"))</f>
        <v/>
      </c>
      <c r="L207" s="29" t="str">
        <f aca="false">IF(OR($I207="",$I207="?",$B207=""),"",SUMPRODUCT((Weeks!$A$6:$A$58&lt;=$J207)*(Weeks!$Z$4:$AK$4=$I207)*Weeks!$Z$6:$AK$58)-SUMIFS($E$6:$E$1005,$I$6:$I$1005,$I207,$B$6:$B$1005,"&lt;="&amp;$B207))</f>
        <v/>
      </c>
      <c r="M207" s="19" t="str">
        <f aca="false">IF($B207&amp;$C207&amp;$D207&amp;$E207="","",IF($B207="","missing date",IF($C207="","missing worker",IF($I207="?","unknown worker - was the name changed on Workers?",IF($D207="","missing type",IF(N($E207)=0,"missing amount",IF(AND($E207&lt;0,$D207&lt;&gt;"Correction"),"negative amount - use a Correction to undo",IF(OR($B207&lt;Weeks!$A$6,$B207&gt;Weeks!$B$58),"date outside this workbook's year",IF(AND($D207="Advance",N($L207)&lt;0),"Warning: more than earned so far - worker now owes "&amp;ROUND(-$L207,0),"")))))))))</f>
        <v/>
      </c>
    </row>
    <row r="208" customFormat="false" ht="15" hidden="false" customHeight="false" outlineLevel="0" collapsed="false">
      <c r="A208" s="24" t="str">
        <f aca="false">IF($B208="","",ROW()-5)</f>
        <v/>
      </c>
      <c r="B208" s="25"/>
      <c r="C208" s="20"/>
      <c r="D208" s="26"/>
      <c r="E208" s="27"/>
      <c r="F208" s="20"/>
      <c r="G208" s="20"/>
      <c r="H208" s="26"/>
      <c r="I208" s="24" t="str">
        <f aca="false">IF($C208="","",IFERROR(INDEX(WorkerIDs,MATCH($C208,WorkerNames,0)),"?"))</f>
        <v/>
      </c>
      <c r="J208" s="18" t="str">
        <f aca="false">IF($B208="","",$B208-WEEKDAY($B208,2)+1)</f>
        <v/>
      </c>
      <c r="K208" s="28" t="str">
        <f aca="false">IF(OR($I208="",$I208="?",$D208&lt;&gt;"Advance",$B208=""),"",$I208&amp;"|"&amp;$J208&amp;"|"&amp;COUNTIFS($I$6:$I208,$I208,$J$6:$J208,$J208,$D$6:$D208,"Advance"))</f>
        <v/>
      </c>
      <c r="L208" s="29" t="str">
        <f aca="false">IF(OR($I208="",$I208="?",$B208=""),"",SUMPRODUCT((Weeks!$A$6:$A$58&lt;=$J208)*(Weeks!$Z$4:$AK$4=$I208)*Weeks!$Z$6:$AK$58)-SUMIFS($E$6:$E$1005,$I$6:$I$1005,$I208,$B$6:$B$1005,"&lt;="&amp;$B208))</f>
        <v/>
      </c>
      <c r="M208" s="19" t="str">
        <f aca="false">IF($B208&amp;$C208&amp;$D208&amp;$E208="","",IF($B208="","missing date",IF($C208="","missing worker",IF($I208="?","unknown worker - was the name changed on Workers?",IF($D208="","missing type",IF(N($E208)=0,"missing amount",IF(AND($E208&lt;0,$D208&lt;&gt;"Correction"),"negative amount - use a Correction to undo",IF(OR($B208&lt;Weeks!$A$6,$B208&gt;Weeks!$B$58),"date outside this workbook's year",IF(AND($D208="Advance",N($L208)&lt;0),"Warning: more than earned so far - worker now owes "&amp;ROUND(-$L208,0),"")))))))))</f>
        <v/>
      </c>
    </row>
    <row r="209" customFormat="false" ht="15" hidden="false" customHeight="false" outlineLevel="0" collapsed="false">
      <c r="A209" s="24" t="str">
        <f aca="false">IF($B209="","",ROW()-5)</f>
        <v/>
      </c>
      <c r="B209" s="25"/>
      <c r="C209" s="20"/>
      <c r="D209" s="26"/>
      <c r="E209" s="27"/>
      <c r="F209" s="20"/>
      <c r="G209" s="20"/>
      <c r="H209" s="26"/>
      <c r="I209" s="24" t="str">
        <f aca="false">IF($C209="","",IFERROR(INDEX(WorkerIDs,MATCH($C209,WorkerNames,0)),"?"))</f>
        <v/>
      </c>
      <c r="J209" s="18" t="str">
        <f aca="false">IF($B209="","",$B209-WEEKDAY($B209,2)+1)</f>
        <v/>
      </c>
      <c r="K209" s="28" t="str">
        <f aca="false">IF(OR($I209="",$I209="?",$D209&lt;&gt;"Advance",$B209=""),"",$I209&amp;"|"&amp;$J209&amp;"|"&amp;COUNTIFS($I$6:$I209,$I209,$J$6:$J209,$J209,$D$6:$D209,"Advance"))</f>
        <v/>
      </c>
      <c r="L209" s="29" t="str">
        <f aca="false">IF(OR($I209="",$I209="?",$B209=""),"",SUMPRODUCT((Weeks!$A$6:$A$58&lt;=$J209)*(Weeks!$Z$4:$AK$4=$I209)*Weeks!$Z$6:$AK$58)-SUMIFS($E$6:$E$1005,$I$6:$I$1005,$I209,$B$6:$B$1005,"&lt;="&amp;$B209))</f>
        <v/>
      </c>
      <c r="M209" s="19" t="str">
        <f aca="false">IF($B209&amp;$C209&amp;$D209&amp;$E209="","",IF($B209="","missing date",IF($C209="","missing worker",IF($I209="?","unknown worker - was the name changed on Workers?",IF($D209="","missing type",IF(N($E209)=0,"missing amount",IF(AND($E209&lt;0,$D209&lt;&gt;"Correction"),"negative amount - use a Correction to undo",IF(OR($B209&lt;Weeks!$A$6,$B209&gt;Weeks!$B$58),"date outside this workbook's year",IF(AND($D209="Advance",N($L209)&lt;0),"Warning: more than earned so far - worker now owes "&amp;ROUND(-$L209,0),"")))))))))</f>
        <v/>
      </c>
    </row>
    <row r="210" customFormat="false" ht="15" hidden="false" customHeight="false" outlineLevel="0" collapsed="false">
      <c r="A210" s="24" t="str">
        <f aca="false">IF($B210="","",ROW()-5)</f>
        <v/>
      </c>
      <c r="B210" s="25"/>
      <c r="C210" s="20"/>
      <c r="D210" s="26"/>
      <c r="E210" s="27"/>
      <c r="F210" s="20"/>
      <c r="G210" s="20"/>
      <c r="H210" s="26"/>
      <c r="I210" s="24" t="str">
        <f aca="false">IF($C210="","",IFERROR(INDEX(WorkerIDs,MATCH($C210,WorkerNames,0)),"?"))</f>
        <v/>
      </c>
      <c r="J210" s="18" t="str">
        <f aca="false">IF($B210="","",$B210-WEEKDAY($B210,2)+1)</f>
        <v/>
      </c>
      <c r="K210" s="28" t="str">
        <f aca="false">IF(OR($I210="",$I210="?",$D210&lt;&gt;"Advance",$B210=""),"",$I210&amp;"|"&amp;$J210&amp;"|"&amp;COUNTIFS($I$6:$I210,$I210,$J$6:$J210,$J210,$D$6:$D210,"Advance"))</f>
        <v/>
      </c>
      <c r="L210" s="29" t="str">
        <f aca="false">IF(OR($I210="",$I210="?",$B210=""),"",SUMPRODUCT((Weeks!$A$6:$A$58&lt;=$J210)*(Weeks!$Z$4:$AK$4=$I210)*Weeks!$Z$6:$AK$58)-SUMIFS($E$6:$E$1005,$I$6:$I$1005,$I210,$B$6:$B$1005,"&lt;="&amp;$B210))</f>
        <v/>
      </c>
      <c r="M210" s="19" t="str">
        <f aca="false">IF($B210&amp;$C210&amp;$D210&amp;$E210="","",IF($B210="","missing date",IF($C210="","missing worker",IF($I210="?","unknown worker - was the name changed on Workers?",IF($D210="","missing type",IF(N($E210)=0,"missing amount",IF(AND($E210&lt;0,$D210&lt;&gt;"Correction"),"negative amount - use a Correction to undo",IF(OR($B210&lt;Weeks!$A$6,$B210&gt;Weeks!$B$58),"date outside this workbook's year",IF(AND($D210="Advance",N($L210)&lt;0),"Warning: more than earned so far - worker now owes "&amp;ROUND(-$L210,0),"")))))))))</f>
        <v/>
      </c>
    </row>
    <row r="211" customFormat="false" ht="15" hidden="false" customHeight="false" outlineLevel="0" collapsed="false">
      <c r="A211" s="24" t="str">
        <f aca="false">IF($B211="","",ROW()-5)</f>
        <v/>
      </c>
      <c r="B211" s="25"/>
      <c r="C211" s="20"/>
      <c r="D211" s="26"/>
      <c r="E211" s="27"/>
      <c r="F211" s="20"/>
      <c r="G211" s="20"/>
      <c r="H211" s="26"/>
      <c r="I211" s="24" t="str">
        <f aca="false">IF($C211="","",IFERROR(INDEX(WorkerIDs,MATCH($C211,WorkerNames,0)),"?"))</f>
        <v/>
      </c>
      <c r="J211" s="18" t="str">
        <f aca="false">IF($B211="","",$B211-WEEKDAY($B211,2)+1)</f>
        <v/>
      </c>
      <c r="K211" s="28" t="str">
        <f aca="false">IF(OR($I211="",$I211="?",$D211&lt;&gt;"Advance",$B211=""),"",$I211&amp;"|"&amp;$J211&amp;"|"&amp;COUNTIFS($I$6:$I211,$I211,$J$6:$J211,$J211,$D$6:$D211,"Advance"))</f>
        <v/>
      </c>
      <c r="L211" s="29" t="str">
        <f aca="false">IF(OR($I211="",$I211="?",$B211=""),"",SUMPRODUCT((Weeks!$A$6:$A$58&lt;=$J211)*(Weeks!$Z$4:$AK$4=$I211)*Weeks!$Z$6:$AK$58)-SUMIFS($E$6:$E$1005,$I$6:$I$1005,$I211,$B$6:$B$1005,"&lt;="&amp;$B211))</f>
        <v/>
      </c>
      <c r="M211" s="19" t="str">
        <f aca="false">IF($B211&amp;$C211&amp;$D211&amp;$E211="","",IF($B211="","missing date",IF($C211="","missing worker",IF($I211="?","unknown worker - was the name changed on Workers?",IF($D211="","missing type",IF(N($E211)=0,"missing amount",IF(AND($E211&lt;0,$D211&lt;&gt;"Correction"),"negative amount - use a Correction to undo",IF(OR($B211&lt;Weeks!$A$6,$B211&gt;Weeks!$B$58),"date outside this workbook's year",IF(AND($D211="Advance",N($L211)&lt;0),"Warning: more than earned so far - worker now owes "&amp;ROUND(-$L211,0),"")))))))))</f>
        <v/>
      </c>
    </row>
    <row r="212" customFormat="false" ht="15" hidden="false" customHeight="false" outlineLevel="0" collapsed="false">
      <c r="A212" s="24" t="str">
        <f aca="false">IF($B212="","",ROW()-5)</f>
        <v/>
      </c>
      <c r="B212" s="25"/>
      <c r="C212" s="20"/>
      <c r="D212" s="26"/>
      <c r="E212" s="27"/>
      <c r="F212" s="20"/>
      <c r="G212" s="20"/>
      <c r="H212" s="26"/>
      <c r="I212" s="24" t="str">
        <f aca="false">IF($C212="","",IFERROR(INDEX(WorkerIDs,MATCH($C212,WorkerNames,0)),"?"))</f>
        <v/>
      </c>
      <c r="J212" s="18" t="str">
        <f aca="false">IF($B212="","",$B212-WEEKDAY($B212,2)+1)</f>
        <v/>
      </c>
      <c r="K212" s="28" t="str">
        <f aca="false">IF(OR($I212="",$I212="?",$D212&lt;&gt;"Advance",$B212=""),"",$I212&amp;"|"&amp;$J212&amp;"|"&amp;COUNTIFS($I$6:$I212,$I212,$J$6:$J212,$J212,$D$6:$D212,"Advance"))</f>
        <v/>
      </c>
      <c r="L212" s="29" t="str">
        <f aca="false">IF(OR($I212="",$I212="?",$B212=""),"",SUMPRODUCT((Weeks!$A$6:$A$58&lt;=$J212)*(Weeks!$Z$4:$AK$4=$I212)*Weeks!$Z$6:$AK$58)-SUMIFS($E$6:$E$1005,$I$6:$I$1005,$I212,$B$6:$B$1005,"&lt;="&amp;$B212))</f>
        <v/>
      </c>
      <c r="M212" s="19" t="str">
        <f aca="false">IF($B212&amp;$C212&amp;$D212&amp;$E212="","",IF($B212="","missing date",IF($C212="","missing worker",IF($I212="?","unknown worker - was the name changed on Workers?",IF($D212="","missing type",IF(N($E212)=0,"missing amount",IF(AND($E212&lt;0,$D212&lt;&gt;"Correction"),"negative amount - use a Correction to undo",IF(OR($B212&lt;Weeks!$A$6,$B212&gt;Weeks!$B$58),"date outside this workbook's year",IF(AND($D212="Advance",N($L212)&lt;0),"Warning: more than earned so far - worker now owes "&amp;ROUND(-$L212,0),"")))))))))</f>
        <v/>
      </c>
    </row>
    <row r="213" customFormat="false" ht="15" hidden="false" customHeight="false" outlineLevel="0" collapsed="false">
      <c r="A213" s="24" t="str">
        <f aca="false">IF($B213="","",ROW()-5)</f>
        <v/>
      </c>
      <c r="B213" s="25"/>
      <c r="C213" s="20"/>
      <c r="D213" s="26"/>
      <c r="E213" s="27"/>
      <c r="F213" s="20"/>
      <c r="G213" s="20"/>
      <c r="H213" s="26"/>
      <c r="I213" s="24" t="str">
        <f aca="false">IF($C213="","",IFERROR(INDEX(WorkerIDs,MATCH($C213,WorkerNames,0)),"?"))</f>
        <v/>
      </c>
      <c r="J213" s="18" t="str">
        <f aca="false">IF($B213="","",$B213-WEEKDAY($B213,2)+1)</f>
        <v/>
      </c>
      <c r="K213" s="28" t="str">
        <f aca="false">IF(OR($I213="",$I213="?",$D213&lt;&gt;"Advance",$B213=""),"",$I213&amp;"|"&amp;$J213&amp;"|"&amp;COUNTIFS($I$6:$I213,$I213,$J$6:$J213,$J213,$D$6:$D213,"Advance"))</f>
        <v/>
      </c>
      <c r="L213" s="29" t="str">
        <f aca="false">IF(OR($I213="",$I213="?",$B213=""),"",SUMPRODUCT((Weeks!$A$6:$A$58&lt;=$J213)*(Weeks!$Z$4:$AK$4=$I213)*Weeks!$Z$6:$AK$58)-SUMIFS($E$6:$E$1005,$I$6:$I$1005,$I213,$B$6:$B$1005,"&lt;="&amp;$B213))</f>
        <v/>
      </c>
      <c r="M213" s="19" t="str">
        <f aca="false">IF($B213&amp;$C213&amp;$D213&amp;$E213="","",IF($B213="","missing date",IF($C213="","missing worker",IF($I213="?","unknown worker - was the name changed on Workers?",IF($D213="","missing type",IF(N($E213)=0,"missing amount",IF(AND($E213&lt;0,$D213&lt;&gt;"Correction"),"negative amount - use a Correction to undo",IF(OR($B213&lt;Weeks!$A$6,$B213&gt;Weeks!$B$58),"date outside this workbook's year",IF(AND($D213="Advance",N($L213)&lt;0),"Warning: more than earned so far - worker now owes "&amp;ROUND(-$L213,0),"")))))))))</f>
        <v/>
      </c>
    </row>
    <row r="214" customFormat="false" ht="15" hidden="false" customHeight="false" outlineLevel="0" collapsed="false">
      <c r="A214" s="24" t="str">
        <f aca="false">IF($B214="","",ROW()-5)</f>
        <v/>
      </c>
      <c r="B214" s="25"/>
      <c r="C214" s="20"/>
      <c r="D214" s="26"/>
      <c r="E214" s="27"/>
      <c r="F214" s="20"/>
      <c r="G214" s="20"/>
      <c r="H214" s="26"/>
      <c r="I214" s="24" t="str">
        <f aca="false">IF($C214="","",IFERROR(INDEX(WorkerIDs,MATCH($C214,WorkerNames,0)),"?"))</f>
        <v/>
      </c>
      <c r="J214" s="18" t="str">
        <f aca="false">IF($B214="","",$B214-WEEKDAY($B214,2)+1)</f>
        <v/>
      </c>
      <c r="K214" s="28" t="str">
        <f aca="false">IF(OR($I214="",$I214="?",$D214&lt;&gt;"Advance",$B214=""),"",$I214&amp;"|"&amp;$J214&amp;"|"&amp;COUNTIFS($I$6:$I214,$I214,$J$6:$J214,$J214,$D$6:$D214,"Advance"))</f>
        <v/>
      </c>
      <c r="L214" s="29" t="str">
        <f aca="false">IF(OR($I214="",$I214="?",$B214=""),"",SUMPRODUCT((Weeks!$A$6:$A$58&lt;=$J214)*(Weeks!$Z$4:$AK$4=$I214)*Weeks!$Z$6:$AK$58)-SUMIFS($E$6:$E$1005,$I$6:$I$1005,$I214,$B$6:$B$1005,"&lt;="&amp;$B214))</f>
        <v/>
      </c>
      <c r="M214" s="19" t="str">
        <f aca="false">IF($B214&amp;$C214&amp;$D214&amp;$E214="","",IF($B214="","missing date",IF($C214="","missing worker",IF($I214="?","unknown worker - was the name changed on Workers?",IF($D214="","missing type",IF(N($E214)=0,"missing amount",IF(AND($E214&lt;0,$D214&lt;&gt;"Correction"),"negative amount - use a Correction to undo",IF(OR($B214&lt;Weeks!$A$6,$B214&gt;Weeks!$B$58),"date outside this workbook's year",IF(AND($D214="Advance",N($L214)&lt;0),"Warning: more than earned so far - worker now owes "&amp;ROUND(-$L214,0),"")))))))))</f>
        <v/>
      </c>
    </row>
    <row r="215" customFormat="false" ht="15" hidden="false" customHeight="false" outlineLevel="0" collapsed="false">
      <c r="A215" s="24" t="str">
        <f aca="false">IF($B215="","",ROW()-5)</f>
        <v/>
      </c>
      <c r="B215" s="25"/>
      <c r="C215" s="20"/>
      <c r="D215" s="26"/>
      <c r="E215" s="27"/>
      <c r="F215" s="20"/>
      <c r="G215" s="20"/>
      <c r="H215" s="26"/>
      <c r="I215" s="24" t="str">
        <f aca="false">IF($C215="","",IFERROR(INDEX(WorkerIDs,MATCH($C215,WorkerNames,0)),"?"))</f>
        <v/>
      </c>
      <c r="J215" s="18" t="str">
        <f aca="false">IF($B215="","",$B215-WEEKDAY($B215,2)+1)</f>
        <v/>
      </c>
      <c r="K215" s="28" t="str">
        <f aca="false">IF(OR($I215="",$I215="?",$D215&lt;&gt;"Advance",$B215=""),"",$I215&amp;"|"&amp;$J215&amp;"|"&amp;COUNTIFS($I$6:$I215,$I215,$J$6:$J215,$J215,$D$6:$D215,"Advance"))</f>
        <v/>
      </c>
      <c r="L215" s="29" t="str">
        <f aca="false">IF(OR($I215="",$I215="?",$B215=""),"",SUMPRODUCT((Weeks!$A$6:$A$58&lt;=$J215)*(Weeks!$Z$4:$AK$4=$I215)*Weeks!$Z$6:$AK$58)-SUMIFS($E$6:$E$1005,$I$6:$I$1005,$I215,$B$6:$B$1005,"&lt;="&amp;$B215))</f>
        <v/>
      </c>
      <c r="M215" s="19" t="str">
        <f aca="false">IF($B215&amp;$C215&amp;$D215&amp;$E215="","",IF($B215="","missing date",IF($C215="","missing worker",IF($I215="?","unknown worker - was the name changed on Workers?",IF($D215="","missing type",IF(N($E215)=0,"missing amount",IF(AND($E215&lt;0,$D215&lt;&gt;"Correction"),"negative amount - use a Correction to undo",IF(OR($B215&lt;Weeks!$A$6,$B215&gt;Weeks!$B$58),"date outside this workbook's year",IF(AND($D215="Advance",N($L215)&lt;0),"Warning: more than earned so far - worker now owes "&amp;ROUND(-$L215,0),"")))))))))</f>
        <v/>
      </c>
    </row>
    <row r="216" customFormat="false" ht="15" hidden="false" customHeight="false" outlineLevel="0" collapsed="false">
      <c r="A216" s="24" t="str">
        <f aca="false">IF($B216="","",ROW()-5)</f>
        <v/>
      </c>
      <c r="B216" s="25"/>
      <c r="C216" s="20"/>
      <c r="D216" s="26"/>
      <c r="E216" s="27"/>
      <c r="F216" s="20"/>
      <c r="G216" s="20"/>
      <c r="H216" s="26"/>
      <c r="I216" s="24" t="str">
        <f aca="false">IF($C216="","",IFERROR(INDEX(WorkerIDs,MATCH($C216,WorkerNames,0)),"?"))</f>
        <v/>
      </c>
      <c r="J216" s="18" t="str">
        <f aca="false">IF($B216="","",$B216-WEEKDAY($B216,2)+1)</f>
        <v/>
      </c>
      <c r="K216" s="28" t="str">
        <f aca="false">IF(OR($I216="",$I216="?",$D216&lt;&gt;"Advance",$B216=""),"",$I216&amp;"|"&amp;$J216&amp;"|"&amp;COUNTIFS($I$6:$I216,$I216,$J$6:$J216,$J216,$D$6:$D216,"Advance"))</f>
        <v/>
      </c>
      <c r="L216" s="29" t="str">
        <f aca="false">IF(OR($I216="",$I216="?",$B216=""),"",SUMPRODUCT((Weeks!$A$6:$A$58&lt;=$J216)*(Weeks!$Z$4:$AK$4=$I216)*Weeks!$Z$6:$AK$58)-SUMIFS($E$6:$E$1005,$I$6:$I$1005,$I216,$B$6:$B$1005,"&lt;="&amp;$B216))</f>
        <v/>
      </c>
      <c r="M216" s="19" t="str">
        <f aca="false">IF($B216&amp;$C216&amp;$D216&amp;$E216="","",IF($B216="","missing date",IF($C216="","missing worker",IF($I216="?","unknown worker - was the name changed on Workers?",IF($D216="","missing type",IF(N($E216)=0,"missing amount",IF(AND($E216&lt;0,$D216&lt;&gt;"Correction"),"negative amount - use a Correction to undo",IF(OR($B216&lt;Weeks!$A$6,$B216&gt;Weeks!$B$58),"date outside this workbook's year",IF(AND($D216="Advance",N($L216)&lt;0),"Warning: more than earned so far - worker now owes "&amp;ROUND(-$L216,0),"")))))))))</f>
        <v/>
      </c>
    </row>
    <row r="217" customFormat="false" ht="15" hidden="false" customHeight="false" outlineLevel="0" collapsed="false">
      <c r="A217" s="24" t="str">
        <f aca="false">IF($B217="","",ROW()-5)</f>
        <v/>
      </c>
      <c r="B217" s="25"/>
      <c r="C217" s="20"/>
      <c r="D217" s="26"/>
      <c r="E217" s="27"/>
      <c r="F217" s="20"/>
      <c r="G217" s="20"/>
      <c r="H217" s="26"/>
      <c r="I217" s="24" t="str">
        <f aca="false">IF($C217="","",IFERROR(INDEX(WorkerIDs,MATCH($C217,WorkerNames,0)),"?"))</f>
        <v/>
      </c>
      <c r="J217" s="18" t="str">
        <f aca="false">IF($B217="","",$B217-WEEKDAY($B217,2)+1)</f>
        <v/>
      </c>
      <c r="K217" s="28" t="str">
        <f aca="false">IF(OR($I217="",$I217="?",$D217&lt;&gt;"Advance",$B217=""),"",$I217&amp;"|"&amp;$J217&amp;"|"&amp;COUNTIFS($I$6:$I217,$I217,$J$6:$J217,$J217,$D$6:$D217,"Advance"))</f>
        <v/>
      </c>
      <c r="L217" s="29" t="str">
        <f aca="false">IF(OR($I217="",$I217="?",$B217=""),"",SUMPRODUCT((Weeks!$A$6:$A$58&lt;=$J217)*(Weeks!$Z$4:$AK$4=$I217)*Weeks!$Z$6:$AK$58)-SUMIFS($E$6:$E$1005,$I$6:$I$1005,$I217,$B$6:$B$1005,"&lt;="&amp;$B217))</f>
        <v/>
      </c>
      <c r="M217" s="19" t="str">
        <f aca="false">IF($B217&amp;$C217&amp;$D217&amp;$E217="","",IF($B217="","missing date",IF($C217="","missing worker",IF($I217="?","unknown worker - was the name changed on Workers?",IF($D217="","missing type",IF(N($E217)=0,"missing amount",IF(AND($E217&lt;0,$D217&lt;&gt;"Correction"),"negative amount - use a Correction to undo",IF(OR($B217&lt;Weeks!$A$6,$B217&gt;Weeks!$B$58),"date outside this workbook's year",IF(AND($D217="Advance",N($L217)&lt;0),"Warning: more than earned so far - worker now owes "&amp;ROUND(-$L217,0),"")))))))))</f>
        <v/>
      </c>
    </row>
    <row r="218" customFormat="false" ht="15" hidden="false" customHeight="false" outlineLevel="0" collapsed="false">
      <c r="A218" s="24" t="str">
        <f aca="false">IF($B218="","",ROW()-5)</f>
        <v/>
      </c>
      <c r="B218" s="25"/>
      <c r="C218" s="20"/>
      <c r="D218" s="26"/>
      <c r="E218" s="27"/>
      <c r="F218" s="20"/>
      <c r="G218" s="20"/>
      <c r="H218" s="26"/>
      <c r="I218" s="24" t="str">
        <f aca="false">IF($C218="","",IFERROR(INDEX(WorkerIDs,MATCH($C218,WorkerNames,0)),"?"))</f>
        <v/>
      </c>
      <c r="J218" s="18" t="str">
        <f aca="false">IF($B218="","",$B218-WEEKDAY($B218,2)+1)</f>
        <v/>
      </c>
      <c r="K218" s="28" t="str">
        <f aca="false">IF(OR($I218="",$I218="?",$D218&lt;&gt;"Advance",$B218=""),"",$I218&amp;"|"&amp;$J218&amp;"|"&amp;COUNTIFS($I$6:$I218,$I218,$J$6:$J218,$J218,$D$6:$D218,"Advance"))</f>
        <v/>
      </c>
      <c r="L218" s="29" t="str">
        <f aca="false">IF(OR($I218="",$I218="?",$B218=""),"",SUMPRODUCT((Weeks!$A$6:$A$58&lt;=$J218)*(Weeks!$Z$4:$AK$4=$I218)*Weeks!$Z$6:$AK$58)-SUMIFS($E$6:$E$1005,$I$6:$I$1005,$I218,$B$6:$B$1005,"&lt;="&amp;$B218))</f>
        <v/>
      </c>
      <c r="M218" s="19" t="str">
        <f aca="false">IF($B218&amp;$C218&amp;$D218&amp;$E218="","",IF($B218="","missing date",IF($C218="","missing worker",IF($I218="?","unknown worker - was the name changed on Workers?",IF($D218="","missing type",IF(N($E218)=0,"missing amount",IF(AND($E218&lt;0,$D218&lt;&gt;"Correction"),"negative amount - use a Correction to undo",IF(OR($B218&lt;Weeks!$A$6,$B218&gt;Weeks!$B$58),"date outside this workbook's year",IF(AND($D218="Advance",N($L218)&lt;0),"Warning: more than earned so far - worker now owes "&amp;ROUND(-$L218,0),"")))))))))</f>
        <v/>
      </c>
    </row>
    <row r="219" customFormat="false" ht="15" hidden="false" customHeight="false" outlineLevel="0" collapsed="false">
      <c r="A219" s="24" t="str">
        <f aca="false">IF($B219="","",ROW()-5)</f>
        <v/>
      </c>
      <c r="B219" s="25"/>
      <c r="C219" s="20"/>
      <c r="D219" s="26"/>
      <c r="E219" s="27"/>
      <c r="F219" s="20"/>
      <c r="G219" s="20"/>
      <c r="H219" s="26"/>
      <c r="I219" s="24" t="str">
        <f aca="false">IF($C219="","",IFERROR(INDEX(WorkerIDs,MATCH($C219,WorkerNames,0)),"?"))</f>
        <v/>
      </c>
      <c r="J219" s="18" t="str">
        <f aca="false">IF($B219="","",$B219-WEEKDAY($B219,2)+1)</f>
        <v/>
      </c>
      <c r="K219" s="28" t="str">
        <f aca="false">IF(OR($I219="",$I219="?",$D219&lt;&gt;"Advance",$B219=""),"",$I219&amp;"|"&amp;$J219&amp;"|"&amp;COUNTIFS($I$6:$I219,$I219,$J$6:$J219,$J219,$D$6:$D219,"Advance"))</f>
        <v/>
      </c>
      <c r="L219" s="29" t="str">
        <f aca="false">IF(OR($I219="",$I219="?",$B219=""),"",SUMPRODUCT((Weeks!$A$6:$A$58&lt;=$J219)*(Weeks!$Z$4:$AK$4=$I219)*Weeks!$Z$6:$AK$58)-SUMIFS($E$6:$E$1005,$I$6:$I$1005,$I219,$B$6:$B$1005,"&lt;="&amp;$B219))</f>
        <v/>
      </c>
      <c r="M219" s="19" t="str">
        <f aca="false">IF($B219&amp;$C219&amp;$D219&amp;$E219="","",IF($B219="","missing date",IF($C219="","missing worker",IF($I219="?","unknown worker - was the name changed on Workers?",IF($D219="","missing type",IF(N($E219)=0,"missing amount",IF(AND($E219&lt;0,$D219&lt;&gt;"Correction"),"negative amount - use a Correction to undo",IF(OR($B219&lt;Weeks!$A$6,$B219&gt;Weeks!$B$58),"date outside this workbook's year",IF(AND($D219="Advance",N($L219)&lt;0),"Warning: more than earned so far - worker now owes "&amp;ROUND(-$L219,0),"")))))))))</f>
        <v/>
      </c>
    </row>
    <row r="220" customFormat="false" ht="15" hidden="false" customHeight="false" outlineLevel="0" collapsed="false">
      <c r="A220" s="24" t="str">
        <f aca="false">IF($B220="","",ROW()-5)</f>
        <v/>
      </c>
      <c r="B220" s="25"/>
      <c r="C220" s="20"/>
      <c r="D220" s="26"/>
      <c r="E220" s="27"/>
      <c r="F220" s="20"/>
      <c r="G220" s="20"/>
      <c r="H220" s="26"/>
      <c r="I220" s="24" t="str">
        <f aca="false">IF($C220="","",IFERROR(INDEX(WorkerIDs,MATCH($C220,WorkerNames,0)),"?"))</f>
        <v/>
      </c>
      <c r="J220" s="18" t="str">
        <f aca="false">IF($B220="","",$B220-WEEKDAY($B220,2)+1)</f>
        <v/>
      </c>
      <c r="K220" s="28" t="str">
        <f aca="false">IF(OR($I220="",$I220="?",$D220&lt;&gt;"Advance",$B220=""),"",$I220&amp;"|"&amp;$J220&amp;"|"&amp;COUNTIFS($I$6:$I220,$I220,$J$6:$J220,$J220,$D$6:$D220,"Advance"))</f>
        <v/>
      </c>
      <c r="L220" s="29" t="str">
        <f aca="false">IF(OR($I220="",$I220="?",$B220=""),"",SUMPRODUCT((Weeks!$A$6:$A$58&lt;=$J220)*(Weeks!$Z$4:$AK$4=$I220)*Weeks!$Z$6:$AK$58)-SUMIFS($E$6:$E$1005,$I$6:$I$1005,$I220,$B$6:$B$1005,"&lt;="&amp;$B220))</f>
        <v/>
      </c>
      <c r="M220" s="19" t="str">
        <f aca="false">IF($B220&amp;$C220&amp;$D220&amp;$E220="","",IF($B220="","missing date",IF($C220="","missing worker",IF($I220="?","unknown worker - was the name changed on Workers?",IF($D220="","missing type",IF(N($E220)=0,"missing amount",IF(AND($E220&lt;0,$D220&lt;&gt;"Correction"),"negative amount - use a Correction to undo",IF(OR($B220&lt;Weeks!$A$6,$B220&gt;Weeks!$B$58),"date outside this workbook's year",IF(AND($D220="Advance",N($L220)&lt;0),"Warning: more than earned so far - worker now owes "&amp;ROUND(-$L220,0),"")))))))))</f>
        <v/>
      </c>
    </row>
    <row r="221" customFormat="false" ht="15" hidden="false" customHeight="false" outlineLevel="0" collapsed="false">
      <c r="A221" s="24" t="str">
        <f aca="false">IF($B221="","",ROW()-5)</f>
        <v/>
      </c>
      <c r="B221" s="25"/>
      <c r="C221" s="20"/>
      <c r="D221" s="26"/>
      <c r="E221" s="27"/>
      <c r="F221" s="20"/>
      <c r="G221" s="20"/>
      <c r="H221" s="26"/>
      <c r="I221" s="24" t="str">
        <f aca="false">IF($C221="","",IFERROR(INDEX(WorkerIDs,MATCH($C221,WorkerNames,0)),"?"))</f>
        <v/>
      </c>
      <c r="J221" s="18" t="str">
        <f aca="false">IF($B221="","",$B221-WEEKDAY($B221,2)+1)</f>
        <v/>
      </c>
      <c r="K221" s="28" t="str">
        <f aca="false">IF(OR($I221="",$I221="?",$D221&lt;&gt;"Advance",$B221=""),"",$I221&amp;"|"&amp;$J221&amp;"|"&amp;COUNTIFS($I$6:$I221,$I221,$J$6:$J221,$J221,$D$6:$D221,"Advance"))</f>
        <v/>
      </c>
      <c r="L221" s="29" t="str">
        <f aca="false">IF(OR($I221="",$I221="?",$B221=""),"",SUMPRODUCT((Weeks!$A$6:$A$58&lt;=$J221)*(Weeks!$Z$4:$AK$4=$I221)*Weeks!$Z$6:$AK$58)-SUMIFS($E$6:$E$1005,$I$6:$I$1005,$I221,$B$6:$B$1005,"&lt;="&amp;$B221))</f>
        <v/>
      </c>
      <c r="M221" s="19" t="str">
        <f aca="false">IF($B221&amp;$C221&amp;$D221&amp;$E221="","",IF($B221="","missing date",IF($C221="","missing worker",IF($I221="?","unknown worker - was the name changed on Workers?",IF($D221="","missing type",IF(N($E221)=0,"missing amount",IF(AND($E221&lt;0,$D221&lt;&gt;"Correction"),"negative amount - use a Correction to undo",IF(OR($B221&lt;Weeks!$A$6,$B221&gt;Weeks!$B$58),"date outside this workbook's year",IF(AND($D221="Advance",N($L221)&lt;0),"Warning: more than earned so far - worker now owes "&amp;ROUND(-$L221,0),"")))))))))</f>
        <v/>
      </c>
    </row>
    <row r="222" customFormat="false" ht="15" hidden="false" customHeight="false" outlineLevel="0" collapsed="false">
      <c r="A222" s="24" t="str">
        <f aca="false">IF($B222="","",ROW()-5)</f>
        <v/>
      </c>
      <c r="B222" s="25"/>
      <c r="C222" s="20"/>
      <c r="D222" s="26"/>
      <c r="E222" s="27"/>
      <c r="F222" s="20"/>
      <c r="G222" s="20"/>
      <c r="H222" s="26"/>
      <c r="I222" s="24" t="str">
        <f aca="false">IF($C222="","",IFERROR(INDEX(WorkerIDs,MATCH($C222,WorkerNames,0)),"?"))</f>
        <v/>
      </c>
      <c r="J222" s="18" t="str">
        <f aca="false">IF($B222="","",$B222-WEEKDAY($B222,2)+1)</f>
        <v/>
      </c>
      <c r="K222" s="28" t="str">
        <f aca="false">IF(OR($I222="",$I222="?",$D222&lt;&gt;"Advance",$B222=""),"",$I222&amp;"|"&amp;$J222&amp;"|"&amp;COUNTIFS($I$6:$I222,$I222,$J$6:$J222,$J222,$D$6:$D222,"Advance"))</f>
        <v/>
      </c>
      <c r="L222" s="29" t="str">
        <f aca="false">IF(OR($I222="",$I222="?",$B222=""),"",SUMPRODUCT((Weeks!$A$6:$A$58&lt;=$J222)*(Weeks!$Z$4:$AK$4=$I222)*Weeks!$Z$6:$AK$58)-SUMIFS($E$6:$E$1005,$I$6:$I$1005,$I222,$B$6:$B$1005,"&lt;="&amp;$B222))</f>
        <v/>
      </c>
      <c r="M222" s="19" t="str">
        <f aca="false">IF($B222&amp;$C222&amp;$D222&amp;$E222="","",IF($B222="","missing date",IF($C222="","missing worker",IF($I222="?","unknown worker - was the name changed on Workers?",IF($D222="","missing type",IF(N($E222)=0,"missing amount",IF(AND($E222&lt;0,$D222&lt;&gt;"Correction"),"negative amount - use a Correction to undo",IF(OR($B222&lt;Weeks!$A$6,$B222&gt;Weeks!$B$58),"date outside this workbook's year",IF(AND($D222="Advance",N($L222)&lt;0),"Warning: more than earned so far - worker now owes "&amp;ROUND(-$L222,0),"")))))))))</f>
        <v/>
      </c>
    </row>
    <row r="223" customFormat="false" ht="15" hidden="false" customHeight="false" outlineLevel="0" collapsed="false">
      <c r="A223" s="24" t="str">
        <f aca="false">IF($B223="","",ROW()-5)</f>
        <v/>
      </c>
      <c r="B223" s="25"/>
      <c r="C223" s="20"/>
      <c r="D223" s="26"/>
      <c r="E223" s="27"/>
      <c r="F223" s="20"/>
      <c r="G223" s="20"/>
      <c r="H223" s="26"/>
      <c r="I223" s="24" t="str">
        <f aca="false">IF($C223="","",IFERROR(INDEX(WorkerIDs,MATCH($C223,WorkerNames,0)),"?"))</f>
        <v/>
      </c>
      <c r="J223" s="18" t="str">
        <f aca="false">IF($B223="","",$B223-WEEKDAY($B223,2)+1)</f>
        <v/>
      </c>
      <c r="K223" s="28" t="str">
        <f aca="false">IF(OR($I223="",$I223="?",$D223&lt;&gt;"Advance",$B223=""),"",$I223&amp;"|"&amp;$J223&amp;"|"&amp;COUNTIFS($I$6:$I223,$I223,$J$6:$J223,$J223,$D$6:$D223,"Advance"))</f>
        <v/>
      </c>
      <c r="L223" s="29" t="str">
        <f aca="false">IF(OR($I223="",$I223="?",$B223=""),"",SUMPRODUCT((Weeks!$A$6:$A$58&lt;=$J223)*(Weeks!$Z$4:$AK$4=$I223)*Weeks!$Z$6:$AK$58)-SUMIFS($E$6:$E$1005,$I$6:$I$1005,$I223,$B$6:$B$1005,"&lt;="&amp;$B223))</f>
        <v/>
      </c>
      <c r="M223" s="19" t="str">
        <f aca="false">IF($B223&amp;$C223&amp;$D223&amp;$E223="","",IF($B223="","missing date",IF($C223="","missing worker",IF($I223="?","unknown worker - was the name changed on Workers?",IF($D223="","missing type",IF(N($E223)=0,"missing amount",IF(AND($E223&lt;0,$D223&lt;&gt;"Correction"),"negative amount - use a Correction to undo",IF(OR($B223&lt;Weeks!$A$6,$B223&gt;Weeks!$B$58),"date outside this workbook's year",IF(AND($D223="Advance",N($L223)&lt;0),"Warning: more than earned so far - worker now owes "&amp;ROUND(-$L223,0),"")))))))))</f>
        <v/>
      </c>
    </row>
    <row r="224" customFormat="false" ht="15" hidden="false" customHeight="false" outlineLevel="0" collapsed="false">
      <c r="A224" s="24" t="str">
        <f aca="false">IF($B224="","",ROW()-5)</f>
        <v/>
      </c>
      <c r="B224" s="25"/>
      <c r="C224" s="20"/>
      <c r="D224" s="26"/>
      <c r="E224" s="27"/>
      <c r="F224" s="20"/>
      <c r="G224" s="20"/>
      <c r="H224" s="26"/>
      <c r="I224" s="24" t="str">
        <f aca="false">IF($C224="","",IFERROR(INDEX(WorkerIDs,MATCH($C224,WorkerNames,0)),"?"))</f>
        <v/>
      </c>
      <c r="J224" s="18" t="str">
        <f aca="false">IF($B224="","",$B224-WEEKDAY($B224,2)+1)</f>
        <v/>
      </c>
      <c r="K224" s="28" t="str">
        <f aca="false">IF(OR($I224="",$I224="?",$D224&lt;&gt;"Advance",$B224=""),"",$I224&amp;"|"&amp;$J224&amp;"|"&amp;COUNTIFS($I$6:$I224,$I224,$J$6:$J224,$J224,$D$6:$D224,"Advance"))</f>
        <v/>
      </c>
      <c r="L224" s="29" t="str">
        <f aca="false">IF(OR($I224="",$I224="?",$B224=""),"",SUMPRODUCT((Weeks!$A$6:$A$58&lt;=$J224)*(Weeks!$Z$4:$AK$4=$I224)*Weeks!$Z$6:$AK$58)-SUMIFS($E$6:$E$1005,$I$6:$I$1005,$I224,$B$6:$B$1005,"&lt;="&amp;$B224))</f>
        <v/>
      </c>
      <c r="M224" s="19" t="str">
        <f aca="false">IF($B224&amp;$C224&amp;$D224&amp;$E224="","",IF($B224="","missing date",IF($C224="","missing worker",IF($I224="?","unknown worker - was the name changed on Workers?",IF($D224="","missing type",IF(N($E224)=0,"missing amount",IF(AND($E224&lt;0,$D224&lt;&gt;"Correction"),"negative amount - use a Correction to undo",IF(OR($B224&lt;Weeks!$A$6,$B224&gt;Weeks!$B$58),"date outside this workbook's year",IF(AND($D224="Advance",N($L224)&lt;0),"Warning: more than earned so far - worker now owes "&amp;ROUND(-$L224,0),"")))))))))</f>
        <v/>
      </c>
    </row>
    <row r="225" customFormat="false" ht="15" hidden="false" customHeight="false" outlineLevel="0" collapsed="false">
      <c r="A225" s="24" t="str">
        <f aca="false">IF($B225="","",ROW()-5)</f>
        <v/>
      </c>
      <c r="B225" s="25"/>
      <c r="C225" s="20"/>
      <c r="D225" s="26"/>
      <c r="E225" s="27"/>
      <c r="F225" s="20"/>
      <c r="G225" s="20"/>
      <c r="H225" s="26"/>
      <c r="I225" s="24" t="str">
        <f aca="false">IF($C225="","",IFERROR(INDEX(WorkerIDs,MATCH($C225,WorkerNames,0)),"?"))</f>
        <v/>
      </c>
      <c r="J225" s="18" t="str">
        <f aca="false">IF($B225="","",$B225-WEEKDAY($B225,2)+1)</f>
        <v/>
      </c>
      <c r="K225" s="28" t="str">
        <f aca="false">IF(OR($I225="",$I225="?",$D225&lt;&gt;"Advance",$B225=""),"",$I225&amp;"|"&amp;$J225&amp;"|"&amp;COUNTIFS($I$6:$I225,$I225,$J$6:$J225,$J225,$D$6:$D225,"Advance"))</f>
        <v/>
      </c>
      <c r="L225" s="29" t="str">
        <f aca="false">IF(OR($I225="",$I225="?",$B225=""),"",SUMPRODUCT((Weeks!$A$6:$A$58&lt;=$J225)*(Weeks!$Z$4:$AK$4=$I225)*Weeks!$Z$6:$AK$58)-SUMIFS($E$6:$E$1005,$I$6:$I$1005,$I225,$B$6:$B$1005,"&lt;="&amp;$B225))</f>
        <v/>
      </c>
      <c r="M225" s="19" t="str">
        <f aca="false">IF($B225&amp;$C225&amp;$D225&amp;$E225="","",IF($B225="","missing date",IF($C225="","missing worker",IF($I225="?","unknown worker - was the name changed on Workers?",IF($D225="","missing type",IF(N($E225)=0,"missing amount",IF(AND($E225&lt;0,$D225&lt;&gt;"Correction"),"negative amount - use a Correction to undo",IF(OR($B225&lt;Weeks!$A$6,$B225&gt;Weeks!$B$58),"date outside this workbook's year",IF(AND($D225="Advance",N($L225)&lt;0),"Warning: more than earned so far - worker now owes "&amp;ROUND(-$L225,0),"")))))))))</f>
        <v/>
      </c>
    </row>
    <row r="226" customFormat="false" ht="15" hidden="false" customHeight="false" outlineLevel="0" collapsed="false">
      <c r="A226" s="24" t="str">
        <f aca="false">IF($B226="","",ROW()-5)</f>
        <v/>
      </c>
      <c r="B226" s="25"/>
      <c r="C226" s="20"/>
      <c r="D226" s="26"/>
      <c r="E226" s="27"/>
      <c r="F226" s="20"/>
      <c r="G226" s="20"/>
      <c r="H226" s="26"/>
      <c r="I226" s="24" t="str">
        <f aca="false">IF($C226="","",IFERROR(INDEX(WorkerIDs,MATCH($C226,WorkerNames,0)),"?"))</f>
        <v/>
      </c>
      <c r="J226" s="18" t="str">
        <f aca="false">IF($B226="","",$B226-WEEKDAY($B226,2)+1)</f>
        <v/>
      </c>
      <c r="K226" s="28" t="str">
        <f aca="false">IF(OR($I226="",$I226="?",$D226&lt;&gt;"Advance",$B226=""),"",$I226&amp;"|"&amp;$J226&amp;"|"&amp;COUNTIFS($I$6:$I226,$I226,$J$6:$J226,$J226,$D$6:$D226,"Advance"))</f>
        <v/>
      </c>
      <c r="L226" s="29" t="str">
        <f aca="false">IF(OR($I226="",$I226="?",$B226=""),"",SUMPRODUCT((Weeks!$A$6:$A$58&lt;=$J226)*(Weeks!$Z$4:$AK$4=$I226)*Weeks!$Z$6:$AK$58)-SUMIFS($E$6:$E$1005,$I$6:$I$1005,$I226,$B$6:$B$1005,"&lt;="&amp;$B226))</f>
        <v/>
      </c>
      <c r="M226" s="19" t="str">
        <f aca="false">IF($B226&amp;$C226&amp;$D226&amp;$E226="","",IF($B226="","missing date",IF($C226="","missing worker",IF($I226="?","unknown worker - was the name changed on Workers?",IF($D226="","missing type",IF(N($E226)=0,"missing amount",IF(AND($E226&lt;0,$D226&lt;&gt;"Correction"),"negative amount - use a Correction to undo",IF(OR($B226&lt;Weeks!$A$6,$B226&gt;Weeks!$B$58),"date outside this workbook's year",IF(AND($D226="Advance",N($L226)&lt;0),"Warning: more than earned so far - worker now owes "&amp;ROUND(-$L226,0),"")))))))))</f>
        <v/>
      </c>
    </row>
    <row r="227" customFormat="false" ht="15" hidden="false" customHeight="false" outlineLevel="0" collapsed="false">
      <c r="A227" s="24" t="str">
        <f aca="false">IF($B227="","",ROW()-5)</f>
        <v/>
      </c>
      <c r="B227" s="25"/>
      <c r="C227" s="20"/>
      <c r="D227" s="26"/>
      <c r="E227" s="27"/>
      <c r="F227" s="20"/>
      <c r="G227" s="20"/>
      <c r="H227" s="26"/>
      <c r="I227" s="24" t="str">
        <f aca="false">IF($C227="","",IFERROR(INDEX(WorkerIDs,MATCH($C227,WorkerNames,0)),"?"))</f>
        <v/>
      </c>
      <c r="J227" s="18" t="str">
        <f aca="false">IF($B227="","",$B227-WEEKDAY($B227,2)+1)</f>
        <v/>
      </c>
      <c r="K227" s="28" t="str">
        <f aca="false">IF(OR($I227="",$I227="?",$D227&lt;&gt;"Advance",$B227=""),"",$I227&amp;"|"&amp;$J227&amp;"|"&amp;COUNTIFS($I$6:$I227,$I227,$J$6:$J227,$J227,$D$6:$D227,"Advance"))</f>
        <v/>
      </c>
      <c r="L227" s="29" t="str">
        <f aca="false">IF(OR($I227="",$I227="?",$B227=""),"",SUMPRODUCT((Weeks!$A$6:$A$58&lt;=$J227)*(Weeks!$Z$4:$AK$4=$I227)*Weeks!$Z$6:$AK$58)-SUMIFS($E$6:$E$1005,$I$6:$I$1005,$I227,$B$6:$B$1005,"&lt;="&amp;$B227))</f>
        <v/>
      </c>
      <c r="M227" s="19" t="str">
        <f aca="false">IF($B227&amp;$C227&amp;$D227&amp;$E227="","",IF($B227="","missing date",IF($C227="","missing worker",IF($I227="?","unknown worker - was the name changed on Workers?",IF($D227="","missing type",IF(N($E227)=0,"missing amount",IF(AND($E227&lt;0,$D227&lt;&gt;"Correction"),"negative amount - use a Correction to undo",IF(OR($B227&lt;Weeks!$A$6,$B227&gt;Weeks!$B$58),"date outside this workbook's year",IF(AND($D227="Advance",N($L227)&lt;0),"Warning: more than earned so far - worker now owes "&amp;ROUND(-$L227,0),"")))))))))</f>
        <v/>
      </c>
    </row>
    <row r="228" customFormat="false" ht="15" hidden="false" customHeight="false" outlineLevel="0" collapsed="false">
      <c r="A228" s="24" t="str">
        <f aca="false">IF($B228="","",ROW()-5)</f>
        <v/>
      </c>
      <c r="B228" s="25"/>
      <c r="C228" s="20"/>
      <c r="D228" s="26"/>
      <c r="E228" s="27"/>
      <c r="F228" s="20"/>
      <c r="G228" s="20"/>
      <c r="H228" s="26"/>
      <c r="I228" s="24" t="str">
        <f aca="false">IF($C228="","",IFERROR(INDEX(WorkerIDs,MATCH($C228,WorkerNames,0)),"?"))</f>
        <v/>
      </c>
      <c r="J228" s="18" t="str">
        <f aca="false">IF($B228="","",$B228-WEEKDAY($B228,2)+1)</f>
        <v/>
      </c>
      <c r="K228" s="28" t="str">
        <f aca="false">IF(OR($I228="",$I228="?",$D228&lt;&gt;"Advance",$B228=""),"",$I228&amp;"|"&amp;$J228&amp;"|"&amp;COUNTIFS($I$6:$I228,$I228,$J$6:$J228,$J228,$D$6:$D228,"Advance"))</f>
        <v/>
      </c>
      <c r="L228" s="29" t="str">
        <f aca="false">IF(OR($I228="",$I228="?",$B228=""),"",SUMPRODUCT((Weeks!$A$6:$A$58&lt;=$J228)*(Weeks!$Z$4:$AK$4=$I228)*Weeks!$Z$6:$AK$58)-SUMIFS($E$6:$E$1005,$I$6:$I$1005,$I228,$B$6:$B$1005,"&lt;="&amp;$B228))</f>
        <v/>
      </c>
      <c r="M228" s="19" t="str">
        <f aca="false">IF($B228&amp;$C228&amp;$D228&amp;$E228="","",IF($B228="","missing date",IF($C228="","missing worker",IF($I228="?","unknown worker - was the name changed on Workers?",IF($D228="","missing type",IF(N($E228)=0,"missing amount",IF(AND($E228&lt;0,$D228&lt;&gt;"Correction"),"negative amount - use a Correction to undo",IF(OR($B228&lt;Weeks!$A$6,$B228&gt;Weeks!$B$58),"date outside this workbook's year",IF(AND($D228="Advance",N($L228)&lt;0),"Warning: more than earned so far - worker now owes "&amp;ROUND(-$L228,0),"")))))))))</f>
        <v/>
      </c>
    </row>
    <row r="229" customFormat="false" ht="15" hidden="false" customHeight="false" outlineLevel="0" collapsed="false">
      <c r="A229" s="24" t="str">
        <f aca="false">IF($B229="","",ROW()-5)</f>
        <v/>
      </c>
      <c r="B229" s="25"/>
      <c r="C229" s="20"/>
      <c r="D229" s="26"/>
      <c r="E229" s="27"/>
      <c r="F229" s="20"/>
      <c r="G229" s="20"/>
      <c r="H229" s="26"/>
      <c r="I229" s="24" t="str">
        <f aca="false">IF($C229="","",IFERROR(INDEX(WorkerIDs,MATCH($C229,WorkerNames,0)),"?"))</f>
        <v/>
      </c>
      <c r="J229" s="18" t="str">
        <f aca="false">IF($B229="","",$B229-WEEKDAY($B229,2)+1)</f>
        <v/>
      </c>
      <c r="K229" s="28" t="str">
        <f aca="false">IF(OR($I229="",$I229="?",$D229&lt;&gt;"Advance",$B229=""),"",$I229&amp;"|"&amp;$J229&amp;"|"&amp;COUNTIFS($I$6:$I229,$I229,$J$6:$J229,$J229,$D$6:$D229,"Advance"))</f>
        <v/>
      </c>
      <c r="L229" s="29" t="str">
        <f aca="false">IF(OR($I229="",$I229="?",$B229=""),"",SUMPRODUCT((Weeks!$A$6:$A$58&lt;=$J229)*(Weeks!$Z$4:$AK$4=$I229)*Weeks!$Z$6:$AK$58)-SUMIFS($E$6:$E$1005,$I$6:$I$1005,$I229,$B$6:$B$1005,"&lt;="&amp;$B229))</f>
        <v/>
      </c>
      <c r="M229" s="19" t="str">
        <f aca="false">IF($B229&amp;$C229&amp;$D229&amp;$E229="","",IF($B229="","missing date",IF($C229="","missing worker",IF($I229="?","unknown worker - was the name changed on Workers?",IF($D229="","missing type",IF(N($E229)=0,"missing amount",IF(AND($E229&lt;0,$D229&lt;&gt;"Correction"),"negative amount - use a Correction to undo",IF(OR($B229&lt;Weeks!$A$6,$B229&gt;Weeks!$B$58),"date outside this workbook's year",IF(AND($D229="Advance",N($L229)&lt;0),"Warning: more than earned so far - worker now owes "&amp;ROUND(-$L229,0),"")))))))))</f>
        <v/>
      </c>
    </row>
    <row r="230" customFormat="false" ht="15" hidden="false" customHeight="false" outlineLevel="0" collapsed="false">
      <c r="A230" s="24" t="str">
        <f aca="false">IF($B230="","",ROW()-5)</f>
        <v/>
      </c>
      <c r="B230" s="25"/>
      <c r="C230" s="20"/>
      <c r="D230" s="26"/>
      <c r="E230" s="27"/>
      <c r="F230" s="20"/>
      <c r="G230" s="20"/>
      <c r="H230" s="26"/>
      <c r="I230" s="24" t="str">
        <f aca="false">IF($C230="","",IFERROR(INDEX(WorkerIDs,MATCH($C230,WorkerNames,0)),"?"))</f>
        <v/>
      </c>
      <c r="J230" s="18" t="str">
        <f aca="false">IF($B230="","",$B230-WEEKDAY($B230,2)+1)</f>
        <v/>
      </c>
      <c r="K230" s="28" t="str">
        <f aca="false">IF(OR($I230="",$I230="?",$D230&lt;&gt;"Advance",$B230=""),"",$I230&amp;"|"&amp;$J230&amp;"|"&amp;COUNTIFS($I$6:$I230,$I230,$J$6:$J230,$J230,$D$6:$D230,"Advance"))</f>
        <v/>
      </c>
      <c r="L230" s="29" t="str">
        <f aca="false">IF(OR($I230="",$I230="?",$B230=""),"",SUMPRODUCT((Weeks!$A$6:$A$58&lt;=$J230)*(Weeks!$Z$4:$AK$4=$I230)*Weeks!$Z$6:$AK$58)-SUMIFS($E$6:$E$1005,$I$6:$I$1005,$I230,$B$6:$B$1005,"&lt;="&amp;$B230))</f>
        <v/>
      </c>
      <c r="M230" s="19" t="str">
        <f aca="false">IF($B230&amp;$C230&amp;$D230&amp;$E230="","",IF($B230="","missing date",IF($C230="","missing worker",IF($I230="?","unknown worker - was the name changed on Workers?",IF($D230="","missing type",IF(N($E230)=0,"missing amount",IF(AND($E230&lt;0,$D230&lt;&gt;"Correction"),"negative amount - use a Correction to undo",IF(OR($B230&lt;Weeks!$A$6,$B230&gt;Weeks!$B$58),"date outside this workbook's year",IF(AND($D230="Advance",N($L230)&lt;0),"Warning: more than earned so far - worker now owes "&amp;ROUND(-$L230,0),"")))))))))</f>
        <v/>
      </c>
    </row>
    <row r="231" customFormat="false" ht="15" hidden="false" customHeight="false" outlineLevel="0" collapsed="false">
      <c r="A231" s="24" t="str">
        <f aca="false">IF($B231="","",ROW()-5)</f>
        <v/>
      </c>
      <c r="B231" s="25"/>
      <c r="C231" s="20"/>
      <c r="D231" s="26"/>
      <c r="E231" s="27"/>
      <c r="F231" s="20"/>
      <c r="G231" s="20"/>
      <c r="H231" s="26"/>
      <c r="I231" s="24" t="str">
        <f aca="false">IF($C231="","",IFERROR(INDEX(WorkerIDs,MATCH($C231,WorkerNames,0)),"?"))</f>
        <v/>
      </c>
      <c r="J231" s="18" t="str">
        <f aca="false">IF($B231="","",$B231-WEEKDAY($B231,2)+1)</f>
        <v/>
      </c>
      <c r="K231" s="28" t="str">
        <f aca="false">IF(OR($I231="",$I231="?",$D231&lt;&gt;"Advance",$B231=""),"",$I231&amp;"|"&amp;$J231&amp;"|"&amp;COUNTIFS($I$6:$I231,$I231,$J$6:$J231,$J231,$D$6:$D231,"Advance"))</f>
        <v/>
      </c>
      <c r="L231" s="29" t="str">
        <f aca="false">IF(OR($I231="",$I231="?",$B231=""),"",SUMPRODUCT((Weeks!$A$6:$A$58&lt;=$J231)*(Weeks!$Z$4:$AK$4=$I231)*Weeks!$Z$6:$AK$58)-SUMIFS($E$6:$E$1005,$I$6:$I$1005,$I231,$B$6:$B$1005,"&lt;="&amp;$B231))</f>
        <v/>
      </c>
      <c r="M231" s="19" t="str">
        <f aca="false">IF($B231&amp;$C231&amp;$D231&amp;$E231="","",IF($B231="","missing date",IF($C231="","missing worker",IF($I231="?","unknown worker - was the name changed on Workers?",IF($D231="","missing type",IF(N($E231)=0,"missing amount",IF(AND($E231&lt;0,$D231&lt;&gt;"Correction"),"negative amount - use a Correction to undo",IF(OR($B231&lt;Weeks!$A$6,$B231&gt;Weeks!$B$58),"date outside this workbook's year",IF(AND($D231="Advance",N($L231)&lt;0),"Warning: more than earned so far - worker now owes "&amp;ROUND(-$L231,0),"")))))))))</f>
        <v/>
      </c>
    </row>
    <row r="232" customFormat="false" ht="15" hidden="false" customHeight="false" outlineLevel="0" collapsed="false">
      <c r="A232" s="24" t="str">
        <f aca="false">IF($B232="","",ROW()-5)</f>
        <v/>
      </c>
      <c r="B232" s="25"/>
      <c r="C232" s="20"/>
      <c r="D232" s="26"/>
      <c r="E232" s="27"/>
      <c r="F232" s="20"/>
      <c r="G232" s="20"/>
      <c r="H232" s="26"/>
      <c r="I232" s="24" t="str">
        <f aca="false">IF($C232="","",IFERROR(INDEX(WorkerIDs,MATCH($C232,WorkerNames,0)),"?"))</f>
        <v/>
      </c>
      <c r="J232" s="18" t="str">
        <f aca="false">IF($B232="","",$B232-WEEKDAY($B232,2)+1)</f>
        <v/>
      </c>
      <c r="K232" s="28" t="str">
        <f aca="false">IF(OR($I232="",$I232="?",$D232&lt;&gt;"Advance",$B232=""),"",$I232&amp;"|"&amp;$J232&amp;"|"&amp;COUNTIFS($I$6:$I232,$I232,$J$6:$J232,$J232,$D$6:$D232,"Advance"))</f>
        <v/>
      </c>
      <c r="L232" s="29" t="str">
        <f aca="false">IF(OR($I232="",$I232="?",$B232=""),"",SUMPRODUCT((Weeks!$A$6:$A$58&lt;=$J232)*(Weeks!$Z$4:$AK$4=$I232)*Weeks!$Z$6:$AK$58)-SUMIFS($E$6:$E$1005,$I$6:$I$1005,$I232,$B$6:$B$1005,"&lt;="&amp;$B232))</f>
        <v/>
      </c>
      <c r="M232" s="19" t="str">
        <f aca="false">IF($B232&amp;$C232&amp;$D232&amp;$E232="","",IF($B232="","missing date",IF($C232="","missing worker",IF($I232="?","unknown worker - was the name changed on Workers?",IF($D232="","missing type",IF(N($E232)=0,"missing amount",IF(AND($E232&lt;0,$D232&lt;&gt;"Correction"),"negative amount - use a Correction to undo",IF(OR($B232&lt;Weeks!$A$6,$B232&gt;Weeks!$B$58),"date outside this workbook's year",IF(AND($D232="Advance",N($L232)&lt;0),"Warning: more than earned so far - worker now owes "&amp;ROUND(-$L232,0),"")))))))))</f>
        <v/>
      </c>
    </row>
    <row r="233" customFormat="false" ht="15" hidden="false" customHeight="false" outlineLevel="0" collapsed="false">
      <c r="A233" s="24" t="str">
        <f aca="false">IF($B233="","",ROW()-5)</f>
        <v/>
      </c>
      <c r="B233" s="25"/>
      <c r="C233" s="20"/>
      <c r="D233" s="26"/>
      <c r="E233" s="27"/>
      <c r="F233" s="20"/>
      <c r="G233" s="20"/>
      <c r="H233" s="26"/>
      <c r="I233" s="24" t="str">
        <f aca="false">IF($C233="","",IFERROR(INDEX(WorkerIDs,MATCH($C233,WorkerNames,0)),"?"))</f>
        <v/>
      </c>
      <c r="J233" s="18" t="str">
        <f aca="false">IF($B233="","",$B233-WEEKDAY($B233,2)+1)</f>
        <v/>
      </c>
      <c r="K233" s="28" t="str">
        <f aca="false">IF(OR($I233="",$I233="?",$D233&lt;&gt;"Advance",$B233=""),"",$I233&amp;"|"&amp;$J233&amp;"|"&amp;COUNTIFS($I$6:$I233,$I233,$J$6:$J233,$J233,$D$6:$D233,"Advance"))</f>
        <v/>
      </c>
      <c r="L233" s="29" t="str">
        <f aca="false">IF(OR($I233="",$I233="?",$B233=""),"",SUMPRODUCT((Weeks!$A$6:$A$58&lt;=$J233)*(Weeks!$Z$4:$AK$4=$I233)*Weeks!$Z$6:$AK$58)-SUMIFS($E$6:$E$1005,$I$6:$I$1005,$I233,$B$6:$B$1005,"&lt;="&amp;$B233))</f>
        <v/>
      </c>
      <c r="M233" s="19" t="str">
        <f aca="false">IF($B233&amp;$C233&amp;$D233&amp;$E233="","",IF($B233="","missing date",IF($C233="","missing worker",IF($I233="?","unknown worker - was the name changed on Workers?",IF($D233="","missing type",IF(N($E233)=0,"missing amount",IF(AND($E233&lt;0,$D233&lt;&gt;"Correction"),"negative amount - use a Correction to undo",IF(OR($B233&lt;Weeks!$A$6,$B233&gt;Weeks!$B$58),"date outside this workbook's year",IF(AND($D233="Advance",N($L233)&lt;0),"Warning: more than earned so far - worker now owes "&amp;ROUND(-$L233,0),"")))))))))</f>
        <v/>
      </c>
    </row>
    <row r="234" customFormat="false" ht="15" hidden="false" customHeight="false" outlineLevel="0" collapsed="false">
      <c r="A234" s="24" t="str">
        <f aca="false">IF($B234="","",ROW()-5)</f>
        <v/>
      </c>
      <c r="B234" s="25"/>
      <c r="C234" s="20"/>
      <c r="D234" s="26"/>
      <c r="E234" s="27"/>
      <c r="F234" s="20"/>
      <c r="G234" s="20"/>
      <c r="H234" s="26"/>
      <c r="I234" s="24" t="str">
        <f aca="false">IF($C234="","",IFERROR(INDEX(WorkerIDs,MATCH($C234,WorkerNames,0)),"?"))</f>
        <v/>
      </c>
      <c r="J234" s="18" t="str">
        <f aca="false">IF($B234="","",$B234-WEEKDAY($B234,2)+1)</f>
        <v/>
      </c>
      <c r="K234" s="28" t="str">
        <f aca="false">IF(OR($I234="",$I234="?",$D234&lt;&gt;"Advance",$B234=""),"",$I234&amp;"|"&amp;$J234&amp;"|"&amp;COUNTIFS($I$6:$I234,$I234,$J$6:$J234,$J234,$D$6:$D234,"Advance"))</f>
        <v/>
      </c>
      <c r="L234" s="29" t="str">
        <f aca="false">IF(OR($I234="",$I234="?",$B234=""),"",SUMPRODUCT((Weeks!$A$6:$A$58&lt;=$J234)*(Weeks!$Z$4:$AK$4=$I234)*Weeks!$Z$6:$AK$58)-SUMIFS($E$6:$E$1005,$I$6:$I$1005,$I234,$B$6:$B$1005,"&lt;="&amp;$B234))</f>
        <v/>
      </c>
      <c r="M234" s="19" t="str">
        <f aca="false">IF($B234&amp;$C234&amp;$D234&amp;$E234="","",IF($B234="","missing date",IF($C234="","missing worker",IF($I234="?","unknown worker - was the name changed on Workers?",IF($D234="","missing type",IF(N($E234)=0,"missing amount",IF(AND($E234&lt;0,$D234&lt;&gt;"Correction"),"negative amount - use a Correction to undo",IF(OR($B234&lt;Weeks!$A$6,$B234&gt;Weeks!$B$58),"date outside this workbook's year",IF(AND($D234="Advance",N($L234)&lt;0),"Warning: more than earned so far - worker now owes "&amp;ROUND(-$L234,0),"")))))))))</f>
        <v/>
      </c>
    </row>
    <row r="235" customFormat="false" ht="15" hidden="false" customHeight="false" outlineLevel="0" collapsed="false">
      <c r="A235" s="24" t="str">
        <f aca="false">IF($B235="","",ROW()-5)</f>
        <v/>
      </c>
      <c r="B235" s="25"/>
      <c r="C235" s="20"/>
      <c r="D235" s="26"/>
      <c r="E235" s="27"/>
      <c r="F235" s="20"/>
      <c r="G235" s="20"/>
      <c r="H235" s="26"/>
      <c r="I235" s="24" t="str">
        <f aca="false">IF($C235="","",IFERROR(INDEX(WorkerIDs,MATCH($C235,WorkerNames,0)),"?"))</f>
        <v/>
      </c>
      <c r="J235" s="18" t="str">
        <f aca="false">IF($B235="","",$B235-WEEKDAY($B235,2)+1)</f>
        <v/>
      </c>
      <c r="K235" s="28" t="str">
        <f aca="false">IF(OR($I235="",$I235="?",$D235&lt;&gt;"Advance",$B235=""),"",$I235&amp;"|"&amp;$J235&amp;"|"&amp;COUNTIFS($I$6:$I235,$I235,$J$6:$J235,$J235,$D$6:$D235,"Advance"))</f>
        <v/>
      </c>
      <c r="L235" s="29" t="str">
        <f aca="false">IF(OR($I235="",$I235="?",$B235=""),"",SUMPRODUCT((Weeks!$A$6:$A$58&lt;=$J235)*(Weeks!$Z$4:$AK$4=$I235)*Weeks!$Z$6:$AK$58)-SUMIFS($E$6:$E$1005,$I$6:$I$1005,$I235,$B$6:$B$1005,"&lt;="&amp;$B235))</f>
        <v/>
      </c>
      <c r="M235" s="19" t="str">
        <f aca="false">IF($B235&amp;$C235&amp;$D235&amp;$E235="","",IF($B235="","missing date",IF($C235="","missing worker",IF($I235="?","unknown worker - was the name changed on Workers?",IF($D235="","missing type",IF(N($E235)=0,"missing amount",IF(AND($E235&lt;0,$D235&lt;&gt;"Correction"),"negative amount - use a Correction to undo",IF(OR($B235&lt;Weeks!$A$6,$B235&gt;Weeks!$B$58),"date outside this workbook's year",IF(AND($D235="Advance",N($L235)&lt;0),"Warning: more than earned so far - worker now owes "&amp;ROUND(-$L235,0),"")))))))))</f>
        <v/>
      </c>
    </row>
    <row r="236" customFormat="false" ht="15" hidden="false" customHeight="false" outlineLevel="0" collapsed="false">
      <c r="A236" s="24" t="str">
        <f aca="false">IF($B236="","",ROW()-5)</f>
        <v/>
      </c>
      <c r="B236" s="25"/>
      <c r="C236" s="20"/>
      <c r="D236" s="26"/>
      <c r="E236" s="27"/>
      <c r="F236" s="20"/>
      <c r="G236" s="20"/>
      <c r="H236" s="26"/>
      <c r="I236" s="24" t="str">
        <f aca="false">IF($C236="","",IFERROR(INDEX(WorkerIDs,MATCH($C236,WorkerNames,0)),"?"))</f>
        <v/>
      </c>
      <c r="J236" s="18" t="str">
        <f aca="false">IF($B236="","",$B236-WEEKDAY($B236,2)+1)</f>
        <v/>
      </c>
      <c r="K236" s="28" t="str">
        <f aca="false">IF(OR($I236="",$I236="?",$D236&lt;&gt;"Advance",$B236=""),"",$I236&amp;"|"&amp;$J236&amp;"|"&amp;COUNTIFS($I$6:$I236,$I236,$J$6:$J236,$J236,$D$6:$D236,"Advance"))</f>
        <v/>
      </c>
      <c r="L236" s="29" t="str">
        <f aca="false">IF(OR($I236="",$I236="?",$B236=""),"",SUMPRODUCT((Weeks!$A$6:$A$58&lt;=$J236)*(Weeks!$Z$4:$AK$4=$I236)*Weeks!$Z$6:$AK$58)-SUMIFS($E$6:$E$1005,$I$6:$I$1005,$I236,$B$6:$B$1005,"&lt;="&amp;$B236))</f>
        <v/>
      </c>
      <c r="M236" s="19" t="str">
        <f aca="false">IF($B236&amp;$C236&amp;$D236&amp;$E236="","",IF($B236="","missing date",IF($C236="","missing worker",IF($I236="?","unknown worker - was the name changed on Workers?",IF($D236="","missing type",IF(N($E236)=0,"missing amount",IF(AND($E236&lt;0,$D236&lt;&gt;"Correction"),"negative amount - use a Correction to undo",IF(OR($B236&lt;Weeks!$A$6,$B236&gt;Weeks!$B$58),"date outside this workbook's year",IF(AND($D236="Advance",N($L236)&lt;0),"Warning: more than earned so far - worker now owes "&amp;ROUND(-$L236,0),"")))))))))</f>
        <v/>
      </c>
    </row>
    <row r="237" customFormat="false" ht="15" hidden="false" customHeight="false" outlineLevel="0" collapsed="false">
      <c r="A237" s="24" t="str">
        <f aca="false">IF($B237="","",ROW()-5)</f>
        <v/>
      </c>
      <c r="B237" s="25"/>
      <c r="C237" s="20"/>
      <c r="D237" s="26"/>
      <c r="E237" s="27"/>
      <c r="F237" s="20"/>
      <c r="G237" s="20"/>
      <c r="H237" s="26"/>
      <c r="I237" s="24" t="str">
        <f aca="false">IF($C237="","",IFERROR(INDEX(WorkerIDs,MATCH($C237,WorkerNames,0)),"?"))</f>
        <v/>
      </c>
      <c r="J237" s="18" t="str">
        <f aca="false">IF($B237="","",$B237-WEEKDAY($B237,2)+1)</f>
        <v/>
      </c>
      <c r="K237" s="28" t="str">
        <f aca="false">IF(OR($I237="",$I237="?",$D237&lt;&gt;"Advance",$B237=""),"",$I237&amp;"|"&amp;$J237&amp;"|"&amp;COUNTIFS($I$6:$I237,$I237,$J$6:$J237,$J237,$D$6:$D237,"Advance"))</f>
        <v/>
      </c>
      <c r="L237" s="29" t="str">
        <f aca="false">IF(OR($I237="",$I237="?",$B237=""),"",SUMPRODUCT((Weeks!$A$6:$A$58&lt;=$J237)*(Weeks!$Z$4:$AK$4=$I237)*Weeks!$Z$6:$AK$58)-SUMIFS($E$6:$E$1005,$I$6:$I$1005,$I237,$B$6:$B$1005,"&lt;="&amp;$B237))</f>
        <v/>
      </c>
      <c r="M237" s="19" t="str">
        <f aca="false">IF($B237&amp;$C237&amp;$D237&amp;$E237="","",IF($B237="","missing date",IF($C237="","missing worker",IF($I237="?","unknown worker - was the name changed on Workers?",IF($D237="","missing type",IF(N($E237)=0,"missing amount",IF(AND($E237&lt;0,$D237&lt;&gt;"Correction"),"negative amount - use a Correction to undo",IF(OR($B237&lt;Weeks!$A$6,$B237&gt;Weeks!$B$58),"date outside this workbook's year",IF(AND($D237="Advance",N($L237)&lt;0),"Warning: more than earned so far - worker now owes "&amp;ROUND(-$L237,0),"")))))))))</f>
        <v/>
      </c>
    </row>
    <row r="238" customFormat="false" ht="15" hidden="false" customHeight="false" outlineLevel="0" collapsed="false">
      <c r="A238" s="24" t="str">
        <f aca="false">IF($B238="","",ROW()-5)</f>
        <v/>
      </c>
      <c r="B238" s="25"/>
      <c r="C238" s="20"/>
      <c r="D238" s="26"/>
      <c r="E238" s="27"/>
      <c r="F238" s="20"/>
      <c r="G238" s="20"/>
      <c r="H238" s="26"/>
      <c r="I238" s="24" t="str">
        <f aca="false">IF($C238="","",IFERROR(INDEX(WorkerIDs,MATCH($C238,WorkerNames,0)),"?"))</f>
        <v/>
      </c>
      <c r="J238" s="18" t="str">
        <f aca="false">IF($B238="","",$B238-WEEKDAY($B238,2)+1)</f>
        <v/>
      </c>
      <c r="K238" s="28" t="str">
        <f aca="false">IF(OR($I238="",$I238="?",$D238&lt;&gt;"Advance",$B238=""),"",$I238&amp;"|"&amp;$J238&amp;"|"&amp;COUNTIFS($I$6:$I238,$I238,$J$6:$J238,$J238,$D$6:$D238,"Advance"))</f>
        <v/>
      </c>
      <c r="L238" s="29" t="str">
        <f aca="false">IF(OR($I238="",$I238="?",$B238=""),"",SUMPRODUCT((Weeks!$A$6:$A$58&lt;=$J238)*(Weeks!$Z$4:$AK$4=$I238)*Weeks!$Z$6:$AK$58)-SUMIFS($E$6:$E$1005,$I$6:$I$1005,$I238,$B$6:$B$1005,"&lt;="&amp;$B238))</f>
        <v/>
      </c>
      <c r="M238" s="19" t="str">
        <f aca="false">IF($B238&amp;$C238&amp;$D238&amp;$E238="","",IF($B238="","missing date",IF($C238="","missing worker",IF($I238="?","unknown worker - was the name changed on Workers?",IF($D238="","missing type",IF(N($E238)=0,"missing amount",IF(AND($E238&lt;0,$D238&lt;&gt;"Correction"),"negative amount - use a Correction to undo",IF(OR($B238&lt;Weeks!$A$6,$B238&gt;Weeks!$B$58),"date outside this workbook's year",IF(AND($D238="Advance",N($L238)&lt;0),"Warning: more than earned so far - worker now owes "&amp;ROUND(-$L238,0),"")))))))))</f>
        <v/>
      </c>
    </row>
    <row r="239" customFormat="false" ht="15" hidden="false" customHeight="false" outlineLevel="0" collapsed="false">
      <c r="A239" s="24" t="str">
        <f aca="false">IF($B239="","",ROW()-5)</f>
        <v/>
      </c>
      <c r="B239" s="25"/>
      <c r="C239" s="20"/>
      <c r="D239" s="26"/>
      <c r="E239" s="27"/>
      <c r="F239" s="20"/>
      <c r="G239" s="20"/>
      <c r="H239" s="26"/>
      <c r="I239" s="24" t="str">
        <f aca="false">IF($C239="","",IFERROR(INDEX(WorkerIDs,MATCH($C239,WorkerNames,0)),"?"))</f>
        <v/>
      </c>
      <c r="J239" s="18" t="str">
        <f aca="false">IF($B239="","",$B239-WEEKDAY($B239,2)+1)</f>
        <v/>
      </c>
      <c r="K239" s="28" t="str">
        <f aca="false">IF(OR($I239="",$I239="?",$D239&lt;&gt;"Advance",$B239=""),"",$I239&amp;"|"&amp;$J239&amp;"|"&amp;COUNTIFS($I$6:$I239,$I239,$J$6:$J239,$J239,$D$6:$D239,"Advance"))</f>
        <v/>
      </c>
      <c r="L239" s="29" t="str">
        <f aca="false">IF(OR($I239="",$I239="?",$B239=""),"",SUMPRODUCT((Weeks!$A$6:$A$58&lt;=$J239)*(Weeks!$Z$4:$AK$4=$I239)*Weeks!$Z$6:$AK$58)-SUMIFS($E$6:$E$1005,$I$6:$I$1005,$I239,$B$6:$B$1005,"&lt;="&amp;$B239))</f>
        <v/>
      </c>
      <c r="M239" s="19" t="str">
        <f aca="false">IF($B239&amp;$C239&amp;$D239&amp;$E239="","",IF($B239="","missing date",IF($C239="","missing worker",IF($I239="?","unknown worker - was the name changed on Workers?",IF($D239="","missing type",IF(N($E239)=0,"missing amount",IF(AND($E239&lt;0,$D239&lt;&gt;"Correction"),"negative amount - use a Correction to undo",IF(OR($B239&lt;Weeks!$A$6,$B239&gt;Weeks!$B$58),"date outside this workbook's year",IF(AND($D239="Advance",N($L239)&lt;0),"Warning: more than earned so far - worker now owes "&amp;ROUND(-$L239,0),"")))))))))</f>
        <v/>
      </c>
    </row>
    <row r="240" customFormat="false" ht="15" hidden="false" customHeight="false" outlineLevel="0" collapsed="false">
      <c r="A240" s="24" t="str">
        <f aca="false">IF($B240="","",ROW()-5)</f>
        <v/>
      </c>
      <c r="B240" s="25"/>
      <c r="C240" s="20"/>
      <c r="D240" s="26"/>
      <c r="E240" s="27"/>
      <c r="F240" s="20"/>
      <c r="G240" s="20"/>
      <c r="H240" s="26"/>
      <c r="I240" s="24" t="str">
        <f aca="false">IF($C240="","",IFERROR(INDEX(WorkerIDs,MATCH($C240,WorkerNames,0)),"?"))</f>
        <v/>
      </c>
      <c r="J240" s="18" t="str">
        <f aca="false">IF($B240="","",$B240-WEEKDAY($B240,2)+1)</f>
        <v/>
      </c>
      <c r="K240" s="28" t="str">
        <f aca="false">IF(OR($I240="",$I240="?",$D240&lt;&gt;"Advance",$B240=""),"",$I240&amp;"|"&amp;$J240&amp;"|"&amp;COUNTIFS($I$6:$I240,$I240,$J$6:$J240,$J240,$D$6:$D240,"Advance"))</f>
        <v/>
      </c>
      <c r="L240" s="29" t="str">
        <f aca="false">IF(OR($I240="",$I240="?",$B240=""),"",SUMPRODUCT((Weeks!$A$6:$A$58&lt;=$J240)*(Weeks!$Z$4:$AK$4=$I240)*Weeks!$Z$6:$AK$58)-SUMIFS($E$6:$E$1005,$I$6:$I$1005,$I240,$B$6:$B$1005,"&lt;="&amp;$B240))</f>
        <v/>
      </c>
      <c r="M240" s="19" t="str">
        <f aca="false">IF($B240&amp;$C240&amp;$D240&amp;$E240="","",IF($B240="","missing date",IF($C240="","missing worker",IF($I240="?","unknown worker - was the name changed on Workers?",IF($D240="","missing type",IF(N($E240)=0,"missing amount",IF(AND($E240&lt;0,$D240&lt;&gt;"Correction"),"negative amount - use a Correction to undo",IF(OR($B240&lt;Weeks!$A$6,$B240&gt;Weeks!$B$58),"date outside this workbook's year",IF(AND($D240="Advance",N($L240)&lt;0),"Warning: more than earned so far - worker now owes "&amp;ROUND(-$L240,0),"")))))))))</f>
        <v/>
      </c>
    </row>
    <row r="241" customFormat="false" ht="15" hidden="false" customHeight="false" outlineLevel="0" collapsed="false">
      <c r="A241" s="24" t="str">
        <f aca="false">IF($B241="","",ROW()-5)</f>
        <v/>
      </c>
      <c r="B241" s="25"/>
      <c r="C241" s="20"/>
      <c r="D241" s="26"/>
      <c r="E241" s="27"/>
      <c r="F241" s="20"/>
      <c r="G241" s="20"/>
      <c r="H241" s="26"/>
      <c r="I241" s="24" t="str">
        <f aca="false">IF($C241="","",IFERROR(INDEX(WorkerIDs,MATCH($C241,WorkerNames,0)),"?"))</f>
        <v/>
      </c>
      <c r="J241" s="18" t="str">
        <f aca="false">IF($B241="","",$B241-WEEKDAY($B241,2)+1)</f>
        <v/>
      </c>
      <c r="K241" s="28" t="str">
        <f aca="false">IF(OR($I241="",$I241="?",$D241&lt;&gt;"Advance",$B241=""),"",$I241&amp;"|"&amp;$J241&amp;"|"&amp;COUNTIFS($I$6:$I241,$I241,$J$6:$J241,$J241,$D$6:$D241,"Advance"))</f>
        <v/>
      </c>
      <c r="L241" s="29" t="str">
        <f aca="false">IF(OR($I241="",$I241="?",$B241=""),"",SUMPRODUCT((Weeks!$A$6:$A$58&lt;=$J241)*(Weeks!$Z$4:$AK$4=$I241)*Weeks!$Z$6:$AK$58)-SUMIFS($E$6:$E$1005,$I$6:$I$1005,$I241,$B$6:$B$1005,"&lt;="&amp;$B241))</f>
        <v/>
      </c>
      <c r="M241" s="19" t="str">
        <f aca="false">IF($B241&amp;$C241&amp;$D241&amp;$E241="","",IF($B241="","missing date",IF($C241="","missing worker",IF($I241="?","unknown worker - was the name changed on Workers?",IF($D241="","missing type",IF(N($E241)=0,"missing amount",IF(AND($E241&lt;0,$D241&lt;&gt;"Correction"),"negative amount - use a Correction to undo",IF(OR($B241&lt;Weeks!$A$6,$B241&gt;Weeks!$B$58),"date outside this workbook's year",IF(AND($D241="Advance",N($L241)&lt;0),"Warning: more than earned so far - worker now owes "&amp;ROUND(-$L241,0),"")))))))))</f>
        <v/>
      </c>
    </row>
    <row r="242" customFormat="false" ht="15" hidden="false" customHeight="false" outlineLevel="0" collapsed="false">
      <c r="A242" s="24" t="str">
        <f aca="false">IF($B242="","",ROW()-5)</f>
        <v/>
      </c>
      <c r="B242" s="25"/>
      <c r="C242" s="20"/>
      <c r="D242" s="26"/>
      <c r="E242" s="27"/>
      <c r="F242" s="20"/>
      <c r="G242" s="20"/>
      <c r="H242" s="26"/>
      <c r="I242" s="24" t="str">
        <f aca="false">IF($C242="","",IFERROR(INDEX(WorkerIDs,MATCH($C242,WorkerNames,0)),"?"))</f>
        <v/>
      </c>
      <c r="J242" s="18" t="str">
        <f aca="false">IF($B242="","",$B242-WEEKDAY($B242,2)+1)</f>
        <v/>
      </c>
      <c r="K242" s="28" t="str">
        <f aca="false">IF(OR($I242="",$I242="?",$D242&lt;&gt;"Advance",$B242=""),"",$I242&amp;"|"&amp;$J242&amp;"|"&amp;COUNTIFS($I$6:$I242,$I242,$J$6:$J242,$J242,$D$6:$D242,"Advance"))</f>
        <v/>
      </c>
      <c r="L242" s="29" t="str">
        <f aca="false">IF(OR($I242="",$I242="?",$B242=""),"",SUMPRODUCT((Weeks!$A$6:$A$58&lt;=$J242)*(Weeks!$Z$4:$AK$4=$I242)*Weeks!$Z$6:$AK$58)-SUMIFS($E$6:$E$1005,$I$6:$I$1005,$I242,$B$6:$B$1005,"&lt;="&amp;$B242))</f>
        <v/>
      </c>
      <c r="M242" s="19" t="str">
        <f aca="false">IF($B242&amp;$C242&amp;$D242&amp;$E242="","",IF($B242="","missing date",IF($C242="","missing worker",IF($I242="?","unknown worker - was the name changed on Workers?",IF($D242="","missing type",IF(N($E242)=0,"missing amount",IF(AND($E242&lt;0,$D242&lt;&gt;"Correction"),"negative amount - use a Correction to undo",IF(OR($B242&lt;Weeks!$A$6,$B242&gt;Weeks!$B$58),"date outside this workbook's year",IF(AND($D242="Advance",N($L242)&lt;0),"Warning: more than earned so far - worker now owes "&amp;ROUND(-$L242,0),"")))))))))</f>
        <v/>
      </c>
    </row>
    <row r="243" customFormat="false" ht="15" hidden="false" customHeight="false" outlineLevel="0" collapsed="false">
      <c r="A243" s="24" t="str">
        <f aca="false">IF($B243="","",ROW()-5)</f>
        <v/>
      </c>
      <c r="B243" s="25"/>
      <c r="C243" s="20"/>
      <c r="D243" s="26"/>
      <c r="E243" s="27"/>
      <c r="F243" s="20"/>
      <c r="G243" s="20"/>
      <c r="H243" s="26"/>
      <c r="I243" s="24" t="str">
        <f aca="false">IF($C243="","",IFERROR(INDEX(WorkerIDs,MATCH($C243,WorkerNames,0)),"?"))</f>
        <v/>
      </c>
      <c r="J243" s="18" t="str">
        <f aca="false">IF($B243="","",$B243-WEEKDAY($B243,2)+1)</f>
        <v/>
      </c>
      <c r="K243" s="28" t="str">
        <f aca="false">IF(OR($I243="",$I243="?",$D243&lt;&gt;"Advance",$B243=""),"",$I243&amp;"|"&amp;$J243&amp;"|"&amp;COUNTIFS($I$6:$I243,$I243,$J$6:$J243,$J243,$D$6:$D243,"Advance"))</f>
        <v/>
      </c>
      <c r="L243" s="29" t="str">
        <f aca="false">IF(OR($I243="",$I243="?",$B243=""),"",SUMPRODUCT((Weeks!$A$6:$A$58&lt;=$J243)*(Weeks!$Z$4:$AK$4=$I243)*Weeks!$Z$6:$AK$58)-SUMIFS($E$6:$E$1005,$I$6:$I$1005,$I243,$B$6:$B$1005,"&lt;="&amp;$B243))</f>
        <v/>
      </c>
      <c r="M243" s="19" t="str">
        <f aca="false">IF($B243&amp;$C243&amp;$D243&amp;$E243="","",IF($B243="","missing date",IF($C243="","missing worker",IF($I243="?","unknown worker - was the name changed on Workers?",IF($D243="","missing type",IF(N($E243)=0,"missing amount",IF(AND($E243&lt;0,$D243&lt;&gt;"Correction"),"negative amount - use a Correction to undo",IF(OR($B243&lt;Weeks!$A$6,$B243&gt;Weeks!$B$58),"date outside this workbook's year",IF(AND($D243="Advance",N($L243)&lt;0),"Warning: more than earned so far - worker now owes "&amp;ROUND(-$L243,0),"")))))))))</f>
        <v/>
      </c>
    </row>
    <row r="244" customFormat="false" ht="15" hidden="false" customHeight="false" outlineLevel="0" collapsed="false">
      <c r="A244" s="24" t="str">
        <f aca="false">IF($B244="","",ROW()-5)</f>
        <v/>
      </c>
      <c r="B244" s="25"/>
      <c r="C244" s="20"/>
      <c r="D244" s="26"/>
      <c r="E244" s="27"/>
      <c r="F244" s="20"/>
      <c r="G244" s="20"/>
      <c r="H244" s="26"/>
      <c r="I244" s="24" t="str">
        <f aca="false">IF($C244="","",IFERROR(INDEX(WorkerIDs,MATCH($C244,WorkerNames,0)),"?"))</f>
        <v/>
      </c>
      <c r="J244" s="18" t="str">
        <f aca="false">IF($B244="","",$B244-WEEKDAY($B244,2)+1)</f>
        <v/>
      </c>
      <c r="K244" s="28" t="str">
        <f aca="false">IF(OR($I244="",$I244="?",$D244&lt;&gt;"Advance",$B244=""),"",$I244&amp;"|"&amp;$J244&amp;"|"&amp;COUNTIFS($I$6:$I244,$I244,$J$6:$J244,$J244,$D$6:$D244,"Advance"))</f>
        <v/>
      </c>
      <c r="L244" s="29" t="str">
        <f aca="false">IF(OR($I244="",$I244="?",$B244=""),"",SUMPRODUCT((Weeks!$A$6:$A$58&lt;=$J244)*(Weeks!$Z$4:$AK$4=$I244)*Weeks!$Z$6:$AK$58)-SUMIFS($E$6:$E$1005,$I$6:$I$1005,$I244,$B$6:$B$1005,"&lt;="&amp;$B244))</f>
        <v/>
      </c>
      <c r="M244" s="19" t="str">
        <f aca="false">IF($B244&amp;$C244&amp;$D244&amp;$E244="","",IF($B244="","missing date",IF($C244="","missing worker",IF($I244="?","unknown worker - was the name changed on Workers?",IF($D244="","missing type",IF(N($E244)=0,"missing amount",IF(AND($E244&lt;0,$D244&lt;&gt;"Correction"),"negative amount - use a Correction to undo",IF(OR($B244&lt;Weeks!$A$6,$B244&gt;Weeks!$B$58),"date outside this workbook's year",IF(AND($D244="Advance",N($L244)&lt;0),"Warning: more than earned so far - worker now owes "&amp;ROUND(-$L244,0),"")))))))))</f>
        <v/>
      </c>
    </row>
    <row r="245" customFormat="false" ht="15" hidden="false" customHeight="false" outlineLevel="0" collapsed="false">
      <c r="A245" s="24" t="str">
        <f aca="false">IF($B245="","",ROW()-5)</f>
        <v/>
      </c>
      <c r="B245" s="25"/>
      <c r="C245" s="20"/>
      <c r="D245" s="26"/>
      <c r="E245" s="27"/>
      <c r="F245" s="20"/>
      <c r="G245" s="20"/>
      <c r="H245" s="26"/>
      <c r="I245" s="24" t="str">
        <f aca="false">IF($C245="","",IFERROR(INDEX(WorkerIDs,MATCH($C245,WorkerNames,0)),"?"))</f>
        <v/>
      </c>
      <c r="J245" s="18" t="str">
        <f aca="false">IF($B245="","",$B245-WEEKDAY($B245,2)+1)</f>
        <v/>
      </c>
      <c r="K245" s="28" t="str">
        <f aca="false">IF(OR($I245="",$I245="?",$D245&lt;&gt;"Advance",$B245=""),"",$I245&amp;"|"&amp;$J245&amp;"|"&amp;COUNTIFS($I$6:$I245,$I245,$J$6:$J245,$J245,$D$6:$D245,"Advance"))</f>
        <v/>
      </c>
      <c r="L245" s="29" t="str">
        <f aca="false">IF(OR($I245="",$I245="?",$B245=""),"",SUMPRODUCT((Weeks!$A$6:$A$58&lt;=$J245)*(Weeks!$Z$4:$AK$4=$I245)*Weeks!$Z$6:$AK$58)-SUMIFS($E$6:$E$1005,$I$6:$I$1005,$I245,$B$6:$B$1005,"&lt;="&amp;$B245))</f>
        <v/>
      </c>
      <c r="M245" s="19" t="str">
        <f aca="false">IF($B245&amp;$C245&amp;$D245&amp;$E245="","",IF($B245="","missing date",IF($C245="","missing worker",IF($I245="?","unknown worker - was the name changed on Workers?",IF($D245="","missing type",IF(N($E245)=0,"missing amount",IF(AND($E245&lt;0,$D245&lt;&gt;"Correction"),"negative amount - use a Correction to undo",IF(OR($B245&lt;Weeks!$A$6,$B245&gt;Weeks!$B$58),"date outside this workbook's year",IF(AND($D245="Advance",N($L245)&lt;0),"Warning: more than earned so far - worker now owes "&amp;ROUND(-$L245,0),"")))))))))</f>
        <v/>
      </c>
    </row>
    <row r="246" customFormat="false" ht="15" hidden="false" customHeight="false" outlineLevel="0" collapsed="false">
      <c r="A246" s="24" t="str">
        <f aca="false">IF($B246="","",ROW()-5)</f>
        <v/>
      </c>
      <c r="B246" s="25"/>
      <c r="C246" s="20"/>
      <c r="D246" s="26"/>
      <c r="E246" s="27"/>
      <c r="F246" s="20"/>
      <c r="G246" s="20"/>
      <c r="H246" s="26"/>
      <c r="I246" s="24" t="str">
        <f aca="false">IF($C246="","",IFERROR(INDEX(WorkerIDs,MATCH($C246,WorkerNames,0)),"?"))</f>
        <v/>
      </c>
      <c r="J246" s="18" t="str">
        <f aca="false">IF($B246="","",$B246-WEEKDAY($B246,2)+1)</f>
        <v/>
      </c>
      <c r="K246" s="28" t="str">
        <f aca="false">IF(OR($I246="",$I246="?",$D246&lt;&gt;"Advance",$B246=""),"",$I246&amp;"|"&amp;$J246&amp;"|"&amp;COUNTIFS($I$6:$I246,$I246,$J$6:$J246,$J246,$D$6:$D246,"Advance"))</f>
        <v/>
      </c>
      <c r="L246" s="29" t="str">
        <f aca="false">IF(OR($I246="",$I246="?",$B246=""),"",SUMPRODUCT((Weeks!$A$6:$A$58&lt;=$J246)*(Weeks!$Z$4:$AK$4=$I246)*Weeks!$Z$6:$AK$58)-SUMIFS($E$6:$E$1005,$I$6:$I$1005,$I246,$B$6:$B$1005,"&lt;="&amp;$B246))</f>
        <v/>
      </c>
      <c r="M246" s="19" t="str">
        <f aca="false">IF($B246&amp;$C246&amp;$D246&amp;$E246="","",IF($B246="","missing date",IF($C246="","missing worker",IF($I246="?","unknown worker - was the name changed on Workers?",IF($D246="","missing type",IF(N($E246)=0,"missing amount",IF(AND($E246&lt;0,$D246&lt;&gt;"Correction"),"negative amount - use a Correction to undo",IF(OR($B246&lt;Weeks!$A$6,$B246&gt;Weeks!$B$58),"date outside this workbook's year",IF(AND($D246="Advance",N($L246)&lt;0),"Warning: more than earned so far - worker now owes "&amp;ROUND(-$L246,0),"")))))))))</f>
        <v/>
      </c>
    </row>
    <row r="247" customFormat="false" ht="15" hidden="false" customHeight="false" outlineLevel="0" collapsed="false">
      <c r="A247" s="24" t="str">
        <f aca="false">IF($B247="","",ROW()-5)</f>
        <v/>
      </c>
      <c r="B247" s="25"/>
      <c r="C247" s="20"/>
      <c r="D247" s="26"/>
      <c r="E247" s="27"/>
      <c r="F247" s="20"/>
      <c r="G247" s="20"/>
      <c r="H247" s="26"/>
      <c r="I247" s="24" t="str">
        <f aca="false">IF($C247="","",IFERROR(INDEX(WorkerIDs,MATCH($C247,WorkerNames,0)),"?"))</f>
        <v/>
      </c>
      <c r="J247" s="18" t="str">
        <f aca="false">IF($B247="","",$B247-WEEKDAY($B247,2)+1)</f>
        <v/>
      </c>
      <c r="K247" s="28" t="str">
        <f aca="false">IF(OR($I247="",$I247="?",$D247&lt;&gt;"Advance",$B247=""),"",$I247&amp;"|"&amp;$J247&amp;"|"&amp;COUNTIFS($I$6:$I247,$I247,$J$6:$J247,$J247,$D$6:$D247,"Advance"))</f>
        <v/>
      </c>
      <c r="L247" s="29" t="str">
        <f aca="false">IF(OR($I247="",$I247="?",$B247=""),"",SUMPRODUCT((Weeks!$A$6:$A$58&lt;=$J247)*(Weeks!$Z$4:$AK$4=$I247)*Weeks!$Z$6:$AK$58)-SUMIFS($E$6:$E$1005,$I$6:$I$1005,$I247,$B$6:$B$1005,"&lt;="&amp;$B247))</f>
        <v/>
      </c>
      <c r="M247" s="19" t="str">
        <f aca="false">IF($B247&amp;$C247&amp;$D247&amp;$E247="","",IF($B247="","missing date",IF($C247="","missing worker",IF($I247="?","unknown worker - was the name changed on Workers?",IF($D247="","missing type",IF(N($E247)=0,"missing amount",IF(AND($E247&lt;0,$D247&lt;&gt;"Correction"),"negative amount - use a Correction to undo",IF(OR($B247&lt;Weeks!$A$6,$B247&gt;Weeks!$B$58),"date outside this workbook's year",IF(AND($D247="Advance",N($L247)&lt;0),"Warning: more than earned so far - worker now owes "&amp;ROUND(-$L247,0),"")))))))))</f>
        <v/>
      </c>
    </row>
    <row r="248" customFormat="false" ht="15" hidden="false" customHeight="false" outlineLevel="0" collapsed="false">
      <c r="A248" s="24" t="str">
        <f aca="false">IF($B248="","",ROW()-5)</f>
        <v/>
      </c>
      <c r="B248" s="25"/>
      <c r="C248" s="20"/>
      <c r="D248" s="26"/>
      <c r="E248" s="27"/>
      <c r="F248" s="20"/>
      <c r="G248" s="20"/>
      <c r="H248" s="26"/>
      <c r="I248" s="24" t="str">
        <f aca="false">IF($C248="","",IFERROR(INDEX(WorkerIDs,MATCH($C248,WorkerNames,0)),"?"))</f>
        <v/>
      </c>
      <c r="J248" s="18" t="str">
        <f aca="false">IF($B248="","",$B248-WEEKDAY($B248,2)+1)</f>
        <v/>
      </c>
      <c r="K248" s="28" t="str">
        <f aca="false">IF(OR($I248="",$I248="?",$D248&lt;&gt;"Advance",$B248=""),"",$I248&amp;"|"&amp;$J248&amp;"|"&amp;COUNTIFS($I$6:$I248,$I248,$J$6:$J248,$J248,$D$6:$D248,"Advance"))</f>
        <v/>
      </c>
      <c r="L248" s="29" t="str">
        <f aca="false">IF(OR($I248="",$I248="?",$B248=""),"",SUMPRODUCT((Weeks!$A$6:$A$58&lt;=$J248)*(Weeks!$Z$4:$AK$4=$I248)*Weeks!$Z$6:$AK$58)-SUMIFS($E$6:$E$1005,$I$6:$I$1005,$I248,$B$6:$B$1005,"&lt;="&amp;$B248))</f>
        <v/>
      </c>
      <c r="M248" s="19" t="str">
        <f aca="false">IF($B248&amp;$C248&amp;$D248&amp;$E248="","",IF($B248="","missing date",IF($C248="","missing worker",IF($I248="?","unknown worker - was the name changed on Workers?",IF($D248="","missing type",IF(N($E248)=0,"missing amount",IF(AND($E248&lt;0,$D248&lt;&gt;"Correction"),"negative amount - use a Correction to undo",IF(OR($B248&lt;Weeks!$A$6,$B248&gt;Weeks!$B$58),"date outside this workbook's year",IF(AND($D248="Advance",N($L248)&lt;0),"Warning: more than earned so far - worker now owes "&amp;ROUND(-$L248,0),"")))))))))</f>
        <v/>
      </c>
    </row>
    <row r="249" customFormat="false" ht="15" hidden="false" customHeight="false" outlineLevel="0" collapsed="false">
      <c r="A249" s="24" t="str">
        <f aca="false">IF($B249="","",ROW()-5)</f>
        <v/>
      </c>
      <c r="B249" s="25"/>
      <c r="C249" s="20"/>
      <c r="D249" s="26"/>
      <c r="E249" s="27"/>
      <c r="F249" s="20"/>
      <c r="G249" s="20"/>
      <c r="H249" s="26"/>
      <c r="I249" s="24" t="str">
        <f aca="false">IF($C249="","",IFERROR(INDEX(WorkerIDs,MATCH($C249,WorkerNames,0)),"?"))</f>
        <v/>
      </c>
      <c r="J249" s="18" t="str">
        <f aca="false">IF($B249="","",$B249-WEEKDAY($B249,2)+1)</f>
        <v/>
      </c>
      <c r="K249" s="28" t="str">
        <f aca="false">IF(OR($I249="",$I249="?",$D249&lt;&gt;"Advance",$B249=""),"",$I249&amp;"|"&amp;$J249&amp;"|"&amp;COUNTIFS($I$6:$I249,$I249,$J$6:$J249,$J249,$D$6:$D249,"Advance"))</f>
        <v/>
      </c>
      <c r="L249" s="29" t="str">
        <f aca="false">IF(OR($I249="",$I249="?",$B249=""),"",SUMPRODUCT((Weeks!$A$6:$A$58&lt;=$J249)*(Weeks!$Z$4:$AK$4=$I249)*Weeks!$Z$6:$AK$58)-SUMIFS($E$6:$E$1005,$I$6:$I$1005,$I249,$B$6:$B$1005,"&lt;="&amp;$B249))</f>
        <v/>
      </c>
      <c r="M249" s="19" t="str">
        <f aca="false">IF($B249&amp;$C249&amp;$D249&amp;$E249="","",IF($B249="","missing date",IF($C249="","missing worker",IF($I249="?","unknown worker - was the name changed on Workers?",IF($D249="","missing type",IF(N($E249)=0,"missing amount",IF(AND($E249&lt;0,$D249&lt;&gt;"Correction"),"negative amount - use a Correction to undo",IF(OR($B249&lt;Weeks!$A$6,$B249&gt;Weeks!$B$58),"date outside this workbook's year",IF(AND($D249="Advance",N($L249)&lt;0),"Warning: more than earned so far - worker now owes "&amp;ROUND(-$L249,0),"")))))))))</f>
        <v/>
      </c>
    </row>
    <row r="250" customFormat="false" ht="15" hidden="false" customHeight="false" outlineLevel="0" collapsed="false">
      <c r="A250" s="24" t="str">
        <f aca="false">IF($B250="","",ROW()-5)</f>
        <v/>
      </c>
      <c r="B250" s="25"/>
      <c r="C250" s="20"/>
      <c r="D250" s="26"/>
      <c r="E250" s="27"/>
      <c r="F250" s="20"/>
      <c r="G250" s="20"/>
      <c r="H250" s="26"/>
      <c r="I250" s="24" t="str">
        <f aca="false">IF($C250="","",IFERROR(INDEX(WorkerIDs,MATCH($C250,WorkerNames,0)),"?"))</f>
        <v/>
      </c>
      <c r="J250" s="18" t="str">
        <f aca="false">IF($B250="","",$B250-WEEKDAY($B250,2)+1)</f>
        <v/>
      </c>
      <c r="K250" s="28" t="str">
        <f aca="false">IF(OR($I250="",$I250="?",$D250&lt;&gt;"Advance",$B250=""),"",$I250&amp;"|"&amp;$J250&amp;"|"&amp;COUNTIFS($I$6:$I250,$I250,$J$6:$J250,$J250,$D$6:$D250,"Advance"))</f>
        <v/>
      </c>
      <c r="L250" s="29" t="str">
        <f aca="false">IF(OR($I250="",$I250="?",$B250=""),"",SUMPRODUCT((Weeks!$A$6:$A$58&lt;=$J250)*(Weeks!$Z$4:$AK$4=$I250)*Weeks!$Z$6:$AK$58)-SUMIFS($E$6:$E$1005,$I$6:$I$1005,$I250,$B$6:$B$1005,"&lt;="&amp;$B250))</f>
        <v/>
      </c>
      <c r="M250" s="19" t="str">
        <f aca="false">IF($B250&amp;$C250&amp;$D250&amp;$E250="","",IF($B250="","missing date",IF($C250="","missing worker",IF($I250="?","unknown worker - was the name changed on Workers?",IF($D250="","missing type",IF(N($E250)=0,"missing amount",IF(AND($E250&lt;0,$D250&lt;&gt;"Correction"),"negative amount - use a Correction to undo",IF(OR($B250&lt;Weeks!$A$6,$B250&gt;Weeks!$B$58),"date outside this workbook's year",IF(AND($D250="Advance",N($L250)&lt;0),"Warning: more than earned so far - worker now owes "&amp;ROUND(-$L250,0),"")))))))))</f>
        <v/>
      </c>
    </row>
    <row r="251" customFormat="false" ht="15" hidden="false" customHeight="false" outlineLevel="0" collapsed="false">
      <c r="A251" s="24" t="str">
        <f aca="false">IF($B251="","",ROW()-5)</f>
        <v/>
      </c>
      <c r="B251" s="25"/>
      <c r="C251" s="20"/>
      <c r="D251" s="26"/>
      <c r="E251" s="27"/>
      <c r="F251" s="20"/>
      <c r="G251" s="20"/>
      <c r="H251" s="26"/>
      <c r="I251" s="24" t="str">
        <f aca="false">IF($C251="","",IFERROR(INDEX(WorkerIDs,MATCH($C251,WorkerNames,0)),"?"))</f>
        <v/>
      </c>
      <c r="J251" s="18" t="str">
        <f aca="false">IF($B251="","",$B251-WEEKDAY($B251,2)+1)</f>
        <v/>
      </c>
      <c r="K251" s="28" t="str">
        <f aca="false">IF(OR($I251="",$I251="?",$D251&lt;&gt;"Advance",$B251=""),"",$I251&amp;"|"&amp;$J251&amp;"|"&amp;COUNTIFS($I$6:$I251,$I251,$J$6:$J251,$J251,$D$6:$D251,"Advance"))</f>
        <v/>
      </c>
      <c r="L251" s="29" t="str">
        <f aca="false">IF(OR($I251="",$I251="?",$B251=""),"",SUMPRODUCT((Weeks!$A$6:$A$58&lt;=$J251)*(Weeks!$Z$4:$AK$4=$I251)*Weeks!$Z$6:$AK$58)-SUMIFS($E$6:$E$1005,$I$6:$I$1005,$I251,$B$6:$B$1005,"&lt;="&amp;$B251))</f>
        <v/>
      </c>
      <c r="M251" s="19" t="str">
        <f aca="false">IF($B251&amp;$C251&amp;$D251&amp;$E251="","",IF($B251="","missing date",IF($C251="","missing worker",IF($I251="?","unknown worker - was the name changed on Workers?",IF($D251="","missing type",IF(N($E251)=0,"missing amount",IF(AND($E251&lt;0,$D251&lt;&gt;"Correction"),"negative amount - use a Correction to undo",IF(OR($B251&lt;Weeks!$A$6,$B251&gt;Weeks!$B$58),"date outside this workbook's year",IF(AND($D251="Advance",N($L251)&lt;0),"Warning: more than earned so far - worker now owes "&amp;ROUND(-$L251,0),"")))))))))</f>
        <v/>
      </c>
    </row>
    <row r="252" customFormat="false" ht="15" hidden="false" customHeight="false" outlineLevel="0" collapsed="false">
      <c r="A252" s="24" t="str">
        <f aca="false">IF($B252="","",ROW()-5)</f>
        <v/>
      </c>
      <c r="B252" s="25"/>
      <c r="C252" s="20"/>
      <c r="D252" s="26"/>
      <c r="E252" s="27"/>
      <c r="F252" s="20"/>
      <c r="G252" s="20"/>
      <c r="H252" s="26"/>
      <c r="I252" s="24" t="str">
        <f aca="false">IF($C252="","",IFERROR(INDEX(WorkerIDs,MATCH($C252,WorkerNames,0)),"?"))</f>
        <v/>
      </c>
      <c r="J252" s="18" t="str">
        <f aca="false">IF($B252="","",$B252-WEEKDAY($B252,2)+1)</f>
        <v/>
      </c>
      <c r="K252" s="28" t="str">
        <f aca="false">IF(OR($I252="",$I252="?",$D252&lt;&gt;"Advance",$B252=""),"",$I252&amp;"|"&amp;$J252&amp;"|"&amp;COUNTIFS($I$6:$I252,$I252,$J$6:$J252,$J252,$D$6:$D252,"Advance"))</f>
        <v/>
      </c>
      <c r="L252" s="29" t="str">
        <f aca="false">IF(OR($I252="",$I252="?",$B252=""),"",SUMPRODUCT((Weeks!$A$6:$A$58&lt;=$J252)*(Weeks!$Z$4:$AK$4=$I252)*Weeks!$Z$6:$AK$58)-SUMIFS($E$6:$E$1005,$I$6:$I$1005,$I252,$B$6:$B$1005,"&lt;="&amp;$B252))</f>
        <v/>
      </c>
      <c r="M252" s="19" t="str">
        <f aca="false">IF($B252&amp;$C252&amp;$D252&amp;$E252="","",IF($B252="","missing date",IF($C252="","missing worker",IF($I252="?","unknown worker - was the name changed on Workers?",IF($D252="","missing type",IF(N($E252)=0,"missing amount",IF(AND($E252&lt;0,$D252&lt;&gt;"Correction"),"negative amount - use a Correction to undo",IF(OR($B252&lt;Weeks!$A$6,$B252&gt;Weeks!$B$58),"date outside this workbook's year",IF(AND($D252="Advance",N($L252)&lt;0),"Warning: more than earned so far - worker now owes "&amp;ROUND(-$L252,0),"")))))))))</f>
        <v/>
      </c>
    </row>
    <row r="253" customFormat="false" ht="15" hidden="false" customHeight="false" outlineLevel="0" collapsed="false">
      <c r="A253" s="24" t="str">
        <f aca="false">IF($B253="","",ROW()-5)</f>
        <v/>
      </c>
      <c r="B253" s="25"/>
      <c r="C253" s="20"/>
      <c r="D253" s="26"/>
      <c r="E253" s="27"/>
      <c r="F253" s="20"/>
      <c r="G253" s="20"/>
      <c r="H253" s="26"/>
      <c r="I253" s="24" t="str">
        <f aca="false">IF($C253="","",IFERROR(INDEX(WorkerIDs,MATCH($C253,WorkerNames,0)),"?"))</f>
        <v/>
      </c>
      <c r="J253" s="18" t="str">
        <f aca="false">IF($B253="","",$B253-WEEKDAY($B253,2)+1)</f>
        <v/>
      </c>
      <c r="K253" s="28" t="str">
        <f aca="false">IF(OR($I253="",$I253="?",$D253&lt;&gt;"Advance",$B253=""),"",$I253&amp;"|"&amp;$J253&amp;"|"&amp;COUNTIFS($I$6:$I253,$I253,$J$6:$J253,$J253,$D$6:$D253,"Advance"))</f>
        <v/>
      </c>
      <c r="L253" s="29" t="str">
        <f aca="false">IF(OR($I253="",$I253="?",$B253=""),"",SUMPRODUCT((Weeks!$A$6:$A$58&lt;=$J253)*(Weeks!$Z$4:$AK$4=$I253)*Weeks!$Z$6:$AK$58)-SUMIFS($E$6:$E$1005,$I$6:$I$1005,$I253,$B$6:$B$1005,"&lt;="&amp;$B253))</f>
        <v/>
      </c>
      <c r="M253" s="19" t="str">
        <f aca="false">IF($B253&amp;$C253&amp;$D253&amp;$E253="","",IF($B253="","missing date",IF($C253="","missing worker",IF($I253="?","unknown worker - was the name changed on Workers?",IF($D253="","missing type",IF(N($E253)=0,"missing amount",IF(AND($E253&lt;0,$D253&lt;&gt;"Correction"),"negative amount - use a Correction to undo",IF(OR($B253&lt;Weeks!$A$6,$B253&gt;Weeks!$B$58),"date outside this workbook's year",IF(AND($D253="Advance",N($L253)&lt;0),"Warning: more than earned so far - worker now owes "&amp;ROUND(-$L253,0),"")))))))))</f>
        <v/>
      </c>
    </row>
    <row r="254" customFormat="false" ht="15" hidden="false" customHeight="false" outlineLevel="0" collapsed="false">
      <c r="A254" s="24" t="str">
        <f aca="false">IF($B254="","",ROW()-5)</f>
        <v/>
      </c>
      <c r="B254" s="25"/>
      <c r="C254" s="20"/>
      <c r="D254" s="26"/>
      <c r="E254" s="27"/>
      <c r="F254" s="20"/>
      <c r="G254" s="20"/>
      <c r="H254" s="26"/>
      <c r="I254" s="24" t="str">
        <f aca="false">IF($C254="","",IFERROR(INDEX(WorkerIDs,MATCH($C254,WorkerNames,0)),"?"))</f>
        <v/>
      </c>
      <c r="J254" s="18" t="str">
        <f aca="false">IF($B254="","",$B254-WEEKDAY($B254,2)+1)</f>
        <v/>
      </c>
      <c r="K254" s="28" t="str">
        <f aca="false">IF(OR($I254="",$I254="?",$D254&lt;&gt;"Advance",$B254=""),"",$I254&amp;"|"&amp;$J254&amp;"|"&amp;COUNTIFS($I$6:$I254,$I254,$J$6:$J254,$J254,$D$6:$D254,"Advance"))</f>
        <v/>
      </c>
      <c r="L254" s="29" t="str">
        <f aca="false">IF(OR($I254="",$I254="?",$B254=""),"",SUMPRODUCT((Weeks!$A$6:$A$58&lt;=$J254)*(Weeks!$Z$4:$AK$4=$I254)*Weeks!$Z$6:$AK$58)-SUMIFS($E$6:$E$1005,$I$6:$I$1005,$I254,$B$6:$B$1005,"&lt;="&amp;$B254))</f>
        <v/>
      </c>
      <c r="M254" s="19" t="str">
        <f aca="false">IF($B254&amp;$C254&amp;$D254&amp;$E254="","",IF($B254="","missing date",IF($C254="","missing worker",IF($I254="?","unknown worker - was the name changed on Workers?",IF($D254="","missing type",IF(N($E254)=0,"missing amount",IF(AND($E254&lt;0,$D254&lt;&gt;"Correction"),"negative amount - use a Correction to undo",IF(OR($B254&lt;Weeks!$A$6,$B254&gt;Weeks!$B$58),"date outside this workbook's year",IF(AND($D254="Advance",N($L254)&lt;0),"Warning: more than earned so far - worker now owes "&amp;ROUND(-$L254,0),"")))))))))</f>
        <v/>
      </c>
    </row>
    <row r="255" customFormat="false" ht="15" hidden="false" customHeight="false" outlineLevel="0" collapsed="false">
      <c r="A255" s="24" t="str">
        <f aca="false">IF($B255="","",ROW()-5)</f>
        <v/>
      </c>
      <c r="B255" s="25"/>
      <c r="C255" s="20"/>
      <c r="D255" s="26"/>
      <c r="E255" s="27"/>
      <c r="F255" s="20"/>
      <c r="G255" s="20"/>
      <c r="H255" s="26"/>
      <c r="I255" s="24" t="str">
        <f aca="false">IF($C255="","",IFERROR(INDEX(WorkerIDs,MATCH($C255,WorkerNames,0)),"?"))</f>
        <v/>
      </c>
      <c r="J255" s="18" t="str">
        <f aca="false">IF($B255="","",$B255-WEEKDAY($B255,2)+1)</f>
        <v/>
      </c>
      <c r="K255" s="28" t="str">
        <f aca="false">IF(OR($I255="",$I255="?",$D255&lt;&gt;"Advance",$B255=""),"",$I255&amp;"|"&amp;$J255&amp;"|"&amp;COUNTIFS($I$6:$I255,$I255,$J$6:$J255,$J255,$D$6:$D255,"Advance"))</f>
        <v/>
      </c>
      <c r="L255" s="29" t="str">
        <f aca="false">IF(OR($I255="",$I255="?",$B255=""),"",SUMPRODUCT((Weeks!$A$6:$A$58&lt;=$J255)*(Weeks!$Z$4:$AK$4=$I255)*Weeks!$Z$6:$AK$58)-SUMIFS($E$6:$E$1005,$I$6:$I$1005,$I255,$B$6:$B$1005,"&lt;="&amp;$B255))</f>
        <v/>
      </c>
      <c r="M255" s="19" t="str">
        <f aca="false">IF($B255&amp;$C255&amp;$D255&amp;$E255="","",IF($B255="","missing date",IF($C255="","missing worker",IF($I255="?","unknown worker - was the name changed on Workers?",IF($D255="","missing type",IF(N($E255)=0,"missing amount",IF(AND($E255&lt;0,$D255&lt;&gt;"Correction"),"negative amount - use a Correction to undo",IF(OR($B255&lt;Weeks!$A$6,$B255&gt;Weeks!$B$58),"date outside this workbook's year",IF(AND($D255="Advance",N($L255)&lt;0),"Warning: more than earned so far - worker now owes "&amp;ROUND(-$L255,0),"")))))))))</f>
        <v/>
      </c>
    </row>
    <row r="256" customFormat="false" ht="15" hidden="false" customHeight="false" outlineLevel="0" collapsed="false">
      <c r="A256" s="24" t="str">
        <f aca="false">IF($B256="","",ROW()-5)</f>
        <v/>
      </c>
      <c r="B256" s="25"/>
      <c r="C256" s="20"/>
      <c r="D256" s="26"/>
      <c r="E256" s="27"/>
      <c r="F256" s="20"/>
      <c r="G256" s="20"/>
      <c r="H256" s="26"/>
      <c r="I256" s="24" t="str">
        <f aca="false">IF($C256="","",IFERROR(INDEX(WorkerIDs,MATCH($C256,WorkerNames,0)),"?"))</f>
        <v/>
      </c>
      <c r="J256" s="18" t="str">
        <f aca="false">IF($B256="","",$B256-WEEKDAY($B256,2)+1)</f>
        <v/>
      </c>
      <c r="K256" s="28" t="str">
        <f aca="false">IF(OR($I256="",$I256="?",$D256&lt;&gt;"Advance",$B256=""),"",$I256&amp;"|"&amp;$J256&amp;"|"&amp;COUNTIFS($I$6:$I256,$I256,$J$6:$J256,$J256,$D$6:$D256,"Advance"))</f>
        <v/>
      </c>
      <c r="L256" s="29" t="str">
        <f aca="false">IF(OR($I256="",$I256="?",$B256=""),"",SUMPRODUCT((Weeks!$A$6:$A$58&lt;=$J256)*(Weeks!$Z$4:$AK$4=$I256)*Weeks!$Z$6:$AK$58)-SUMIFS($E$6:$E$1005,$I$6:$I$1005,$I256,$B$6:$B$1005,"&lt;="&amp;$B256))</f>
        <v/>
      </c>
      <c r="M256" s="19" t="str">
        <f aca="false">IF($B256&amp;$C256&amp;$D256&amp;$E256="","",IF($B256="","missing date",IF($C256="","missing worker",IF($I256="?","unknown worker - was the name changed on Workers?",IF($D256="","missing type",IF(N($E256)=0,"missing amount",IF(AND($E256&lt;0,$D256&lt;&gt;"Correction"),"negative amount - use a Correction to undo",IF(OR($B256&lt;Weeks!$A$6,$B256&gt;Weeks!$B$58),"date outside this workbook's year",IF(AND($D256="Advance",N($L256)&lt;0),"Warning: more than earned so far - worker now owes "&amp;ROUND(-$L256,0),"")))))))))</f>
        <v/>
      </c>
    </row>
    <row r="257" customFormat="false" ht="15" hidden="false" customHeight="false" outlineLevel="0" collapsed="false">
      <c r="A257" s="24" t="str">
        <f aca="false">IF($B257="","",ROW()-5)</f>
        <v/>
      </c>
      <c r="B257" s="25"/>
      <c r="C257" s="20"/>
      <c r="D257" s="26"/>
      <c r="E257" s="27"/>
      <c r="F257" s="20"/>
      <c r="G257" s="20"/>
      <c r="H257" s="26"/>
      <c r="I257" s="24" t="str">
        <f aca="false">IF($C257="","",IFERROR(INDEX(WorkerIDs,MATCH($C257,WorkerNames,0)),"?"))</f>
        <v/>
      </c>
      <c r="J257" s="18" t="str">
        <f aca="false">IF($B257="","",$B257-WEEKDAY($B257,2)+1)</f>
        <v/>
      </c>
      <c r="K257" s="28" t="str">
        <f aca="false">IF(OR($I257="",$I257="?",$D257&lt;&gt;"Advance",$B257=""),"",$I257&amp;"|"&amp;$J257&amp;"|"&amp;COUNTIFS($I$6:$I257,$I257,$J$6:$J257,$J257,$D$6:$D257,"Advance"))</f>
        <v/>
      </c>
      <c r="L257" s="29" t="str">
        <f aca="false">IF(OR($I257="",$I257="?",$B257=""),"",SUMPRODUCT((Weeks!$A$6:$A$58&lt;=$J257)*(Weeks!$Z$4:$AK$4=$I257)*Weeks!$Z$6:$AK$58)-SUMIFS($E$6:$E$1005,$I$6:$I$1005,$I257,$B$6:$B$1005,"&lt;="&amp;$B257))</f>
        <v/>
      </c>
      <c r="M257" s="19" t="str">
        <f aca="false">IF($B257&amp;$C257&amp;$D257&amp;$E257="","",IF($B257="","missing date",IF($C257="","missing worker",IF($I257="?","unknown worker - was the name changed on Workers?",IF($D257="","missing type",IF(N($E257)=0,"missing amount",IF(AND($E257&lt;0,$D257&lt;&gt;"Correction"),"negative amount - use a Correction to undo",IF(OR($B257&lt;Weeks!$A$6,$B257&gt;Weeks!$B$58),"date outside this workbook's year",IF(AND($D257="Advance",N($L257)&lt;0),"Warning: more than earned so far - worker now owes "&amp;ROUND(-$L257,0),"")))))))))</f>
        <v/>
      </c>
    </row>
    <row r="258" customFormat="false" ht="15" hidden="false" customHeight="false" outlineLevel="0" collapsed="false">
      <c r="A258" s="24" t="str">
        <f aca="false">IF($B258="","",ROW()-5)</f>
        <v/>
      </c>
      <c r="B258" s="25"/>
      <c r="C258" s="20"/>
      <c r="D258" s="26"/>
      <c r="E258" s="27"/>
      <c r="F258" s="20"/>
      <c r="G258" s="20"/>
      <c r="H258" s="26"/>
      <c r="I258" s="24" t="str">
        <f aca="false">IF($C258="","",IFERROR(INDEX(WorkerIDs,MATCH($C258,WorkerNames,0)),"?"))</f>
        <v/>
      </c>
      <c r="J258" s="18" t="str">
        <f aca="false">IF($B258="","",$B258-WEEKDAY($B258,2)+1)</f>
        <v/>
      </c>
      <c r="K258" s="28" t="str">
        <f aca="false">IF(OR($I258="",$I258="?",$D258&lt;&gt;"Advance",$B258=""),"",$I258&amp;"|"&amp;$J258&amp;"|"&amp;COUNTIFS($I$6:$I258,$I258,$J$6:$J258,$J258,$D$6:$D258,"Advance"))</f>
        <v/>
      </c>
      <c r="L258" s="29" t="str">
        <f aca="false">IF(OR($I258="",$I258="?",$B258=""),"",SUMPRODUCT((Weeks!$A$6:$A$58&lt;=$J258)*(Weeks!$Z$4:$AK$4=$I258)*Weeks!$Z$6:$AK$58)-SUMIFS($E$6:$E$1005,$I$6:$I$1005,$I258,$B$6:$B$1005,"&lt;="&amp;$B258))</f>
        <v/>
      </c>
      <c r="M258" s="19" t="str">
        <f aca="false">IF($B258&amp;$C258&amp;$D258&amp;$E258="","",IF($B258="","missing date",IF($C258="","missing worker",IF($I258="?","unknown worker - was the name changed on Workers?",IF($D258="","missing type",IF(N($E258)=0,"missing amount",IF(AND($E258&lt;0,$D258&lt;&gt;"Correction"),"negative amount - use a Correction to undo",IF(OR($B258&lt;Weeks!$A$6,$B258&gt;Weeks!$B$58),"date outside this workbook's year",IF(AND($D258="Advance",N($L258)&lt;0),"Warning: more than earned so far - worker now owes "&amp;ROUND(-$L258,0),"")))))))))</f>
        <v/>
      </c>
    </row>
    <row r="259" customFormat="false" ht="15" hidden="false" customHeight="false" outlineLevel="0" collapsed="false">
      <c r="A259" s="24" t="str">
        <f aca="false">IF($B259="","",ROW()-5)</f>
        <v/>
      </c>
      <c r="B259" s="25"/>
      <c r="C259" s="20"/>
      <c r="D259" s="26"/>
      <c r="E259" s="27"/>
      <c r="F259" s="20"/>
      <c r="G259" s="20"/>
      <c r="H259" s="26"/>
      <c r="I259" s="24" t="str">
        <f aca="false">IF($C259="","",IFERROR(INDEX(WorkerIDs,MATCH($C259,WorkerNames,0)),"?"))</f>
        <v/>
      </c>
      <c r="J259" s="18" t="str">
        <f aca="false">IF($B259="","",$B259-WEEKDAY($B259,2)+1)</f>
        <v/>
      </c>
      <c r="K259" s="28" t="str">
        <f aca="false">IF(OR($I259="",$I259="?",$D259&lt;&gt;"Advance",$B259=""),"",$I259&amp;"|"&amp;$J259&amp;"|"&amp;COUNTIFS($I$6:$I259,$I259,$J$6:$J259,$J259,$D$6:$D259,"Advance"))</f>
        <v/>
      </c>
      <c r="L259" s="29" t="str">
        <f aca="false">IF(OR($I259="",$I259="?",$B259=""),"",SUMPRODUCT((Weeks!$A$6:$A$58&lt;=$J259)*(Weeks!$Z$4:$AK$4=$I259)*Weeks!$Z$6:$AK$58)-SUMIFS($E$6:$E$1005,$I$6:$I$1005,$I259,$B$6:$B$1005,"&lt;="&amp;$B259))</f>
        <v/>
      </c>
      <c r="M259" s="19" t="str">
        <f aca="false">IF($B259&amp;$C259&amp;$D259&amp;$E259="","",IF($B259="","missing date",IF($C259="","missing worker",IF($I259="?","unknown worker - was the name changed on Workers?",IF($D259="","missing type",IF(N($E259)=0,"missing amount",IF(AND($E259&lt;0,$D259&lt;&gt;"Correction"),"negative amount - use a Correction to undo",IF(OR($B259&lt;Weeks!$A$6,$B259&gt;Weeks!$B$58),"date outside this workbook's year",IF(AND($D259="Advance",N($L259)&lt;0),"Warning: more than earned so far - worker now owes "&amp;ROUND(-$L259,0),"")))))))))</f>
        <v/>
      </c>
    </row>
    <row r="260" customFormat="false" ht="15" hidden="false" customHeight="false" outlineLevel="0" collapsed="false">
      <c r="A260" s="24" t="str">
        <f aca="false">IF($B260="","",ROW()-5)</f>
        <v/>
      </c>
      <c r="B260" s="25"/>
      <c r="C260" s="20"/>
      <c r="D260" s="26"/>
      <c r="E260" s="27"/>
      <c r="F260" s="20"/>
      <c r="G260" s="20"/>
      <c r="H260" s="26"/>
      <c r="I260" s="24" t="str">
        <f aca="false">IF($C260="","",IFERROR(INDEX(WorkerIDs,MATCH($C260,WorkerNames,0)),"?"))</f>
        <v/>
      </c>
      <c r="J260" s="18" t="str">
        <f aca="false">IF($B260="","",$B260-WEEKDAY($B260,2)+1)</f>
        <v/>
      </c>
      <c r="K260" s="28" t="str">
        <f aca="false">IF(OR($I260="",$I260="?",$D260&lt;&gt;"Advance",$B260=""),"",$I260&amp;"|"&amp;$J260&amp;"|"&amp;COUNTIFS($I$6:$I260,$I260,$J$6:$J260,$J260,$D$6:$D260,"Advance"))</f>
        <v/>
      </c>
      <c r="L260" s="29" t="str">
        <f aca="false">IF(OR($I260="",$I260="?",$B260=""),"",SUMPRODUCT((Weeks!$A$6:$A$58&lt;=$J260)*(Weeks!$Z$4:$AK$4=$I260)*Weeks!$Z$6:$AK$58)-SUMIFS($E$6:$E$1005,$I$6:$I$1005,$I260,$B$6:$B$1005,"&lt;="&amp;$B260))</f>
        <v/>
      </c>
      <c r="M260" s="19" t="str">
        <f aca="false">IF($B260&amp;$C260&amp;$D260&amp;$E260="","",IF($B260="","missing date",IF($C260="","missing worker",IF($I260="?","unknown worker - was the name changed on Workers?",IF($D260="","missing type",IF(N($E260)=0,"missing amount",IF(AND($E260&lt;0,$D260&lt;&gt;"Correction"),"negative amount - use a Correction to undo",IF(OR($B260&lt;Weeks!$A$6,$B260&gt;Weeks!$B$58),"date outside this workbook's year",IF(AND($D260="Advance",N($L260)&lt;0),"Warning: more than earned so far - worker now owes "&amp;ROUND(-$L260,0),"")))))))))</f>
        <v/>
      </c>
    </row>
    <row r="261" customFormat="false" ht="15" hidden="false" customHeight="false" outlineLevel="0" collapsed="false">
      <c r="A261" s="24" t="str">
        <f aca="false">IF($B261="","",ROW()-5)</f>
        <v/>
      </c>
      <c r="B261" s="25"/>
      <c r="C261" s="20"/>
      <c r="D261" s="26"/>
      <c r="E261" s="27"/>
      <c r="F261" s="20"/>
      <c r="G261" s="20"/>
      <c r="H261" s="26"/>
      <c r="I261" s="24" t="str">
        <f aca="false">IF($C261="","",IFERROR(INDEX(WorkerIDs,MATCH($C261,WorkerNames,0)),"?"))</f>
        <v/>
      </c>
      <c r="J261" s="18" t="str">
        <f aca="false">IF($B261="","",$B261-WEEKDAY($B261,2)+1)</f>
        <v/>
      </c>
      <c r="K261" s="28" t="str">
        <f aca="false">IF(OR($I261="",$I261="?",$D261&lt;&gt;"Advance",$B261=""),"",$I261&amp;"|"&amp;$J261&amp;"|"&amp;COUNTIFS($I$6:$I261,$I261,$J$6:$J261,$J261,$D$6:$D261,"Advance"))</f>
        <v/>
      </c>
      <c r="L261" s="29" t="str">
        <f aca="false">IF(OR($I261="",$I261="?",$B261=""),"",SUMPRODUCT((Weeks!$A$6:$A$58&lt;=$J261)*(Weeks!$Z$4:$AK$4=$I261)*Weeks!$Z$6:$AK$58)-SUMIFS($E$6:$E$1005,$I$6:$I$1005,$I261,$B$6:$B$1005,"&lt;="&amp;$B261))</f>
        <v/>
      </c>
      <c r="M261" s="19" t="str">
        <f aca="false">IF($B261&amp;$C261&amp;$D261&amp;$E261="","",IF($B261="","missing date",IF($C261="","missing worker",IF($I261="?","unknown worker - was the name changed on Workers?",IF($D261="","missing type",IF(N($E261)=0,"missing amount",IF(AND($E261&lt;0,$D261&lt;&gt;"Correction"),"negative amount - use a Correction to undo",IF(OR($B261&lt;Weeks!$A$6,$B261&gt;Weeks!$B$58),"date outside this workbook's year",IF(AND($D261="Advance",N($L261)&lt;0),"Warning: more than earned so far - worker now owes "&amp;ROUND(-$L261,0),"")))))))))</f>
        <v/>
      </c>
    </row>
    <row r="262" customFormat="false" ht="15" hidden="false" customHeight="false" outlineLevel="0" collapsed="false">
      <c r="A262" s="24" t="str">
        <f aca="false">IF($B262="","",ROW()-5)</f>
        <v/>
      </c>
      <c r="B262" s="25"/>
      <c r="C262" s="20"/>
      <c r="D262" s="26"/>
      <c r="E262" s="27"/>
      <c r="F262" s="20"/>
      <c r="G262" s="20"/>
      <c r="H262" s="26"/>
      <c r="I262" s="24" t="str">
        <f aca="false">IF($C262="","",IFERROR(INDEX(WorkerIDs,MATCH($C262,WorkerNames,0)),"?"))</f>
        <v/>
      </c>
      <c r="J262" s="18" t="str">
        <f aca="false">IF($B262="","",$B262-WEEKDAY($B262,2)+1)</f>
        <v/>
      </c>
      <c r="K262" s="28" t="str">
        <f aca="false">IF(OR($I262="",$I262="?",$D262&lt;&gt;"Advance",$B262=""),"",$I262&amp;"|"&amp;$J262&amp;"|"&amp;COUNTIFS($I$6:$I262,$I262,$J$6:$J262,$J262,$D$6:$D262,"Advance"))</f>
        <v/>
      </c>
      <c r="L262" s="29" t="str">
        <f aca="false">IF(OR($I262="",$I262="?",$B262=""),"",SUMPRODUCT((Weeks!$A$6:$A$58&lt;=$J262)*(Weeks!$Z$4:$AK$4=$I262)*Weeks!$Z$6:$AK$58)-SUMIFS($E$6:$E$1005,$I$6:$I$1005,$I262,$B$6:$B$1005,"&lt;="&amp;$B262))</f>
        <v/>
      </c>
      <c r="M262" s="19" t="str">
        <f aca="false">IF($B262&amp;$C262&amp;$D262&amp;$E262="","",IF($B262="","missing date",IF($C262="","missing worker",IF($I262="?","unknown worker - was the name changed on Workers?",IF($D262="","missing type",IF(N($E262)=0,"missing amount",IF(AND($E262&lt;0,$D262&lt;&gt;"Correction"),"negative amount - use a Correction to undo",IF(OR($B262&lt;Weeks!$A$6,$B262&gt;Weeks!$B$58),"date outside this workbook's year",IF(AND($D262="Advance",N($L262)&lt;0),"Warning: more than earned so far - worker now owes "&amp;ROUND(-$L262,0),"")))))))))</f>
        <v/>
      </c>
    </row>
    <row r="263" customFormat="false" ht="15" hidden="false" customHeight="false" outlineLevel="0" collapsed="false">
      <c r="A263" s="24" t="str">
        <f aca="false">IF($B263="","",ROW()-5)</f>
        <v/>
      </c>
      <c r="B263" s="25"/>
      <c r="C263" s="20"/>
      <c r="D263" s="26"/>
      <c r="E263" s="27"/>
      <c r="F263" s="20"/>
      <c r="G263" s="20"/>
      <c r="H263" s="26"/>
      <c r="I263" s="24" t="str">
        <f aca="false">IF($C263="","",IFERROR(INDEX(WorkerIDs,MATCH($C263,WorkerNames,0)),"?"))</f>
        <v/>
      </c>
      <c r="J263" s="18" t="str">
        <f aca="false">IF($B263="","",$B263-WEEKDAY($B263,2)+1)</f>
        <v/>
      </c>
      <c r="K263" s="28" t="str">
        <f aca="false">IF(OR($I263="",$I263="?",$D263&lt;&gt;"Advance",$B263=""),"",$I263&amp;"|"&amp;$J263&amp;"|"&amp;COUNTIFS($I$6:$I263,$I263,$J$6:$J263,$J263,$D$6:$D263,"Advance"))</f>
        <v/>
      </c>
      <c r="L263" s="29" t="str">
        <f aca="false">IF(OR($I263="",$I263="?",$B263=""),"",SUMPRODUCT((Weeks!$A$6:$A$58&lt;=$J263)*(Weeks!$Z$4:$AK$4=$I263)*Weeks!$Z$6:$AK$58)-SUMIFS($E$6:$E$1005,$I$6:$I$1005,$I263,$B$6:$B$1005,"&lt;="&amp;$B263))</f>
        <v/>
      </c>
      <c r="M263" s="19" t="str">
        <f aca="false">IF($B263&amp;$C263&amp;$D263&amp;$E263="","",IF($B263="","missing date",IF($C263="","missing worker",IF($I263="?","unknown worker - was the name changed on Workers?",IF($D263="","missing type",IF(N($E263)=0,"missing amount",IF(AND($E263&lt;0,$D263&lt;&gt;"Correction"),"negative amount - use a Correction to undo",IF(OR($B263&lt;Weeks!$A$6,$B263&gt;Weeks!$B$58),"date outside this workbook's year",IF(AND($D263="Advance",N($L263)&lt;0),"Warning: more than earned so far - worker now owes "&amp;ROUND(-$L263,0),"")))))))))</f>
        <v/>
      </c>
    </row>
    <row r="264" customFormat="false" ht="15" hidden="false" customHeight="false" outlineLevel="0" collapsed="false">
      <c r="A264" s="24" t="str">
        <f aca="false">IF($B264="","",ROW()-5)</f>
        <v/>
      </c>
      <c r="B264" s="25"/>
      <c r="C264" s="20"/>
      <c r="D264" s="26"/>
      <c r="E264" s="27"/>
      <c r="F264" s="20"/>
      <c r="G264" s="20"/>
      <c r="H264" s="26"/>
      <c r="I264" s="24" t="str">
        <f aca="false">IF($C264="","",IFERROR(INDEX(WorkerIDs,MATCH($C264,WorkerNames,0)),"?"))</f>
        <v/>
      </c>
      <c r="J264" s="18" t="str">
        <f aca="false">IF($B264="","",$B264-WEEKDAY($B264,2)+1)</f>
        <v/>
      </c>
      <c r="K264" s="28" t="str">
        <f aca="false">IF(OR($I264="",$I264="?",$D264&lt;&gt;"Advance",$B264=""),"",$I264&amp;"|"&amp;$J264&amp;"|"&amp;COUNTIFS($I$6:$I264,$I264,$J$6:$J264,$J264,$D$6:$D264,"Advance"))</f>
        <v/>
      </c>
      <c r="L264" s="29" t="str">
        <f aca="false">IF(OR($I264="",$I264="?",$B264=""),"",SUMPRODUCT((Weeks!$A$6:$A$58&lt;=$J264)*(Weeks!$Z$4:$AK$4=$I264)*Weeks!$Z$6:$AK$58)-SUMIFS($E$6:$E$1005,$I$6:$I$1005,$I264,$B$6:$B$1005,"&lt;="&amp;$B264))</f>
        <v/>
      </c>
      <c r="M264" s="19" t="str">
        <f aca="false">IF($B264&amp;$C264&amp;$D264&amp;$E264="","",IF($B264="","missing date",IF($C264="","missing worker",IF($I264="?","unknown worker - was the name changed on Workers?",IF($D264="","missing type",IF(N($E264)=0,"missing amount",IF(AND($E264&lt;0,$D264&lt;&gt;"Correction"),"negative amount - use a Correction to undo",IF(OR($B264&lt;Weeks!$A$6,$B264&gt;Weeks!$B$58),"date outside this workbook's year",IF(AND($D264="Advance",N($L264)&lt;0),"Warning: more than earned so far - worker now owes "&amp;ROUND(-$L264,0),"")))))))))</f>
        <v/>
      </c>
    </row>
    <row r="265" customFormat="false" ht="15" hidden="false" customHeight="false" outlineLevel="0" collapsed="false">
      <c r="A265" s="24" t="str">
        <f aca="false">IF($B265="","",ROW()-5)</f>
        <v/>
      </c>
      <c r="B265" s="25"/>
      <c r="C265" s="20"/>
      <c r="D265" s="26"/>
      <c r="E265" s="27"/>
      <c r="F265" s="20"/>
      <c r="G265" s="20"/>
      <c r="H265" s="26"/>
      <c r="I265" s="24" t="str">
        <f aca="false">IF($C265="","",IFERROR(INDEX(WorkerIDs,MATCH($C265,WorkerNames,0)),"?"))</f>
        <v/>
      </c>
      <c r="J265" s="18" t="str">
        <f aca="false">IF($B265="","",$B265-WEEKDAY($B265,2)+1)</f>
        <v/>
      </c>
      <c r="K265" s="28" t="str">
        <f aca="false">IF(OR($I265="",$I265="?",$D265&lt;&gt;"Advance",$B265=""),"",$I265&amp;"|"&amp;$J265&amp;"|"&amp;COUNTIFS($I$6:$I265,$I265,$J$6:$J265,$J265,$D$6:$D265,"Advance"))</f>
        <v/>
      </c>
      <c r="L265" s="29" t="str">
        <f aca="false">IF(OR($I265="",$I265="?",$B265=""),"",SUMPRODUCT((Weeks!$A$6:$A$58&lt;=$J265)*(Weeks!$Z$4:$AK$4=$I265)*Weeks!$Z$6:$AK$58)-SUMIFS($E$6:$E$1005,$I$6:$I$1005,$I265,$B$6:$B$1005,"&lt;="&amp;$B265))</f>
        <v/>
      </c>
      <c r="M265" s="19" t="str">
        <f aca="false">IF($B265&amp;$C265&amp;$D265&amp;$E265="","",IF($B265="","missing date",IF($C265="","missing worker",IF($I265="?","unknown worker - was the name changed on Workers?",IF($D265="","missing type",IF(N($E265)=0,"missing amount",IF(AND($E265&lt;0,$D265&lt;&gt;"Correction"),"negative amount - use a Correction to undo",IF(OR($B265&lt;Weeks!$A$6,$B265&gt;Weeks!$B$58),"date outside this workbook's year",IF(AND($D265="Advance",N($L265)&lt;0),"Warning: more than earned so far - worker now owes "&amp;ROUND(-$L265,0),"")))))))))</f>
        <v/>
      </c>
    </row>
    <row r="266" customFormat="false" ht="15" hidden="false" customHeight="false" outlineLevel="0" collapsed="false">
      <c r="A266" s="24" t="str">
        <f aca="false">IF($B266="","",ROW()-5)</f>
        <v/>
      </c>
      <c r="B266" s="25"/>
      <c r="C266" s="20"/>
      <c r="D266" s="26"/>
      <c r="E266" s="27"/>
      <c r="F266" s="20"/>
      <c r="G266" s="20"/>
      <c r="H266" s="26"/>
      <c r="I266" s="24" t="str">
        <f aca="false">IF($C266="","",IFERROR(INDEX(WorkerIDs,MATCH($C266,WorkerNames,0)),"?"))</f>
        <v/>
      </c>
      <c r="J266" s="18" t="str">
        <f aca="false">IF($B266="","",$B266-WEEKDAY($B266,2)+1)</f>
        <v/>
      </c>
      <c r="K266" s="28" t="str">
        <f aca="false">IF(OR($I266="",$I266="?",$D266&lt;&gt;"Advance",$B266=""),"",$I266&amp;"|"&amp;$J266&amp;"|"&amp;COUNTIFS($I$6:$I266,$I266,$J$6:$J266,$J266,$D$6:$D266,"Advance"))</f>
        <v/>
      </c>
      <c r="L266" s="29" t="str">
        <f aca="false">IF(OR($I266="",$I266="?",$B266=""),"",SUMPRODUCT((Weeks!$A$6:$A$58&lt;=$J266)*(Weeks!$Z$4:$AK$4=$I266)*Weeks!$Z$6:$AK$58)-SUMIFS($E$6:$E$1005,$I$6:$I$1005,$I266,$B$6:$B$1005,"&lt;="&amp;$B266))</f>
        <v/>
      </c>
      <c r="M266" s="19" t="str">
        <f aca="false">IF($B266&amp;$C266&amp;$D266&amp;$E266="","",IF($B266="","missing date",IF($C266="","missing worker",IF($I266="?","unknown worker - was the name changed on Workers?",IF($D266="","missing type",IF(N($E266)=0,"missing amount",IF(AND($E266&lt;0,$D266&lt;&gt;"Correction"),"negative amount - use a Correction to undo",IF(OR($B266&lt;Weeks!$A$6,$B266&gt;Weeks!$B$58),"date outside this workbook's year",IF(AND($D266="Advance",N($L266)&lt;0),"Warning: more than earned so far - worker now owes "&amp;ROUND(-$L266,0),"")))))))))</f>
        <v/>
      </c>
    </row>
    <row r="267" customFormat="false" ht="15" hidden="false" customHeight="false" outlineLevel="0" collapsed="false">
      <c r="A267" s="24" t="str">
        <f aca="false">IF($B267="","",ROW()-5)</f>
        <v/>
      </c>
      <c r="B267" s="25"/>
      <c r="C267" s="20"/>
      <c r="D267" s="26"/>
      <c r="E267" s="27"/>
      <c r="F267" s="20"/>
      <c r="G267" s="20"/>
      <c r="H267" s="26"/>
      <c r="I267" s="24" t="str">
        <f aca="false">IF($C267="","",IFERROR(INDEX(WorkerIDs,MATCH($C267,WorkerNames,0)),"?"))</f>
        <v/>
      </c>
      <c r="J267" s="18" t="str">
        <f aca="false">IF($B267="","",$B267-WEEKDAY($B267,2)+1)</f>
        <v/>
      </c>
      <c r="K267" s="28" t="str">
        <f aca="false">IF(OR($I267="",$I267="?",$D267&lt;&gt;"Advance",$B267=""),"",$I267&amp;"|"&amp;$J267&amp;"|"&amp;COUNTIFS($I$6:$I267,$I267,$J$6:$J267,$J267,$D$6:$D267,"Advance"))</f>
        <v/>
      </c>
      <c r="L267" s="29" t="str">
        <f aca="false">IF(OR($I267="",$I267="?",$B267=""),"",SUMPRODUCT((Weeks!$A$6:$A$58&lt;=$J267)*(Weeks!$Z$4:$AK$4=$I267)*Weeks!$Z$6:$AK$58)-SUMIFS($E$6:$E$1005,$I$6:$I$1005,$I267,$B$6:$B$1005,"&lt;="&amp;$B267))</f>
        <v/>
      </c>
      <c r="M267" s="19" t="str">
        <f aca="false">IF($B267&amp;$C267&amp;$D267&amp;$E267="","",IF($B267="","missing date",IF($C267="","missing worker",IF($I267="?","unknown worker - was the name changed on Workers?",IF($D267="","missing type",IF(N($E267)=0,"missing amount",IF(AND($E267&lt;0,$D267&lt;&gt;"Correction"),"negative amount - use a Correction to undo",IF(OR($B267&lt;Weeks!$A$6,$B267&gt;Weeks!$B$58),"date outside this workbook's year",IF(AND($D267="Advance",N($L267)&lt;0),"Warning: more than earned so far - worker now owes "&amp;ROUND(-$L267,0),"")))))))))</f>
        <v/>
      </c>
    </row>
    <row r="268" customFormat="false" ht="15" hidden="false" customHeight="false" outlineLevel="0" collapsed="false">
      <c r="A268" s="24" t="str">
        <f aca="false">IF($B268="","",ROW()-5)</f>
        <v/>
      </c>
      <c r="B268" s="25"/>
      <c r="C268" s="20"/>
      <c r="D268" s="26"/>
      <c r="E268" s="27"/>
      <c r="F268" s="20"/>
      <c r="G268" s="20"/>
      <c r="H268" s="26"/>
      <c r="I268" s="24" t="str">
        <f aca="false">IF($C268="","",IFERROR(INDEX(WorkerIDs,MATCH($C268,WorkerNames,0)),"?"))</f>
        <v/>
      </c>
      <c r="J268" s="18" t="str">
        <f aca="false">IF($B268="","",$B268-WEEKDAY($B268,2)+1)</f>
        <v/>
      </c>
      <c r="K268" s="28" t="str">
        <f aca="false">IF(OR($I268="",$I268="?",$D268&lt;&gt;"Advance",$B268=""),"",$I268&amp;"|"&amp;$J268&amp;"|"&amp;COUNTIFS($I$6:$I268,$I268,$J$6:$J268,$J268,$D$6:$D268,"Advance"))</f>
        <v/>
      </c>
      <c r="L268" s="29" t="str">
        <f aca="false">IF(OR($I268="",$I268="?",$B268=""),"",SUMPRODUCT((Weeks!$A$6:$A$58&lt;=$J268)*(Weeks!$Z$4:$AK$4=$I268)*Weeks!$Z$6:$AK$58)-SUMIFS($E$6:$E$1005,$I$6:$I$1005,$I268,$B$6:$B$1005,"&lt;="&amp;$B268))</f>
        <v/>
      </c>
      <c r="M268" s="19" t="str">
        <f aca="false">IF($B268&amp;$C268&amp;$D268&amp;$E268="","",IF($B268="","missing date",IF($C268="","missing worker",IF($I268="?","unknown worker - was the name changed on Workers?",IF($D268="","missing type",IF(N($E268)=0,"missing amount",IF(AND($E268&lt;0,$D268&lt;&gt;"Correction"),"negative amount - use a Correction to undo",IF(OR($B268&lt;Weeks!$A$6,$B268&gt;Weeks!$B$58),"date outside this workbook's year",IF(AND($D268="Advance",N($L268)&lt;0),"Warning: more than earned so far - worker now owes "&amp;ROUND(-$L268,0),"")))))))))</f>
        <v/>
      </c>
    </row>
    <row r="269" customFormat="false" ht="15" hidden="false" customHeight="false" outlineLevel="0" collapsed="false">
      <c r="A269" s="24" t="str">
        <f aca="false">IF($B269="","",ROW()-5)</f>
        <v/>
      </c>
      <c r="B269" s="25"/>
      <c r="C269" s="20"/>
      <c r="D269" s="26"/>
      <c r="E269" s="27"/>
      <c r="F269" s="20"/>
      <c r="G269" s="20"/>
      <c r="H269" s="26"/>
      <c r="I269" s="24" t="str">
        <f aca="false">IF($C269="","",IFERROR(INDEX(WorkerIDs,MATCH($C269,WorkerNames,0)),"?"))</f>
        <v/>
      </c>
      <c r="J269" s="18" t="str">
        <f aca="false">IF($B269="","",$B269-WEEKDAY($B269,2)+1)</f>
        <v/>
      </c>
      <c r="K269" s="28" t="str">
        <f aca="false">IF(OR($I269="",$I269="?",$D269&lt;&gt;"Advance",$B269=""),"",$I269&amp;"|"&amp;$J269&amp;"|"&amp;COUNTIFS($I$6:$I269,$I269,$J$6:$J269,$J269,$D$6:$D269,"Advance"))</f>
        <v/>
      </c>
      <c r="L269" s="29" t="str">
        <f aca="false">IF(OR($I269="",$I269="?",$B269=""),"",SUMPRODUCT((Weeks!$A$6:$A$58&lt;=$J269)*(Weeks!$Z$4:$AK$4=$I269)*Weeks!$Z$6:$AK$58)-SUMIFS($E$6:$E$1005,$I$6:$I$1005,$I269,$B$6:$B$1005,"&lt;="&amp;$B269))</f>
        <v/>
      </c>
      <c r="M269" s="19" t="str">
        <f aca="false">IF($B269&amp;$C269&amp;$D269&amp;$E269="","",IF($B269="","missing date",IF($C269="","missing worker",IF($I269="?","unknown worker - was the name changed on Workers?",IF($D269="","missing type",IF(N($E269)=0,"missing amount",IF(AND($E269&lt;0,$D269&lt;&gt;"Correction"),"negative amount - use a Correction to undo",IF(OR($B269&lt;Weeks!$A$6,$B269&gt;Weeks!$B$58),"date outside this workbook's year",IF(AND($D269="Advance",N($L269)&lt;0),"Warning: more than earned so far - worker now owes "&amp;ROUND(-$L269,0),"")))))))))</f>
        <v/>
      </c>
    </row>
    <row r="270" customFormat="false" ht="15" hidden="false" customHeight="false" outlineLevel="0" collapsed="false">
      <c r="A270" s="24" t="str">
        <f aca="false">IF($B270="","",ROW()-5)</f>
        <v/>
      </c>
      <c r="B270" s="25"/>
      <c r="C270" s="20"/>
      <c r="D270" s="26"/>
      <c r="E270" s="27"/>
      <c r="F270" s="20"/>
      <c r="G270" s="20"/>
      <c r="H270" s="26"/>
      <c r="I270" s="24" t="str">
        <f aca="false">IF($C270="","",IFERROR(INDEX(WorkerIDs,MATCH($C270,WorkerNames,0)),"?"))</f>
        <v/>
      </c>
      <c r="J270" s="18" t="str">
        <f aca="false">IF($B270="","",$B270-WEEKDAY($B270,2)+1)</f>
        <v/>
      </c>
      <c r="K270" s="28" t="str">
        <f aca="false">IF(OR($I270="",$I270="?",$D270&lt;&gt;"Advance",$B270=""),"",$I270&amp;"|"&amp;$J270&amp;"|"&amp;COUNTIFS($I$6:$I270,$I270,$J$6:$J270,$J270,$D$6:$D270,"Advance"))</f>
        <v/>
      </c>
      <c r="L270" s="29" t="str">
        <f aca="false">IF(OR($I270="",$I270="?",$B270=""),"",SUMPRODUCT((Weeks!$A$6:$A$58&lt;=$J270)*(Weeks!$Z$4:$AK$4=$I270)*Weeks!$Z$6:$AK$58)-SUMIFS($E$6:$E$1005,$I$6:$I$1005,$I270,$B$6:$B$1005,"&lt;="&amp;$B270))</f>
        <v/>
      </c>
      <c r="M270" s="19" t="str">
        <f aca="false">IF($B270&amp;$C270&amp;$D270&amp;$E270="","",IF($B270="","missing date",IF($C270="","missing worker",IF($I270="?","unknown worker - was the name changed on Workers?",IF($D270="","missing type",IF(N($E270)=0,"missing amount",IF(AND($E270&lt;0,$D270&lt;&gt;"Correction"),"negative amount - use a Correction to undo",IF(OR($B270&lt;Weeks!$A$6,$B270&gt;Weeks!$B$58),"date outside this workbook's year",IF(AND($D270="Advance",N($L270)&lt;0),"Warning: more than earned so far - worker now owes "&amp;ROUND(-$L270,0),"")))))))))</f>
        <v/>
      </c>
    </row>
    <row r="271" customFormat="false" ht="15" hidden="false" customHeight="false" outlineLevel="0" collapsed="false">
      <c r="A271" s="24" t="str">
        <f aca="false">IF($B271="","",ROW()-5)</f>
        <v/>
      </c>
      <c r="B271" s="25"/>
      <c r="C271" s="20"/>
      <c r="D271" s="26"/>
      <c r="E271" s="27"/>
      <c r="F271" s="20"/>
      <c r="G271" s="20"/>
      <c r="H271" s="26"/>
      <c r="I271" s="24" t="str">
        <f aca="false">IF($C271="","",IFERROR(INDEX(WorkerIDs,MATCH($C271,WorkerNames,0)),"?"))</f>
        <v/>
      </c>
      <c r="J271" s="18" t="str">
        <f aca="false">IF($B271="","",$B271-WEEKDAY($B271,2)+1)</f>
        <v/>
      </c>
      <c r="K271" s="28" t="str">
        <f aca="false">IF(OR($I271="",$I271="?",$D271&lt;&gt;"Advance",$B271=""),"",$I271&amp;"|"&amp;$J271&amp;"|"&amp;COUNTIFS($I$6:$I271,$I271,$J$6:$J271,$J271,$D$6:$D271,"Advance"))</f>
        <v/>
      </c>
      <c r="L271" s="29" t="str">
        <f aca="false">IF(OR($I271="",$I271="?",$B271=""),"",SUMPRODUCT((Weeks!$A$6:$A$58&lt;=$J271)*(Weeks!$Z$4:$AK$4=$I271)*Weeks!$Z$6:$AK$58)-SUMIFS($E$6:$E$1005,$I$6:$I$1005,$I271,$B$6:$B$1005,"&lt;="&amp;$B271))</f>
        <v/>
      </c>
      <c r="M271" s="19" t="str">
        <f aca="false">IF($B271&amp;$C271&amp;$D271&amp;$E271="","",IF($B271="","missing date",IF($C271="","missing worker",IF($I271="?","unknown worker - was the name changed on Workers?",IF($D271="","missing type",IF(N($E271)=0,"missing amount",IF(AND($E271&lt;0,$D271&lt;&gt;"Correction"),"negative amount - use a Correction to undo",IF(OR($B271&lt;Weeks!$A$6,$B271&gt;Weeks!$B$58),"date outside this workbook's year",IF(AND($D271="Advance",N($L271)&lt;0),"Warning: more than earned so far - worker now owes "&amp;ROUND(-$L271,0),"")))))))))</f>
        <v/>
      </c>
    </row>
    <row r="272" customFormat="false" ht="15" hidden="false" customHeight="false" outlineLevel="0" collapsed="false">
      <c r="A272" s="24" t="str">
        <f aca="false">IF($B272="","",ROW()-5)</f>
        <v/>
      </c>
      <c r="B272" s="25"/>
      <c r="C272" s="20"/>
      <c r="D272" s="26"/>
      <c r="E272" s="27"/>
      <c r="F272" s="20"/>
      <c r="G272" s="20"/>
      <c r="H272" s="26"/>
      <c r="I272" s="24" t="str">
        <f aca="false">IF($C272="","",IFERROR(INDEX(WorkerIDs,MATCH($C272,WorkerNames,0)),"?"))</f>
        <v/>
      </c>
      <c r="J272" s="18" t="str">
        <f aca="false">IF($B272="","",$B272-WEEKDAY($B272,2)+1)</f>
        <v/>
      </c>
      <c r="K272" s="28" t="str">
        <f aca="false">IF(OR($I272="",$I272="?",$D272&lt;&gt;"Advance",$B272=""),"",$I272&amp;"|"&amp;$J272&amp;"|"&amp;COUNTIFS($I$6:$I272,$I272,$J$6:$J272,$J272,$D$6:$D272,"Advance"))</f>
        <v/>
      </c>
      <c r="L272" s="29" t="str">
        <f aca="false">IF(OR($I272="",$I272="?",$B272=""),"",SUMPRODUCT((Weeks!$A$6:$A$58&lt;=$J272)*(Weeks!$Z$4:$AK$4=$I272)*Weeks!$Z$6:$AK$58)-SUMIFS($E$6:$E$1005,$I$6:$I$1005,$I272,$B$6:$B$1005,"&lt;="&amp;$B272))</f>
        <v/>
      </c>
      <c r="M272" s="19" t="str">
        <f aca="false">IF($B272&amp;$C272&amp;$D272&amp;$E272="","",IF($B272="","missing date",IF($C272="","missing worker",IF($I272="?","unknown worker - was the name changed on Workers?",IF($D272="","missing type",IF(N($E272)=0,"missing amount",IF(AND($E272&lt;0,$D272&lt;&gt;"Correction"),"negative amount - use a Correction to undo",IF(OR($B272&lt;Weeks!$A$6,$B272&gt;Weeks!$B$58),"date outside this workbook's year",IF(AND($D272="Advance",N($L272)&lt;0),"Warning: more than earned so far - worker now owes "&amp;ROUND(-$L272,0),"")))))))))</f>
        <v/>
      </c>
    </row>
    <row r="273" customFormat="false" ht="15" hidden="false" customHeight="false" outlineLevel="0" collapsed="false">
      <c r="A273" s="24" t="str">
        <f aca="false">IF($B273="","",ROW()-5)</f>
        <v/>
      </c>
      <c r="B273" s="25"/>
      <c r="C273" s="20"/>
      <c r="D273" s="26"/>
      <c r="E273" s="27"/>
      <c r="F273" s="20"/>
      <c r="G273" s="20"/>
      <c r="H273" s="26"/>
      <c r="I273" s="24" t="str">
        <f aca="false">IF($C273="","",IFERROR(INDEX(WorkerIDs,MATCH($C273,WorkerNames,0)),"?"))</f>
        <v/>
      </c>
      <c r="J273" s="18" t="str">
        <f aca="false">IF($B273="","",$B273-WEEKDAY($B273,2)+1)</f>
        <v/>
      </c>
      <c r="K273" s="28" t="str">
        <f aca="false">IF(OR($I273="",$I273="?",$D273&lt;&gt;"Advance",$B273=""),"",$I273&amp;"|"&amp;$J273&amp;"|"&amp;COUNTIFS($I$6:$I273,$I273,$J$6:$J273,$J273,$D$6:$D273,"Advance"))</f>
        <v/>
      </c>
      <c r="L273" s="29" t="str">
        <f aca="false">IF(OR($I273="",$I273="?",$B273=""),"",SUMPRODUCT((Weeks!$A$6:$A$58&lt;=$J273)*(Weeks!$Z$4:$AK$4=$I273)*Weeks!$Z$6:$AK$58)-SUMIFS($E$6:$E$1005,$I$6:$I$1005,$I273,$B$6:$B$1005,"&lt;="&amp;$B273))</f>
        <v/>
      </c>
      <c r="M273" s="19" t="str">
        <f aca="false">IF($B273&amp;$C273&amp;$D273&amp;$E273="","",IF($B273="","missing date",IF($C273="","missing worker",IF($I273="?","unknown worker - was the name changed on Workers?",IF($D273="","missing type",IF(N($E273)=0,"missing amount",IF(AND($E273&lt;0,$D273&lt;&gt;"Correction"),"negative amount - use a Correction to undo",IF(OR($B273&lt;Weeks!$A$6,$B273&gt;Weeks!$B$58),"date outside this workbook's year",IF(AND($D273="Advance",N($L273)&lt;0),"Warning: more than earned so far - worker now owes "&amp;ROUND(-$L273,0),"")))))))))</f>
        <v/>
      </c>
    </row>
    <row r="274" customFormat="false" ht="15" hidden="false" customHeight="false" outlineLevel="0" collapsed="false">
      <c r="A274" s="24" t="str">
        <f aca="false">IF($B274="","",ROW()-5)</f>
        <v/>
      </c>
      <c r="B274" s="25"/>
      <c r="C274" s="20"/>
      <c r="D274" s="26"/>
      <c r="E274" s="27"/>
      <c r="F274" s="20"/>
      <c r="G274" s="20"/>
      <c r="H274" s="26"/>
      <c r="I274" s="24" t="str">
        <f aca="false">IF($C274="","",IFERROR(INDEX(WorkerIDs,MATCH($C274,WorkerNames,0)),"?"))</f>
        <v/>
      </c>
      <c r="J274" s="18" t="str">
        <f aca="false">IF($B274="","",$B274-WEEKDAY($B274,2)+1)</f>
        <v/>
      </c>
      <c r="K274" s="28" t="str">
        <f aca="false">IF(OR($I274="",$I274="?",$D274&lt;&gt;"Advance",$B274=""),"",$I274&amp;"|"&amp;$J274&amp;"|"&amp;COUNTIFS($I$6:$I274,$I274,$J$6:$J274,$J274,$D$6:$D274,"Advance"))</f>
        <v/>
      </c>
      <c r="L274" s="29" t="str">
        <f aca="false">IF(OR($I274="",$I274="?",$B274=""),"",SUMPRODUCT((Weeks!$A$6:$A$58&lt;=$J274)*(Weeks!$Z$4:$AK$4=$I274)*Weeks!$Z$6:$AK$58)-SUMIFS($E$6:$E$1005,$I$6:$I$1005,$I274,$B$6:$B$1005,"&lt;="&amp;$B274))</f>
        <v/>
      </c>
      <c r="M274" s="19" t="str">
        <f aca="false">IF($B274&amp;$C274&amp;$D274&amp;$E274="","",IF($B274="","missing date",IF($C274="","missing worker",IF($I274="?","unknown worker - was the name changed on Workers?",IF($D274="","missing type",IF(N($E274)=0,"missing amount",IF(AND($E274&lt;0,$D274&lt;&gt;"Correction"),"negative amount - use a Correction to undo",IF(OR($B274&lt;Weeks!$A$6,$B274&gt;Weeks!$B$58),"date outside this workbook's year",IF(AND($D274="Advance",N($L274)&lt;0),"Warning: more than earned so far - worker now owes "&amp;ROUND(-$L274,0),"")))))))))</f>
        <v/>
      </c>
    </row>
    <row r="275" customFormat="false" ht="15" hidden="false" customHeight="false" outlineLevel="0" collapsed="false">
      <c r="A275" s="24" t="str">
        <f aca="false">IF($B275="","",ROW()-5)</f>
        <v/>
      </c>
      <c r="B275" s="25"/>
      <c r="C275" s="20"/>
      <c r="D275" s="26"/>
      <c r="E275" s="27"/>
      <c r="F275" s="20"/>
      <c r="G275" s="20"/>
      <c r="H275" s="26"/>
      <c r="I275" s="24" t="str">
        <f aca="false">IF($C275="","",IFERROR(INDEX(WorkerIDs,MATCH($C275,WorkerNames,0)),"?"))</f>
        <v/>
      </c>
      <c r="J275" s="18" t="str">
        <f aca="false">IF($B275="","",$B275-WEEKDAY($B275,2)+1)</f>
        <v/>
      </c>
      <c r="K275" s="28" t="str">
        <f aca="false">IF(OR($I275="",$I275="?",$D275&lt;&gt;"Advance",$B275=""),"",$I275&amp;"|"&amp;$J275&amp;"|"&amp;COUNTIFS($I$6:$I275,$I275,$J$6:$J275,$J275,$D$6:$D275,"Advance"))</f>
        <v/>
      </c>
      <c r="L275" s="29" t="str">
        <f aca="false">IF(OR($I275="",$I275="?",$B275=""),"",SUMPRODUCT((Weeks!$A$6:$A$58&lt;=$J275)*(Weeks!$Z$4:$AK$4=$I275)*Weeks!$Z$6:$AK$58)-SUMIFS($E$6:$E$1005,$I$6:$I$1005,$I275,$B$6:$B$1005,"&lt;="&amp;$B275))</f>
        <v/>
      </c>
      <c r="M275" s="19" t="str">
        <f aca="false">IF($B275&amp;$C275&amp;$D275&amp;$E275="","",IF($B275="","missing date",IF($C275="","missing worker",IF($I275="?","unknown worker - was the name changed on Workers?",IF($D275="","missing type",IF(N($E275)=0,"missing amount",IF(AND($E275&lt;0,$D275&lt;&gt;"Correction"),"negative amount - use a Correction to undo",IF(OR($B275&lt;Weeks!$A$6,$B275&gt;Weeks!$B$58),"date outside this workbook's year",IF(AND($D275="Advance",N($L275)&lt;0),"Warning: more than earned so far - worker now owes "&amp;ROUND(-$L275,0),"")))))))))</f>
        <v/>
      </c>
    </row>
    <row r="276" customFormat="false" ht="15" hidden="false" customHeight="false" outlineLevel="0" collapsed="false">
      <c r="A276" s="24" t="str">
        <f aca="false">IF($B276="","",ROW()-5)</f>
        <v/>
      </c>
      <c r="B276" s="25"/>
      <c r="C276" s="20"/>
      <c r="D276" s="26"/>
      <c r="E276" s="27"/>
      <c r="F276" s="20"/>
      <c r="G276" s="20"/>
      <c r="H276" s="26"/>
      <c r="I276" s="24" t="str">
        <f aca="false">IF($C276="","",IFERROR(INDEX(WorkerIDs,MATCH($C276,WorkerNames,0)),"?"))</f>
        <v/>
      </c>
      <c r="J276" s="18" t="str">
        <f aca="false">IF($B276="","",$B276-WEEKDAY($B276,2)+1)</f>
        <v/>
      </c>
      <c r="K276" s="28" t="str">
        <f aca="false">IF(OR($I276="",$I276="?",$D276&lt;&gt;"Advance",$B276=""),"",$I276&amp;"|"&amp;$J276&amp;"|"&amp;COUNTIFS($I$6:$I276,$I276,$J$6:$J276,$J276,$D$6:$D276,"Advance"))</f>
        <v/>
      </c>
      <c r="L276" s="29" t="str">
        <f aca="false">IF(OR($I276="",$I276="?",$B276=""),"",SUMPRODUCT((Weeks!$A$6:$A$58&lt;=$J276)*(Weeks!$Z$4:$AK$4=$I276)*Weeks!$Z$6:$AK$58)-SUMIFS($E$6:$E$1005,$I$6:$I$1005,$I276,$B$6:$B$1005,"&lt;="&amp;$B276))</f>
        <v/>
      </c>
      <c r="M276" s="19" t="str">
        <f aca="false">IF($B276&amp;$C276&amp;$D276&amp;$E276="","",IF($B276="","missing date",IF($C276="","missing worker",IF($I276="?","unknown worker - was the name changed on Workers?",IF($D276="","missing type",IF(N($E276)=0,"missing amount",IF(AND($E276&lt;0,$D276&lt;&gt;"Correction"),"negative amount - use a Correction to undo",IF(OR($B276&lt;Weeks!$A$6,$B276&gt;Weeks!$B$58),"date outside this workbook's year",IF(AND($D276="Advance",N($L276)&lt;0),"Warning: more than earned so far - worker now owes "&amp;ROUND(-$L276,0),"")))))))))</f>
        <v/>
      </c>
    </row>
    <row r="277" customFormat="false" ht="15" hidden="false" customHeight="false" outlineLevel="0" collapsed="false">
      <c r="A277" s="24" t="str">
        <f aca="false">IF($B277="","",ROW()-5)</f>
        <v/>
      </c>
      <c r="B277" s="25"/>
      <c r="C277" s="20"/>
      <c r="D277" s="26"/>
      <c r="E277" s="27"/>
      <c r="F277" s="20"/>
      <c r="G277" s="20"/>
      <c r="H277" s="26"/>
      <c r="I277" s="24" t="str">
        <f aca="false">IF($C277="","",IFERROR(INDEX(WorkerIDs,MATCH($C277,WorkerNames,0)),"?"))</f>
        <v/>
      </c>
      <c r="J277" s="18" t="str">
        <f aca="false">IF($B277="","",$B277-WEEKDAY($B277,2)+1)</f>
        <v/>
      </c>
      <c r="K277" s="28" t="str">
        <f aca="false">IF(OR($I277="",$I277="?",$D277&lt;&gt;"Advance",$B277=""),"",$I277&amp;"|"&amp;$J277&amp;"|"&amp;COUNTIFS($I$6:$I277,$I277,$J$6:$J277,$J277,$D$6:$D277,"Advance"))</f>
        <v/>
      </c>
      <c r="L277" s="29" t="str">
        <f aca="false">IF(OR($I277="",$I277="?",$B277=""),"",SUMPRODUCT((Weeks!$A$6:$A$58&lt;=$J277)*(Weeks!$Z$4:$AK$4=$I277)*Weeks!$Z$6:$AK$58)-SUMIFS($E$6:$E$1005,$I$6:$I$1005,$I277,$B$6:$B$1005,"&lt;="&amp;$B277))</f>
        <v/>
      </c>
      <c r="M277" s="19" t="str">
        <f aca="false">IF($B277&amp;$C277&amp;$D277&amp;$E277="","",IF($B277="","missing date",IF($C277="","missing worker",IF($I277="?","unknown worker - was the name changed on Workers?",IF($D277="","missing type",IF(N($E277)=0,"missing amount",IF(AND($E277&lt;0,$D277&lt;&gt;"Correction"),"negative amount - use a Correction to undo",IF(OR($B277&lt;Weeks!$A$6,$B277&gt;Weeks!$B$58),"date outside this workbook's year",IF(AND($D277="Advance",N($L277)&lt;0),"Warning: more than earned so far - worker now owes "&amp;ROUND(-$L277,0),"")))))))))</f>
        <v/>
      </c>
    </row>
    <row r="278" customFormat="false" ht="15" hidden="false" customHeight="false" outlineLevel="0" collapsed="false">
      <c r="A278" s="24" t="str">
        <f aca="false">IF($B278="","",ROW()-5)</f>
        <v/>
      </c>
      <c r="B278" s="25"/>
      <c r="C278" s="20"/>
      <c r="D278" s="26"/>
      <c r="E278" s="27"/>
      <c r="F278" s="20"/>
      <c r="G278" s="20"/>
      <c r="H278" s="26"/>
      <c r="I278" s="24" t="str">
        <f aca="false">IF($C278="","",IFERROR(INDEX(WorkerIDs,MATCH($C278,WorkerNames,0)),"?"))</f>
        <v/>
      </c>
      <c r="J278" s="18" t="str">
        <f aca="false">IF($B278="","",$B278-WEEKDAY($B278,2)+1)</f>
        <v/>
      </c>
      <c r="K278" s="28" t="str">
        <f aca="false">IF(OR($I278="",$I278="?",$D278&lt;&gt;"Advance",$B278=""),"",$I278&amp;"|"&amp;$J278&amp;"|"&amp;COUNTIFS($I$6:$I278,$I278,$J$6:$J278,$J278,$D$6:$D278,"Advance"))</f>
        <v/>
      </c>
      <c r="L278" s="29" t="str">
        <f aca="false">IF(OR($I278="",$I278="?",$B278=""),"",SUMPRODUCT((Weeks!$A$6:$A$58&lt;=$J278)*(Weeks!$Z$4:$AK$4=$I278)*Weeks!$Z$6:$AK$58)-SUMIFS($E$6:$E$1005,$I$6:$I$1005,$I278,$B$6:$B$1005,"&lt;="&amp;$B278))</f>
        <v/>
      </c>
      <c r="M278" s="19" t="str">
        <f aca="false">IF($B278&amp;$C278&amp;$D278&amp;$E278="","",IF($B278="","missing date",IF($C278="","missing worker",IF($I278="?","unknown worker - was the name changed on Workers?",IF($D278="","missing type",IF(N($E278)=0,"missing amount",IF(AND($E278&lt;0,$D278&lt;&gt;"Correction"),"negative amount - use a Correction to undo",IF(OR($B278&lt;Weeks!$A$6,$B278&gt;Weeks!$B$58),"date outside this workbook's year",IF(AND($D278="Advance",N($L278)&lt;0),"Warning: more than earned so far - worker now owes "&amp;ROUND(-$L278,0),"")))))))))</f>
        <v/>
      </c>
    </row>
    <row r="279" customFormat="false" ht="15" hidden="false" customHeight="false" outlineLevel="0" collapsed="false">
      <c r="A279" s="24" t="str">
        <f aca="false">IF($B279="","",ROW()-5)</f>
        <v/>
      </c>
      <c r="B279" s="25"/>
      <c r="C279" s="20"/>
      <c r="D279" s="26"/>
      <c r="E279" s="27"/>
      <c r="F279" s="20"/>
      <c r="G279" s="20"/>
      <c r="H279" s="26"/>
      <c r="I279" s="24" t="str">
        <f aca="false">IF($C279="","",IFERROR(INDEX(WorkerIDs,MATCH($C279,WorkerNames,0)),"?"))</f>
        <v/>
      </c>
      <c r="J279" s="18" t="str">
        <f aca="false">IF($B279="","",$B279-WEEKDAY($B279,2)+1)</f>
        <v/>
      </c>
      <c r="K279" s="28" t="str">
        <f aca="false">IF(OR($I279="",$I279="?",$D279&lt;&gt;"Advance",$B279=""),"",$I279&amp;"|"&amp;$J279&amp;"|"&amp;COUNTIFS($I$6:$I279,$I279,$J$6:$J279,$J279,$D$6:$D279,"Advance"))</f>
        <v/>
      </c>
      <c r="L279" s="29" t="str">
        <f aca="false">IF(OR($I279="",$I279="?",$B279=""),"",SUMPRODUCT((Weeks!$A$6:$A$58&lt;=$J279)*(Weeks!$Z$4:$AK$4=$I279)*Weeks!$Z$6:$AK$58)-SUMIFS($E$6:$E$1005,$I$6:$I$1005,$I279,$B$6:$B$1005,"&lt;="&amp;$B279))</f>
        <v/>
      </c>
      <c r="M279" s="19" t="str">
        <f aca="false">IF($B279&amp;$C279&amp;$D279&amp;$E279="","",IF($B279="","missing date",IF($C279="","missing worker",IF($I279="?","unknown worker - was the name changed on Workers?",IF($D279="","missing type",IF(N($E279)=0,"missing amount",IF(AND($E279&lt;0,$D279&lt;&gt;"Correction"),"negative amount - use a Correction to undo",IF(OR($B279&lt;Weeks!$A$6,$B279&gt;Weeks!$B$58),"date outside this workbook's year",IF(AND($D279="Advance",N($L279)&lt;0),"Warning: more than earned so far - worker now owes "&amp;ROUND(-$L279,0),"")))))))))</f>
        <v/>
      </c>
    </row>
    <row r="280" customFormat="false" ht="15" hidden="false" customHeight="false" outlineLevel="0" collapsed="false">
      <c r="A280" s="24" t="str">
        <f aca="false">IF($B280="","",ROW()-5)</f>
        <v/>
      </c>
      <c r="B280" s="25"/>
      <c r="C280" s="20"/>
      <c r="D280" s="26"/>
      <c r="E280" s="27"/>
      <c r="F280" s="20"/>
      <c r="G280" s="20"/>
      <c r="H280" s="26"/>
      <c r="I280" s="24" t="str">
        <f aca="false">IF($C280="","",IFERROR(INDEX(WorkerIDs,MATCH($C280,WorkerNames,0)),"?"))</f>
        <v/>
      </c>
      <c r="J280" s="18" t="str">
        <f aca="false">IF($B280="","",$B280-WEEKDAY($B280,2)+1)</f>
        <v/>
      </c>
      <c r="K280" s="28" t="str">
        <f aca="false">IF(OR($I280="",$I280="?",$D280&lt;&gt;"Advance",$B280=""),"",$I280&amp;"|"&amp;$J280&amp;"|"&amp;COUNTIFS($I$6:$I280,$I280,$J$6:$J280,$J280,$D$6:$D280,"Advance"))</f>
        <v/>
      </c>
      <c r="L280" s="29" t="str">
        <f aca="false">IF(OR($I280="",$I280="?",$B280=""),"",SUMPRODUCT((Weeks!$A$6:$A$58&lt;=$J280)*(Weeks!$Z$4:$AK$4=$I280)*Weeks!$Z$6:$AK$58)-SUMIFS($E$6:$E$1005,$I$6:$I$1005,$I280,$B$6:$B$1005,"&lt;="&amp;$B280))</f>
        <v/>
      </c>
      <c r="M280" s="19" t="str">
        <f aca="false">IF($B280&amp;$C280&amp;$D280&amp;$E280="","",IF($B280="","missing date",IF($C280="","missing worker",IF($I280="?","unknown worker - was the name changed on Workers?",IF($D280="","missing type",IF(N($E280)=0,"missing amount",IF(AND($E280&lt;0,$D280&lt;&gt;"Correction"),"negative amount - use a Correction to undo",IF(OR($B280&lt;Weeks!$A$6,$B280&gt;Weeks!$B$58),"date outside this workbook's year",IF(AND($D280="Advance",N($L280)&lt;0),"Warning: more than earned so far - worker now owes "&amp;ROUND(-$L280,0),"")))))))))</f>
        <v/>
      </c>
    </row>
    <row r="281" customFormat="false" ht="15" hidden="false" customHeight="false" outlineLevel="0" collapsed="false">
      <c r="A281" s="24" t="str">
        <f aca="false">IF($B281="","",ROW()-5)</f>
        <v/>
      </c>
      <c r="B281" s="25"/>
      <c r="C281" s="20"/>
      <c r="D281" s="26"/>
      <c r="E281" s="27"/>
      <c r="F281" s="20"/>
      <c r="G281" s="20"/>
      <c r="H281" s="26"/>
      <c r="I281" s="24" t="str">
        <f aca="false">IF($C281="","",IFERROR(INDEX(WorkerIDs,MATCH($C281,WorkerNames,0)),"?"))</f>
        <v/>
      </c>
      <c r="J281" s="18" t="str">
        <f aca="false">IF($B281="","",$B281-WEEKDAY($B281,2)+1)</f>
        <v/>
      </c>
      <c r="K281" s="28" t="str">
        <f aca="false">IF(OR($I281="",$I281="?",$D281&lt;&gt;"Advance",$B281=""),"",$I281&amp;"|"&amp;$J281&amp;"|"&amp;COUNTIFS($I$6:$I281,$I281,$J$6:$J281,$J281,$D$6:$D281,"Advance"))</f>
        <v/>
      </c>
      <c r="L281" s="29" t="str">
        <f aca="false">IF(OR($I281="",$I281="?",$B281=""),"",SUMPRODUCT((Weeks!$A$6:$A$58&lt;=$J281)*(Weeks!$Z$4:$AK$4=$I281)*Weeks!$Z$6:$AK$58)-SUMIFS($E$6:$E$1005,$I$6:$I$1005,$I281,$B$6:$B$1005,"&lt;="&amp;$B281))</f>
        <v/>
      </c>
      <c r="M281" s="19" t="str">
        <f aca="false">IF($B281&amp;$C281&amp;$D281&amp;$E281="","",IF($B281="","missing date",IF($C281="","missing worker",IF($I281="?","unknown worker - was the name changed on Workers?",IF($D281="","missing type",IF(N($E281)=0,"missing amount",IF(AND($E281&lt;0,$D281&lt;&gt;"Correction"),"negative amount - use a Correction to undo",IF(OR($B281&lt;Weeks!$A$6,$B281&gt;Weeks!$B$58),"date outside this workbook's year",IF(AND($D281="Advance",N($L281)&lt;0),"Warning: more than earned so far - worker now owes "&amp;ROUND(-$L281,0),"")))))))))</f>
        <v/>
      </c>
    </row>
    <row r="282" customFormat="false" ht="15" hidden="false" customHeight="false" outlineLevel="0" collapsed="false">
      <c r="A282" s="24" t="str">
        <f aca="false">IF($B282="","",ROW()-5)</f>
        <v/>
      </c>
      <c r="B282" s="25"/>
      <c r="C282" s="20"/>
      <c r="D282" s="26"/>
      <c r="E282" s="27"/>
      <c r="F282" s="20"/>
      <c r="G282" s="20"/>
      <c r="H282" s="26"/>
      <c r="I282" s="24" t="str">
        <f aca="false">IF($C282="","",IFERROR(INDEX(WorkerIDs,MATCH($C282,WorkerNames,0)),"?"))</f>
        <v/>
      </c>
      <c r="J282" s="18" t="str">
        <f aca="false">IF($B282="","",$B282-WEEKDAY($B282,2)+1)</f>
        <v/>
      </c>
      <c r="K282" s="28" t="str">
        <f aca="false">IF(OR($I282="",$I282="?",$D282&lt;&gt;"Advance",$B282=""),"",$I282&amp;"|"&amp;$J282&amp;"|"&amp;COUNTIFS($I$6:$I282,$I282,$J$6:$J282,$J282,$D$6:$D282,"Advance"))</f>
        <v/>
      </c>
      <c r="L282" s="29" t="str">
        <f aca="false">IF(OR($I282="",$I282="?",$B282=""),"",SUMPRODUCT((Weeks!$A$6:$A$58&lt;=$J282)*(Weeks!$Z$4:$AK$4=$I282)*Weeks!$Z$6:$AK$58)-SUMIFS($E$6:$E$1005,$I$6:$I$1005,$I282,$B$6:$B$1005,"&lt;="&amp;$B282))</f>
        <v/>
      </c>
      <c r="M282" s="19" t="str">
        <f aca="false">IF($B282&amp;$C282&amp;$D282&amp;$E282="","",IF($B282="","missing date",IF($C282="","missing worker",IF($I282="?","unknown worker - was the name changed on Workers?",IF($D282="","missing type",IF(N($E282)=0,"missing amount",IF(AND($E282&lt;0,$D282&lt;&gt;"Correction"),"negative amount - use a Correction to undo",IF(OR($B282&lt;Weeks!$A$6,$B282&gt;Weeks!$B$58),"date outside this workbook's year",IF(AND($D282="Advance",N($L282)&lt;0),"Warning: more than earned so far - worker now owes "&amp;ROUND(-$L282,0),"")))))))))</f>
        <v/>
      </c>
    </row>
    <row r="283" customFormat="false" ht="15" hidden="false" customHeight="false" outlineLevel="0" collapsed="false">
      <c r="A283" s="24" t="str">
        <f aca="false">IF($B283="","",ROW()-5)</f>
        <v/>
      </c>
      <c r="B283" s="25"/>
      <c r="C283" s="20"/>
      <c r="D283" s="26"/>
      <c r="E283" s="27"/>
      <c r="F283" s="20"/>
      <c r="G283" s="20"/>
      <c r="H283" s="26"/>
      <c r="I283" s="24" t="str">
        <f aca="false">IF($C283="","",IFERROR(INDEX(WorkerIDs,MATCH($C283,WorkerNames,0)),"?"))</f>
        <v/>
      </c>
      <c r="J283" s="18" t="str">
        <f aca="false">IF($B283="","",$B283-WEEKDAY($B283,2)+1)</f>
        <v/>
      </c>
      <c r="K283" s="28" t="str">
        <f aca="false">IF(OR($I283="",$I283="?",$D283&lt;&gt;"Advance",$B283=""),"",$I283&amp;"|"&amp;$J283&amp;"|"&amp;COUNTIFS($I$6:$I283,$I283,$J$6:$J283,$J283,$D$6:$D283,"Advance"))</f>
        <v/>
      </c>
      <c r="L283" s="29" t="str">
        <f aca="false">IF(OR($I283="",$I283="?",$B283=""),"",SUMPRODUCT((Weeks!$A$6:$A$58&lt;=$J283)*(Weeks!$Z$4:$AK$4=$I283)*Weeks!$Z$6:$AK$58)-SUMIFS($E$6:$E$1005,$I$6:$I$1005,$I283,$B$6:$B$1005,"&lt;="&amp;$B283))</f>
        <v/>
      </c>
      <c r="M283" s="19" t="str">
        <f aca="false">IF($B283&amp;$C283&amp;$D283&amp;$E283="","",IF($B283="","missing date",IF($C283="","missing worker",IF($I283="?","unknown worker - was the name changed on Workers?",IF($D283="","missing type",IF(N($E283)=0,"missing amount",IF(AND($E283&lt;0,$D283&lt;&gt;"Correction"),"negative amount - use a Correction to undo",IF(OR($B283&lt;Weeks!$A$6,$B283&gt;Weeks!$B$58),"date outside this workbook's year",IF(AND($D283="Advance",N($L283)&lt;0),"Warning: more than earned so far - worker now owes "&amp;ROUND(-$L283,0),"")))))))))</f>
        <v/>
      </c>
    </row>
    <row r="284" customFormat="false" ht="15" hidden="false" customHeight="false" outlineLevel="0" collapsed="false">
      <c r="A284" s="24" t="str">
        <f aca="false">IF($B284="","",ROW()-5)</f>
        <v/>
      </c>
      <c r="B284" s="25"/>
      <c r="C284" s="20"/>
      <c r="D284" s="26"/>
      <c r="E284" s="27"/>
      <c r="F284" s="20"/>
      <c r="G284" s="20"/>
      <c r="H284" s="26"/>
      <c r="I284" s="24" t="str">
        <f aca="false">IF($C284="","",IFERROR(INDEX(WorkerIDs,MATCH($C284,WorkerNames,0)),"?"))</f>
        <v/>
      </c>
      <c r="J284" s="18" t="str">
        <f aca="false">IF($B284="","",$B284-WEEKDAY($B284,2)+1)</f>
        <v/>
      </c>
      <c r="K284" s="28" t="str">
        <f aca="false">IF(OR($I284="",$I284="?",$D284&lt;&gt;"Advance",$B284=""),"",$I284&amp;"|"&amp;$J284&amp;"|"&amp;COUNTIFS($I$6:$I284,$I284,$J$6:$J284,$J284,$D$6:$D284,"Advance"))</f>
        <v/>
      </c>
      <c r="L284" s="29" t="str">
        <f aca="false">IF(OR($I284="",$I284="?",$B284=""),"",SUMPRODUCT((Weeks!$A$6:$A$58&lt;=$J284)*(Weeks!$Z$4:$AK$4=$I284)*Weeks!$Z$6:$AK$58)-SUMIFS($E$6:$E$1005,$I$6:$I$1005,$I284,$B$6:$B$1005,"&lt;="&amp;$B284))</f>
        <v/>
      </c>
      <c r="M284" s="19" t="str">
        <f aca="false">IF($B284&amp;$C284&amp;$D284&amp;$E284="","",IF($B284="","missing date",IF($C284="","missing worker",IF($I284="?","unknown worker - was the name changed on Workers?",IF($D284="","missing type",IF(N($E284)=0,"missing amount",IF(AND($E284&lt;0,$D284&lt;&gt;"Correction"),"negative amount - use a Correction to undo",IF(OR($B284&lt;Weeks!$A$6,$B284&gt;Weeks!$B$58),"date outside this workbook's year",IF(AND($D284="Advance",N($L284)&lt;0),"Warning: more than earned so far - worker now owes "&amp;ROUND(-$L284,0),"")))))))))</f>
        <v/>
      </c>
    </row>
    <row r="285" customFormat="false" ht="15" hidden="false" customHeight="false" outlineLevel="0" collapsed="false">
      <c r="A285" s="24" t="str">
        <f aca="false">IF($B285="","",ROW()-5)</f>
        <v/>
      </c>
      <c r="B285" s="25"/>
      <c r="C285" s="20"/>
      <c r="D285" s="26"/>
      <c r="E285" s="27"/>
      <c r="F285" s="20"/>
      <c r="G285" s="20"/>
      <c r="H285" s="26"/>
      <c r="I285" s="24" t="str">
        <f aca="false">IF($C285="","",IFERROR(INDEX(WorkerIDs,MATCH($C285,WorkerNames,0)),"?"))</f>
        <v/>
      </c>
      <c r="J285" s="18" t="str">
        <f aca="false">IF($B285="","",$B285-WEEKDAY($B285,2)+1)</f>
        <v/>
      </c>
      <c r="K285" s="28" t="str">
        <f aca="false">IF(OR($I285="",$I285="?",$D285&lt;&gt;"Advance",$B285=""),"",$I285&amp;"|"&amp;$J285&amp;"|"&amp;COUNTIFS($I$6:$I285,$I285,$J$6:$J285,$J285,$D$6:$D285,"Advance"))</f>
        <v/>
      </c>
      <c r="L285" s="29" t="str">
        <f aca="false">IF(OR($I285="",$I285="?",$B285=""),"",SUMPRODUCT((Weeks!$A$6:$A$58&lt;=$J285)*(Weeks!$Z$4:$AK$4=$I285)*Weeks!$Z$6:$AK$58)-SUMIFS($E$6:$E$1005,$I$6:$I$1005,$I285,$B$6:$B$1005,"&lt;="&amp;$B285))</f>
        <v/>
      </c>
      <c r="M285" s="19" t="str">
        <f aca="false">IF($B285&amp;$C285&amp;$D285&amp;$E285="","",IF($B285="","missing date",IF($C285="","missing worker",IF($I285="?","unknown worker - was the name changed on Workers?",IF($D285="","missing type",IF(N($E285)=0,"missing amount",IF(AND($E285&lt;0,$D285&lt;&gt;"Correction"),"negative amount - use a Correction to undo",IF(OR($B285&lt;Weeks!$A$6,$B285&gt;Weeks!$B$58),"date outside this workbook's year",IF(AND($D285="Advance",N($L285)&lt;0),"Warning: more than earned so far - worker now owes "&amp;ROUND(-$L285,0),"")))))))))</f>
        <v/>
      </c>
    </row>
    <row r="286" customFormat="false" ht="15" hidden="false" customHeight="false" outlineLevel="0" collapsed="false">
      <c r="A286" s="24" t="str">
        <f aca="false">IF($B286="","",ROW()-5)</f>
        <v/>
      </c>
      <c r="B286" s="25"/>
      <c r="C286" s="20"/>
      <c r="D286" s="26"/>
      <c r="E286" s="27"/>
      <c r="F286" s="20"/>
      <c r="G286" s="20"/>
      <c r="H286" s="26"/>
      <c r="I286" s="24" t="str">
        <f aca="false">IF($C286="","",IFERROR(INDEX(WorkerIDs,MATCH($C286,WorkerNames,0)),"?"))</f>
        <v/>
      </c>
      <c r="J286" s="18" t="str">
        <f aca="false">IF($B286="","",$B286-WEEKDAY($B286,2)+1)</f>
        <v/>
      </c>
      <c r="K286" s="28" t="str">
        <f aca="false">IF(OR($I286="",$I286="?",$D286&lt;&gt;"Advance",$B286=""),"",$I286&amp;"|"&amp;$J286&amp;"|"&amp;COUNTIFS($I$6:$I286,$I286,$J$6:$J286,$J286,$D$6:$D286,"Advance"))</f>
        <v/>
      </c>
      <c r="L286" s="29" t="str">
        <f aca="false">IF(OR($I286="",$I286="?",$B286=""),"",SUMPRODUCT((Weeks!$A$6:$A$58&lt;=$J286)*(Weeks!$Z$4:$AK$4=$I286)*Weeks!$Z$6:$AK$58)-SUMIFS($E$6:$E$1005,$I$6:$I$1005,$I286,$B$6:$B$1005,"&lt;="&amp;$B286))</f>
        <v/>
      </c>
      <c r="M286" s="19" t="str">
        <f aca="false">IF($B286&amp;$C286&amp;$D286&amp;$E286="","",IF($B286="","missing date",IF($C286="","missing worker",IF($I286="?","unknown worker - was the name changed on Workers?",IF($D286="","missing type",IF(N($E286)=0,"missing amount",IF(AND($E286&lt;0,$D286&lt;&gt;"Correction"),"negative amount - use a Correction to undo",IF(OR($B286&lt;Weeks!$A$6,$B286&gt;Weeks!$B$58),"date outside this workbook's year",IF(AND($D286="Advance",N($L286)&lt;0),"Warning: more than earned so far - worker now owes "&amp;ROUND(-$L286,0),"")))))))))</f>
        <v/>
      </c>
    </row>
    <row r="287" customFormat="false" ht="15" hidden="false" customHeight="false" outlineLevel="0" collapsed="false">
      <c r="A287" s="24" t="str">
        <f aca="false">IF($B287="","",ROW()-5)</f>
        <v/>
      </c>
      <c r="B287" s="25"/>
      <c r="C287" s="20"/>
      <c r="D287" s="26"/>
      <c r="E287" s="27"/>
      <c r="F287" s="20"/>
      <c r="G287" s="20"/>
      <c r="H287" s="26"/>
      <c r="I287" s="24" t="str">
        <f aca="false">IF($C287="","",IFERROR(INDEX(WorkerIDs,MATCH($C287,WorkerNames,0)),"?"))</f>
        <v/>
      </c>
      <c r="J287" s="18" t="str">
        <f aca="false">IF($B287="","",$B287-WEEKDAY($B287,2)+1)</f>
        <v/>
      </c>
      <c r="K287" s="28" t="str">
        <f aca="false">IF(OR($I287="",$I287="?",$D287&lt;&gt;"Advance",$B287=""),"",$I287&amp;"|"&amp;$J287&amp;"|"&amp;COUNTIFS($I$6:$I287,$I287,$J$6:$J287,$J287,$D$6:$D287,"Advance"))</f>
        <v/>
      </c>
      <c r="L287" s="29" t="str">
        <f aca="false">IF(OR($I287="",$I287="?",$B287=""),"",SUMPRODUCT((Weeks!$A$6:$A$58&lt;=$J287)*(Weeks!$Z$4:$AK$4=$I287)*Weeks!$Z$6:$AK$58)-SUMIFS($E$6:$E$1005,$I$6:$I$1005,$I287,$B$6:$B$1005,"&lt;="&amp;$B287))</f>
        <v/>
      </c>
      <c r="M287" s="19" t="str">
        <f aca="false">IF($B287&amp;$C287&amp;$D287&amp;$E287="","",IF($B287="","missing date",IF($C287="","missing worker",IF($I287="?","unknown worker - was the name changed on Workers?",IF($D287="","missing type",IF(N($E287)=0,"missing amount",IF(AND($E287&lt;0,$D287&lt;&gt;"Correction"),"negative amount - use a Correction to undo",IF(OR($B287&lt;Weeks!$A$6,$B287&gt;Weeks!$B$58),"date outside this workbook's year",IF(AND($D287="Advance",N($L287)&lt;0),"Warning: more than earned so far - worker now owes "&amp;ROUND(-$L287,0),"")))))))))</f>
        <v/>
      </c>
    </row>
    <row r="288" customFormat="false" ht="15" hidden="false" customHeight="false" outlineLevel="0" collapsed="false">
      <c r="A288" s="24" t="str">
        <f aca="false">IF($B288="","",ROW()-5)</f>
        <v/>
      </c>
      <c r="B288" s="25"/>
      <c r="C288" s="20"/>
      <c r="D288" s="26"/>
      <c r="E288" s="27"/>
      <c r="F288" s="20"/>
      <c r="G288" s="20"/>
      <c r="H288" s="26"/>
      <c r="I288" s="24" t="str">
        <f aca="false">IF($C288="","",IFERROR(INDEX(WorkerIDs,MATCH($C288,WorkerNames,0)),"?"))</f>
        <v/>
      </c>
      <c r="J288" s="18" t="str">
        <f aca="false">IF($B288="","",$B288-WEEKDAY($B288,2)+1)</f>
        <v/>
      </c>
      <c r="K288" s="28" t="str">
        <f aca="false">IF(OR($I288="",$I288="?",$D288&lt;&gt;"Advance",$B288=""),"",$I288&amp;"|"&amp;$J288&amp;"|"&amp;COUNTIFS($I$6:$I288,$I288,$J$6:$J288,$J288,$D$6:$D288,"Advance"))</f>
        <v/>
      </c>
      <c r="L288" s="29" t="str">
        <f aca="false">IF(OR($I288="",$I288="?",$B288=""),"",SUMPRODUCT((Weeks!$A$6:$A$58&lt;=$J288)*(Weeks!$Z$4:$AK$4=$I288)*Weeks!$Z$6:$AK$58)-SUMIFS($E$6:$E$1005,$I$6:$I$1005,$I288,$B$6:$B$1005,"&lt;="&amp;$B288))</f>
        <v/>
      </c>
      <c r="M288" s="19" t="str">
        <f aca="false">IF($B288&amp;$C288&amp;$D288&amp;$E288="","",IF($B288="","missing date",IF($C288="","missing worker",IF($I288="?","unknown worker - was the name changed on Workers?",IF($D288="","missing type",IF(N($E288)=0,"missing amount",IF(AND($E288&lt;0,$D288&lt;&gt;"Correction"),"negative amount - use a Correction to undo",IF(OR($B288&lt;Weeks!$A$6,$B288&gt;Weeks!$B$58),"date outside this workbook's year",IF(AND($D288="Advance",N($L288)&lt;0),"Warning: more than earned so far - worker now owes "&amp;ROUND(-$L288,0),"")))))))))</f>
        <v/>
      </c>
    </row>
    <row r="289" customFormat="false" ht="15" hidden="false" customHeight="false" outlineLevel="0" collapsed="false">
      <c r="A289" s="24" t="str">
        <f aca="false">IF($B289="","",ROW()-5)</f>
        <v/>
      </c>
      <c r="B289" s="25"/>
      <c r="C289" s="20"/>
      <c r="D289" s="26"/>
      <c r="E289" s="27"/>
      <c r="F289" s="20"/>
      <c r="G289" s="20"/>
      <c r="H289" s="26"/>
      <c r="I289" s="24" t="str">
        <f aca="false">IF($C289="","",IFERROR(INDEX(WorkerIDs,MATCH($C289,WorkerNames,0)),"?"))</f>
        <v/>
      </c>
      <c r="J289" s="18" t="str">
        <f aca="false">IF($B289="","",$B289-WEEKDAY($B289,2)+1)</f>
        <v/>
      </c>
      <c r="K289" s="28" t="str">
        <f aca="false">IF(OR($I289="",$I289="?",$D289&lt;&gt;"Advance",$B289=""),"",$I289&amp;"|"&amp;$J289&amp;"|"&amp;COUNTIFS($I$6:$I289,$I289,$J$6:$J289,$J289,$D$6:$D289,"Advance"))</f>
        <v/>
      </c>
      <c r="L289" s="29" t="str">
        <f aca="false">IF(OR($I289="",$I289="?",$B289=""),"",SUMPRODUCT((Weeks!$A$6:$A$58&lt;=$J289)*(Weeks!$Z$4:$AK$4=$I289)*Weeks!$Z$6:$AK$58)-SUMIFS($E$6:$E$1005,$I$6:$I$1005,$I289,$B$6:$B$1005,"&lt;="&amp;$B289))</f>
        <v/>
      </c>
      <c r="M289" s="19" t="str">
        <f aca="false">IF($B289&amp;$C289&amp;$D289&amp;$E289="","",IF($B289="","missing date",IF($C289="","missing worker",IF($I289="?","unknown worker - was the name changed on Workers?",IF($D289="","missing type",IF(N($E289)=0,"missing amount",IF(AND($E289&lt;0,$D289&lt;&gt;"Correction"),"negative amount - use a Correction to undo",IF(OR($B289&lt;Weeks!$A$6,$B289&gt;Weeks!$B$58),"date outside this workbook's year",IF(AND($D289="Advance",N($L289)&lt;0),"Warning: more than earned so far - worker now owes "&amp;ROUND(-$L289,0),"")))))))))</f>
        <v/>
      </c>
    </row>
    <row r="290" customFormat="false" ht="15" hidden="false" customHeight="false" outlineLevel="0" collapsed="false">
      <c r="A290" s="24" t="str">
        <f aca="false">IF($B290="","",ROW()-5)</f>
        <v/>
      </c>
      <c r="B290" s="25"/>
      <c r="C290" s="20"/>
      <c r="D290" s="26"/>
      <c r="E290" s="27"/>
      <c r="F290" s="20"/>
      <c r="G290" s="20"/>
      <c r="H290" s="26"/>
      <c r="I290" s="24" t="str">
        <f aca="false">IF($C290="","",IFERROR(INDEX(WorkerIDs,MATCH($C290,WorkerNames,0)),"?"))</f>
        <v/>
      </c>
      <c r="J290" s="18" t="str">
        <f aca="false">IF($B290="","",$B290-WEEKDAY($B290,2)+1)</f>
        <v/>
      </c>
      <c r="K290" s="28" t="str">
        <f aca="false">IF(OR($I290="",$I290="?",$D290&lt;&gt;"Advance",$B290=""),"",$I290&amp;"|"&amp;$J290&amp;"|"&amp;COUNTIFS($I$6:$I290,$I290,$J$6:$J290,$J290,$D$6:$D290,"Advance"))</f>
        <v/>
      </c>
      <c r="L290" s="29" t="str">
        <f aca="false">IF(OR($I290="",$I290="?",$B290=""),"",SUMPRODUCT((Weeks!$A$6:$A$58&lt;=$J290)*(Weeks!$Z$4:$AK$4=$I290)*Weeks!$Z$6:$AK$58)-SUMIFS($E$6:$E$1005,$I$6:$I$1005,$I290,$B$6:$B$1005,"&lt;="&amp;$B290))</f>
        <v/>
      </c>
      <c r="M290" s="19" t="str">
        <f aca="false">IF($B290&amp;$C290&amp;$D290&amp;$E290="","",IF($B290="","missing date",IF($C290="","missing worker",IF($I290="?","unknown worker - was the name changed on Workers?",IF($D290="","missing type",IF(N($E290)=0,"missing amount",IF(AND($E290&lt;0,$D290&lt;&gt;"Correction"),"negative amount - use a Correction to undo",IF(OR($B290&lt;Weeks!$A$6,$B290&gt;Weeks!$B$58),"date outside this workbook's year",IF(AND($D290="Advance",N($L290)&lt;0),"Warning: more than earned so far - worker now owes "&amp;ROUND(-$L290,0),"")))))))))</f>
        <v/>
      </c>
    </row>
    <row r="291" customFormat="false" ht="15" hidden="false" customHeight="false" outlineLevel="0" collapsed="false">
      <c r="A291" s="24" t="str">
        <f aca="false">IF($B291="","",ROW()-5)</f>
        <v/>
      </c>
      <c r="B291" s="25"/>
      <c r="C291" s="20"/>
      <c r="D291" s="26"/>
      <c r="E291" s="27"/>
      <c r="F291" s="20"/>
      <c r="G291" s="20"/>
      <c r="H291" s="26"/>
      <c r="I291" s="24" t="str">
        <f aca="false">IF($C291="","",IFERROR(INDEX(WorkerIDs,MATCH($C291,WorkerNames,0)),"?"))</f>
        <v/>
      </c>
      <c r="J291" s="18" t="str">
        <f aca="false">IF($B291="","",$B291-WEEKDAY($B291,2)+1)</f>
        <v/>
      </c>
      <c r="K291" s="28" t="str">
        <f aca="false">IF(OR($I291="",$I291="?",$D291&lt;&gt;"Advance",$B291=""),"",$I291&amp;"|"&amp;$J291&amp;"|"&amp;COUNTIFS($I$6:$I291,$I291,$J$6:$J291,$J291,$D$6:$D291,"Advance"))</f>
        <v/>
      </c>
      <c r="L291" s="29" t="str">
        <f aca="false">IF(OR($I291="",$I291="?",$B291=""),"",SUMPRODUCT((Weeks!$A$6:$A$58&lt;=$J291)*(Weeks!$Z$4:$AK$4=$I291)*Weeks!$Z$6:$AK$58)-SUMIFS($E$6:$E$1005,$I$6:$I$1005,$I291,$B$6:$B$1005,"&lt;="&amp;$B291))</f>
        <v/>
      </c>
      <c r="M291" s="19" t="str">
        <f aca="false">IF($B291&amp;$C291&amp;$D291&amp;$E291="","",IF($B291="","missing date",IF($C291="","missing worker",IF($I291="?","unknown worker - was the name changed on Workers?",IF($D291="","missing type",IF(N($E291)=0,"missing amount",IF(AND($E291&lt;0,$D291&lt;&gt;"Correction"),"negative amount - use a Correction to undo",IF(OR($B291&lt;Weeks!$A$6,$B291&gt;Weeks!$B$58),"date outside this workbook's year",IF(AND($D291="Advance",N($L291)&lt;0),"Warning: more than earned so far - worker now owes "&amp;ROUND(-$L291,0),"")))))))))</f>
        <v/>
      </c>
    </row>
    <row r="292" customFormat="false" ht="15" hidden="false" customHeight="false" outlineLevel="0" collapsed="false">
      <c r="A292" s="24" t="str">
        <f aca="false">IF($B292="","",ROW()-5)</f>
        <v/>
      </c>
      <c r="B292" s="25"/>
      <c r="C292" s="20"/>
      <c r="D292" s="26"/>
      <c r="E292" s="27"/>
      <c r="F292" s="20"/>
      <c r="G292" s="20"/>
      <c r="H292" s="26"/>
      <c r="I292" s="24" t="str">
        <f aca="false">IF($C292="","",IFERROR(INDEX(WorkerIDs,MATCH($C292,WorkerNames,0)),"?"))</f>
        <v/>
      </c>
      <c r="J292" s="18" t="str">
        <f aca="false">IF($B292="","",$B292-WEEKDAY($B292,2)+1)</f>
        <v/>
      </c>
      <c r="K292" s="28" t="str">
        <f aca="false">IF(OR($I292="",$I292="?",$D292&lt;&gt;"Advance",$B292=""),"",$I292&amp;"|"&amp;$J292&amp;"|"&amp;COUNTIFS($I$6:$I292,$I292,$J$6:$J292,$J292,$D$6:$D292,"Advance"))</f>
        <v/>
      </c>
      <c r="L292" s="29" t="str">
        <f aca="false">IF(OR($I292="",$I292="?",$B292=""),"",SUMPRODUCT((Weeks!$A$6:$A$58&lt;=$J292)*(Weeks!$Z$4:$AK$4=$I292)*Weeks!$Z$6:$AK$58)-SUMIFS($E$6:$E$1005,$I$6:$I$1005,$I292,$B$6:$B$1005,"&lt;="&amp;$B292))</f>
        <v/>
      </c>
      <c r="M292" s="19" t="str">
        <f aca="false">IF($B292&amp;$C292&amp;$D292&amp;$E292="","",IF($B292="","missing date",IF($C292="","missing worker",IF($I292="?","unknown worker - was the name changed on Workers?",IF($D292="","missing type",IF(N($E292)=0,"missing amount",IF(AND($E292&lt;0,$D292&lt;&gt;"Correction"),"negative amount - use a Correction to undo",IF(OR($B292&lt;Weeks!$A$6,$B292&gt;Weeks!$B$58),"date outside this workbook's year",IF(AND($D292="Advance",N($L292)&lt;0),"Warning: more than earned so far - worker now owes "&amp;ROUND(-$L292,0),"")))))))))</f>
        <v/>
      </c>
    </row>
    <row r="293" customFormat="false" ht="15" hidden="false" customHeight="false" outlineLevel="0" collapsed="false">
      <c r="A293" s="24" t="str">
        <f aca="false">IF($B293="","",ROW()-5)</f>
        <v/>
      </c>
      <c r="B293" s="25"/>
      <c r="C293" s="20"/>
      <c r="D293" s="26"/>
      <c r="E293" s="27"/>
      <c r="F293" s="20"/>
      <c r="G293" s="20"/>
      <c r="H293" s="26"/>
      <c r="I293" s="24" t="str">
        <f aca="false">IF($C293="","",IFERROR(INDEX(WorkerIDs,MATCH($C293,WorkerNames,0)),"?"))</f>
        <v/>
      </c>
      <c r="J293" s="18" t="str">
        <f aca="false">IF($B293="","",$B293-WEEKDAY($B293,2)+1)</f>
        <v/>
      </c>
      <c r="K293" s="28" t="str">
        <f aca="false">IF(OR($I293="",$I293="?",$D293&lt;&gt;"Advance",$B293=""),"",$I293&amp;"|"&amp;$J293&amp;"|"&amp;COUNTIFS($I$6:$I293,$I293,$J$6:$J293,$J293,$D$6:$D293,"Advance"))</f>
        <v/>
      </c>
      <c r="L293" s="29" t="str">
        <f aca="false">IF(OR($I293="",$I293="?",$B293=""),"",SUMPRODUCT((Weeks!$A$6:$A$58&lt;=$J293)*(Weeks!$Z$4:$AK$4=$I293)*Weeks!$Z$6:$AK$58)-SUMIFS($E$6:$E$1005,$I$6:$I$1005,$I293,$B$6:$B$1005,"&lt;="&amp;$B293))</f>
        <v/>
      </c>
      <c r="M293" s="19" t="str">
        <f aca="false">IF($B293&amp;$C293&amp;$D293&amp;$E293="","",IF($B293="","missing date",IF($C293="","missing worker",IF($I293="?","unknown worker - was the name changed on Workers?",IF($D293="","missing type",IF(N($E293)=0,"missing amount",IF(AND($E293&lt;0,$D293&lt;&gt;"Correction"),"negative amount - use a Correction to undo",IF(OR($B293&lt;Weeks!$A$6,$B293&gt;Weeks!$B$58),"date outside this workbook's year",IF(AND($D293="Advance",N($L293)&lt;0),"Warning: more than earned so far - worker now owes "&amp;ROUND(-$L293,0),"")))))))))</f>
        <v/>
      </c>
    </row>
    <row r="294" customFormat="false" ht="15" hidden="false" customHeight="false" outlineLevel="0" collapsed="false">
      <c r="A294" s="24" t="str">
        <f aca="false">IF($B294="","",ROW()-5)</f>
        <v/>
      </c>
      <c r="B294" s="25"/>
      <c r="C294" s="20"/>
      <c r="D294" s="26"/>
      <c r="E294" s="27"/>
      <c r="F294" s="20"/>
      <c r="G294" s="20"/>
      <c r="H294" s="26"/>
      <c r="I294" s="24" t="str">
        <f aca="false">IF($C294="","",IFERROR(INDEX(WorkerIDs,MATCH($C294,WorkerNames,0)),"?"))</f>
        <v/>
      </c>
      <c r="J294" s="18" t="str">
        <f aca="false">IF($B294="","",$B294-WEEKDAY($B294,2)+1)</f>
        <v/>
      </c>
      <c r="K294" s="28" t="str">
        <f aca="false">IF(OR($I294="",$I294="?",$D294&lt;&gt;"Advance",$B294=""),"",$I294&amp;"|"&amp;$J294&amp;"|"&amp;COUNTIFS($I$6:$I294,$I294,$J$6:$J294,$J294,$D$6:$D294,"Advance"))</f>
        <v/>
      </c>
      <c r="L294" s="29" t="str">
        <f aca="false">IF(OR($I294="",$I294="?",$B294=""),"",SUMPRODUCT((Weeks!$A$6:$A$58&lt;=$J294)*(Weeks!$Z$4:$AK$4=$I294)*Weeks!$Z$6:$AK$58)-SUMIFS($E$6:$E$1005,$I$6:$I$1005,$I294,$B$6:$B$1005,"&lt;="&amp;$B294))</f>
        <v/>
      </c>
      <c r="M294" s="19" t="str">
        <f aca="false">IF($B294&amp;$C294&amp;$D294&amp;$E294="","",IF($B294="","missing date",IF($C294="","missing worker",IF($I294="?","unknown worker - was the name changed on Workers?",IF($D294="","missing type",IF(N($E294)=0,"missing amount",IF(AND($E294&lt;0,$D294&lt;&gt;"Correction"),"negative amount - use a Correction to undo",IF(OR($B294&lt;Weeks!$A$6,$B294&gt;Weeks!$B$58),"date outside this workbook's year",IF(AND($D294="Advance",N($L294)&lt;0),"Warning: more than earned so far - worker now owes "&amp;ROUND(-$L294,0),"")))))))))</f>
        <v/>
      </c>
    </row>
    <row r="295" customFormat="false" ht="15" hidden="false" customHeight="false" outlineLevel="0" collapsed="false">
      <c r="A295" s="24" t="str">
        <f aca="false">IF($B295="","",ROW()-5)</f>
        <v/>
      </c>
      <c r="B295" s="25"/>
      <c r="C295" s="20"/>
      <c r="D295" s="26"/>
      <c r="E295" s="27"/>
      <c r="F295" s="20"/>
      <c r="G295" s="20"/>
      <c r="H295" s="26"/>
      <c r="I295" s="24" t="str">
        <f aca="false">IF($C295="","",IFERROR(INDEX(WorkerIDs,MATCH($C295,WorkerNames,0)),"?"))</f>
        <v/>
      </c>
      <c r="J295" s="18" t="str">
        <f aca="false">IF($B295="","",$B295-WEEKDAY($B295,2)+1)</f>
        <v/>
      </c>
      <c r="K295" s="28" t="str">
        <f aca="false">IF(OR($I295="",$I295="?",$D295&lt;&gt;"Advance",$B295=""),"",$I295&amp;"|"&amp;$J295&amp;"|"&amp;COUNTIFS($I$6:$I295,$I295,$J$6:$J295,$J295,$D$6:$D295,"Advance"))</f>
        <v/>
      </c>
      <c r="L295" s="29" t="str">
        <f aca="false">IF(OR($I295="",$I295="?",$B295=""),"",SUMPRODUCT((Weeks!$A$6:$A$58&lt;=$J295)*(Weeks!$Z$4:$AK$4=$I295)*Weeks!$Z$6:$AK$58)-SUMIFS($E$6:$E$1005,$I$6:$I$1005,$I295,$B$6:$B$1005,"&lt;="&amp;$B295))</f>
        <v/>
      </c>
      <c r="M295" s="19" t="str">
        <f aca="false">IF($B295&amp;$C295&amp;$D295&amp;$E295="","",IF($B295="","missing date",IF($C295="","missing worker",IF($I295="?","unknown worker - was the name changed on Workers?",IF($D295="","missing type",IF(N($E295)=0,"missing amount",IF(AND($E295&lt;0,$D295&lt;&gt;"Correction"),"negative amount - use a Correction to undo",IF(OR($B295&lt;Weeks!$A$6,$B295&gt;Weeks!$B$58),"date outside this workbook's year",IF(AND($D295="Advance",N($L295)&lt;0),"Warning: more than earned so far - worker now owes "&amp;ROUND(-$L295,0),"")))))))))</f>
        <v/>
      </c>
    </row>
    <row r="296" customFormat="false" ht="15" hidden="false" customHeight="false" outlineLevel="0" collapsed="false">
      <c r="A296" s="24" t="str">
        <f aca="false">IF($B296="","",ROW()-5)</f>
        <v/>
      </c>
      <c r="B296" s="25"/>
      <c r="C296" s="20"/>
      <c r="D296" s="26"/>
      <c r="E296" s="27"/>
      <c r="F296" s="20"/>
      <c r="G296" s="20"/>
      <c r="H296" s="26"/>
      <c r="I296" s="24" t="str">
        <f aca="false">IF($C296="","",IFERROR(INDEX(WorkerIDs,MATCH($C296,WorkerNames,0)),"?"))</f>
        <v/>
      </c>
      <c r="J296" s="18" t="str">
        <f aca="false">IF($B296="","",$B296-WEEKDAY($B296,2)+1)</f>
        <v/>
      </c>
      <c r="K296" s="28" t="str">
        <f aca="false">IF(OR($I296="",$I296="?",$D296&lt;&gt;"Advance",$B296=""),"",$I296&amp;"|"&amp;$J296&amp;"|"&amp;COUNTIFS($I$6:$I296,$I296,$J$6:$J296,$J296,$D$6:$D296,"Advance"))</f>
        <v/>
      </c>
      <c r="L296" s="29" t="str">
        <f aca="false">IF(OR($I296="",$I296="?",$B296=""),"",SUMPRODUCT((Weeks!$A$6:$A$58&lt;=$J296)*(Weeks!$Z$4:$AK$4=$I296)*Weeks!$Z$6:$AK$58)-SUMIFS($E$6:$E$1005,$I$6:$I$1005,$I296,$B$6:$B$1005,"&lt;="&amp;$B296))</f>
        <v/>
      </c>
      <c r="M296" s="19" t="str">
        <f aca="false">IF($B296&amp;$C296&amp;$D296&amp;$E296="","",IF($B296="","missing date",IF($C296="","missing worker",IF($I296="?","unknown worker - was the name changed on Workers?",IF($D296="","missing type",IF(N($E296)=0,"missing amount",IF(AND($E296&lt;0,$D296&lt;&gt;"Correction"),"negative amount - use a Correction to undo",IF(OR($B296&lt;Weeks!$A$6,$B296&gt;Weeks!$B$58),"date outside this workbook's year",IF(AND($D296="Advance",N($L296)&lt;0),"Warning: more than earned so far - worker now owes "&amp;ROUND(-$L296,0),"")))))))))</f>
        <v/>
      </c>
    </row>
    <row r="297" customFormat="false" ht="15" hidden="false" customHeight="false" outlineLevel="0" collapsed="false">
      <c r="A297" s="24" t="str">
        <f aca="false">IF($B297="","",ROW()-5)</f>
        <v/>
      </c>
      <c r="B297" s="25"/>
      <c r="C297" s="20"/>
      <c r="D297" s="26"/>
      <c r="E297" s="27"/>
      <c r="F297" s="20"/>
      <c r="G297" s="20"/>
      <c r="H297" s="26"/>
      <c r="I297" s="24" t="str">
        <f aca="false">IF($C297="","",IFERROR(INDEX(WorkerIDs,MATCH($C297,WorkerNames,0)),"?"))</f>
        <v/>
      </c>
      <c r="J297" s="18" t="str">
        <f aca="false">IF($B297="","",$B297-WEEKDAY($B297,2)+1)</f>
        <v/>
      </c>
      <c r="K297" s="28" t="str">
        <f aca="false">IF(OR($I297="",$I297="?",$D297&lt;&gt;"Advance",$B297=""),"",$I297&amp;"|"&amp;$J297&amp;"|"&amp;COUNTIFS($I$6:$I297,$I297,$J$6:$J297,$J297,$D$6:$D297,"Advance"))</f>
        <v/>
      </c>
      <c r="L297" s="29" t="str">
        <f aca="false">IF(OR($I297="",$I297="?",$B297=""),"",SUMPRODUCT((Weeks!$A$6:$A$58&lt;=$J297)*(Weeks!$Z$4:$AK$4=$I297)*Weeks!$Z$6:$AK$58)-SUMIFS($E$6:$E$1005,$I$6:$I$1005,$I297,$B$6:$B$1005,"&lt;="&amp;$B297))</f>
        <v/>
      </c>
      <c r="M297" s="19" t="str">
        <f aca="false">IF($B297&amp;$C297&amp;$D297&amp;$E297="","",IF($B297="","missing date",IF($C297="","missing worker",IF($I297="?","unknown worker - was the name changed on Workers?",IF($D297="","missing type",IF(N($E297)=0,"missing amount",IF(AND($E297&lt;0,$D297&lt;&gt;"Correction"),"negative amount - use a Correction to undo",IF(OR($B297&lt;Weeks!$A$6,$B297&gt;Weeks!$B$58),"date outside this workbook's year",IF(AND($D297="Advance",N($L297)&lt;0),"Warning: more than earned so far - worker now owes "&amp;ROUND(-$L297,0),"")))))))))</f>
        <v/>
      </c>
    </row>
    <row r="298" customFormat="false" ht="15" hidden="false" customHeight="false" outlineLevel="0" collapsed="false">
      <c r="A298" s="24" t="str">
        <f aca="false">IF($B298="","",ROW()-5)</f>
        <v/>
      </c>
      <c r="B298" s="25"/>
      <c r="C298" s="20"/>
      <c r="D298" s="26"/>
      <c r="E298" s="27"/>
      <c r="F298" s="20"/>
      <c r="G298" s="20"/>
      <c r="H298" s="26"/>
      <c r="I298" s="24" t="str">
        <f aca="false">IF($C298="","",IFERROR(INDEX(WorkerIDs,MATCH($C298,WorkerNames,0)),"?"))</f>
        <v/>
      </c>
      <c r="J298" s="18" t="str">
        <f aca="false">IF($B298="","",$B298-WEEKDAY($B298,2)+1)</f>
        <v/>
      </c>
      <c r="K298" s="28" t="str">
        <f aca="false">IF(OR($I298="",$I298="?",$D298&lt;&gt;"Advance",$B298=""),"",$I298&amp;"|"&amp;$J298&amp;"|"&amp;COUNTIFS($I$6:$I298,$I298,$J$6:$J298,$J298,$D$6:$D298,"Advance"))</f>
        <v/>
      </c>
      <c r="L298" s="29" t="str">
        <f aca="false">IF(OR($I298="",$I298="?",$B298=""),"",SUMPRODUCT((Weeks!$A$6:$A$58&lt;=$J298)*(Weeks!$Z$4:$AK$4=$I298)*Weeks!$Z$6:$AK$58)-SUMIFS($E$6:$E$1005,$I$6:$I$1005,$I298,$B$6:$B$1005,"&lt;="&amp;$B298))</f>
        <v/>
      </c>
      <c r="M298" s="19" t="str">
        <f aca="false">IF($B298&amp;$C298&amp;$D298&amp;$E298="","",IF($B298="","missing date",IF($C298="","missing worker",IF($I298="?","unknown worker - was the name changed on Workers?",IF($D298="","missing type",IF(N($E298)=0,"missing amount",IF(AND($E298&lt;0,$D298&lt;&gt;"Correction"),"negative amount - use a Correction to undo",IF(OR($B298&lt;Weeks!$A$6,$B298&gt;Weeks!$B$58),"date outside this workbook's year",IF(AND($D298="Advance",N($L298)&lt;0),"Warning: more than earned so far - worker now owes "&amp;ROUND(-$L298,0),"")))))))))</f>
        <v/>
      </c>
    </row>
    <row r="299" customFormat="false" ht="15" hidden="false" customHeight="false" outlineLevel="0" collapsed="false">
      <c r="A299" s="24" t="str">
        <f aca="false">IF($B299="","",ROW()-5)</f>
        <v/>
      </c>
      <c r="B299" s="25"/>
      <c r="C299" s="20"/>
      <c r="D299" s="26"/>
      <c r="E299" s="27"/>
      <c r="F299" s="20"/>
      <c r="G299" s="20"/>
      <c r="H299" s="26"/>
      <c r="I299" s="24" t="str">
        <f aca="false">IF($C299="","",IFERROR(INDEX(WorkerIDs,MATCH($C299,WorkerNames,0)),"?"))</f>
        <v/>
      </c>
      <c r="J299" s="18" t="str">
        <f aca="false">IF($B299="","",$B299-WEEKDAY($B299,2)+1)</f>
        <v/>
      </c>
      <c r="K299" s="28" t="str">
        <f aca="false">IF(OR($I299="",$I299="?",$D299&lt;&gt;"Advance",$B299=""),"",$I299&amp;"|"&amp;$J299&amp;"|"&amp;COUNTIFS($I$6:$I299,$I299,$J$6:$J299,$J299,$D$6:$D299,"Advance"))</f>
        <v/>
      </c>
      <c r="L299" s="29" t="str">
        <f aca="false">IF(OR($I299="",$I299="?",$B299=""),"",SUMPRODUCT((Weeks!$A$6:$A$58&lt;=$J299)*(Weeks!$Z$4:$AK$4=$I299)*Weeks!$Z$6:$AK$58)-SUMIFS($E$6:$E$1005,$I$6:$I$1005,$I299,$B$6:$B$1005,"&lt;="&amp;$B299))</f>
        <v/>
      </c>
      <c r="M299" s="19" t="str">
        <f aca="false">IF($B299&amp;$C299&amp;$D299&amp;$E299="","",IF($B299="","missing date",IF($C299="","missing worker",IF($I299="?","unknown worker - was the name changed on Workers?",IF($D299="","missing type",IF(N($E299)=0,"missing amount",IF(AND($E299&lt;0,$D299&lt;&gt;"Correction"),"negative amount - use a Correction to undo",IF(OR($B299&lt;Weeks!$A$6,$B299&gt;Weeks!$B$58),"date outside this workbook's year",IF(AND($D299="Advance",N($L299)&lt;0),"Warning: more than earned so far - worker now owes "&amp;ROUND(-$L299,0),"")))))))))</f>
        <v/>
      </c>
    </row>
    <row r="300" customFormat="false" ht="15" hidden="false" customHeight="false" outlineLevel="0" collapsed="false">
      <c r="A300" s="24" t="str">
        <f aca="false">IF($B300="","",ROW()-5)</f>
        <v/>
      </c>
      <c r="B300" s="25"/>
      <c r="C300" s="20"/>
      <c r="D300" s="26"/>
      <c r="E300" s="27"/>
      <c r="F300" s="20"/>
      <c r="G300" s="20"/>
      <c r="H300" s="26"/>
      <c r="I300" s="24" t="str">
        <f aca="false">IF($C300="","",IFERROR(INDEX(WorkerIDs,MATCH($C300,WorkerNames,0)),"?"))</f>
        <v/>
      </c>
      <c r="J300" s="18" t="str">
        <f aca="false">IF($B300="","",$B300-WEEKDAY($B300,2)+1)</f>
        <v/>
      </c>
      <c r="K300" s="28" t="str">
        <f aca="false">IF(OR($I300="",$I300="?",$D300&lt;&gt;"Advance",$B300=""),"",$I300&amp;"|"&amp;$J300&amp;"|"&amp;COUNTIFS($I$6:$I300,$I300,$J$6:$J300,$J300,$D$6:$D300,"Advance"))</f>
        <v/>
      </c>
      <c r="L300" s="29" t="str">
        <f aca="false">IF(OR($I300="",$I300="?",$B300=""),"",SUMPRODUCT((Weeks!$A$6:$A$58&lt;=$J300)*(Weeks!$Z$4:$AK$4=$I300)*Weeks!$Z$6:$AK$58)-SUMIFS($E$6:$E$1005,$I$6:$I$1005,$I300,$B$6:$B$1005,"&lt;="&amp;$B300))</f>
        <v/>
      </c>
      <c r="M300" s="19" t="str">
        <f aca="false">IF($B300&amp;$C300&amp;$D300&amp;$E300="","",IF($B300="","missing date",IF($C300="","missing worker",IF($I300="?","unknown worker - was the name changed on Workers?",IF($D300="","missing type",IF(N($E300)=0,"missing amount",IF(AND($E300&lt;0,$D300&lt;&gt;"Correction"),"negative amount - use a Correction to undo",IF(OR($B300&lt;Weeks!$A$6,$B300&gt;Weeks!$B$58),"date outside this workbook's year",IF(AND($D300="Advance",N($L300)&lt;0),"Warning: more than earned so far - worker now owes "&amp;ROUND(-$L300,0),"")))))))))</f>
        <v/>
      </c>
    </row>
    <row r="301" customFormat="false" ht="15" hidden="false" customHeight="false" outlineLevel="0" collapsed="false">
      <c r="A301" s="24" t="str">
        <f aca="false">IF($B301="","",ROW()-5)</f>
        <v/>
      </c>
      <c r="B301" s="25"/>
      <c r="C301" s="20"/>
      <c r="D301" s="26"/>
      <c r="E301" s="27"/>
      <c r="F301" s="20"/>
      <c r="G301" s="20"/>
      <c r="H301" s="26"/>
      <c r="I301" s="24" t="str">
        <f aca="false">IF($C301="","",IFERROR(INDEX(WorkerIDs,MATCH($C301,WorkerNames,0)),"?"))</f>
        <v/>
      </c>
      <c r="J301" s="18" t="str">
        <f aca="false">IF($B301="","",$B301-WEEKDAY($B301,2)+1)</f>
        <v/>
      </c>
      <c r="K301" s="28" t="str">
        <f aca="false">IF(OR($I301="",$I301="?",$D301&lt;&gt;"Advance",$B301=""),"",$I301&amp;"|"&amp;$J301&amp;"|"&amp;COUNTIFS($I$6:$I301,$I301,$J$6:$J301,$J301,$D$6:$D301,"Advance"))</f>
        <v/>
      </c>
      <c r="L301" s="29" t="str">
        <f aca="false">IF(OR($I301="",$I301="?",$B301=""),"",SUMPRODUCT((Weeks!$A$6:$A$58&lt;=$J301)*(Weeks!$Z$4:$AK$4=$I301)*Weeks!$Z$6:$AK$58)-SUMIFS($E$6:$E$1005,$I$6:$I$1005,$I301,$B$6:$B$1005,"&lt;="&amp;$B301))</f>
        <v/>
      </c>
      <c r="M301" s="19" t="str">
        <f aca="false">IF($B301&amp;$C301&amp;$D301&amp;$E301="","",IF($B301="","missing date",IF($C301="","missing worker",IF($I301="?","unknown worker - was the name changed on Workers?",IF($D301="","missing type",IF(N($E301)=0,"missing amount",IF(AND($E301&lt;0,$D301&lt;&gt;"Correction"),"negative amount - use a Correction to undo",IF(OR($B301&lt;Weeks!$A$6,$B301&gt;Weeks!$B$58),"date outside this workbook's year",IF(AND($D301="Advance",N($L301)&lt;0),"Warning: more than earned so far - worker now owes "&amp;ROUND(-$L301,0),"")))))))))</f>
        <v/>
      </c>
    </row>
    <row r="302" customFormat="false" ht="15" hidden="false" customHeight="false" outlineLevel="0" collapsed="false">
      <c r="A302" s="24" t="str">
        <f aca="false">IF($B302="","",ROW()-5)</f>
        <v/>
      </c>
      <c r="B302" s="25"/>
      <c r="C302" s="20"/>
      <c r="D302" s="26"/>
      <c r="E302" s="27"/>
      <c r="F302" s="20"/>
      <c r="G302" s="20"/>
      <c r="H302" s="26"/>
      <c r="I302" s="24" t="str">
        <f aca="false">IF($C302="","",IFERROR(INDEX(WorkerIDs,MATCH($C302,WorkerNames,0)),"?"))</f>
        <v/>
      </c>
      <c r="J302" s="18" t="str">
        <f aca="false">IF($B302="","",$B302-WEEKDAY($B302,2)+1)</f>
        <v/>
      </c>
      <c r="K302" s="28" t="str">
        <f aca="false">IF(OR($I302="",$I302="?",$D302&lt;&gt;"Advance",$B302=""),"",$I302&amp;"|"&amp;$J302&amp;"|"&amp;COUNTIFS($I$6:$I302,$I302,$J$6:$J302,$J302,$D$6:$D302,"Advance"))</f>
        <v/>
      </c>
      <c r="L302" s="29" t="str">
        <f aca="false">IF(OR($I302="",$I302="?",$B302=""),"",SUMPRODUCT((Weeks!$A$6:$A$58&lt;=$J302)*(Weeks!$Z$4:$AK$4=$I302)*Weeks!$Z$6:$AK$58)-SUMIFS($E$6:$E$1005,$I$6:$I$1005,$I302,$B$6:$B$1005,"&lt;="&amp;$B302))</f>
        <v/>
      </c>
      <c r="M302" s="19" t="str">
        <f aca="false">IF($B302&amp;$C302&amp;$D302&amp;$E302="","",IF($B302="","missing date",IF($C302="","missing worker",IF($I302="?","unknown worker - was the name changed on Workers?",IF($D302="","missing type",IF(N($E302)=0,"missing amount",IF(AND($E302&lt;0,$D302&lt;&gt;"Correction"),"negative amount - use a Correction to undo",IF(OR($B302&lt;Weeks!$A$6,$B302&gt;Weeks!$B$58),"date outside this workbook's year",IF(AND($D302="Advance",N($L302)&lt;0),"Warning: more than earned so far - worker now owes "&amp;ROUND(-$L302,0),"")))))))))</f>
        <v/>
      </c>
    </row>
    <row r="303" customFormat="false" ht="15" hidden="false" customHeight="false" outlineLevel="0" collapsed="false">
      <c r="A303" s="24" t="str">
        <f aca="false">IF($B303="","",ROW()-5)</f>
        <v/>
      </c>
      <c r="B303" s="25"/>
      <c r="C303" s="20"/>
      <c r="D303" s="26"/>
      <c r="E303" s="27"/>
      <c r="F303" s="20"/>
      <c r="G303" s="20"/>
      <c r="H303" s="26"/>
      <c r="I303" s="24" t="str">
        <f aca="false">IF($C303="","",IFERROR(INDEX(WorkerIDs,MATCH($C303,WorkerNames,0)),"?"))</f>
        <v/>
      </c>
      <c r="J303" s="18" t="str">
        <f aca="false">IF($B303="","",$B303-WEEKDAY($B303,2)+1)</f>
        <v/>
      </c>
      <c r="K303" s="28" t="str">
        <f aca="false">IF(OR($I303="",$I303="?",$D303&lt;&gt;"Advance",$B303=""),"",$I303&amp;"|"&amp;$J303&amp;"|"&amp;COUNTIFS($I$6:$I303,$I303,$J$6:$J303,$J303,$D$6:$D303,"Advance"))</f>
        <v/>
      </c>
      <c r="L303" s="29" t="str">
        <f aca="false">IF(OR($I303="",$I303="?",$B303=""),"",SUMPRODUCT((Weeks!$A$6:$A$58&lt;=$J303)*(Weeks!$Z$4:$AK$4=$I303)*Weeks!$Z$6:$AK$58)-SUMIFS($E$6:$E$1005,$I$6:$I$1005,$I303,$B$6:$B$1005,"&lt;="&amp;$B303))</f>
        <v/>
      </c>
      <c r="M303" s="19" t="str">
        <f aca="false">IF($B303&amp;$C303&amp;$D303&amp;$E303="","",IF($B303="","missing date",IF($C303="","missing worker",IF($I303="?","unknown worker - was the name changed on Workers?",IF($D303="","missing type",IF(N($E303)=0,"missing amount",IF(AND($E303&lt;0,$D303&lt;&gt;"Correction"),"negative amount - use a Correction to undo",IF(OR($B303&lt;Weeks!$A$6,$B303&gt;Weeks!$B$58),"date outside this workbook's year",IF(AND($D303="Advance",N($L303)&lt;0),"Warning: more than earned so far - worker now owes "&amp;ROUND(-$L303,0),"")))))))))</f>
        <v/>
      </c>
    </row>
    <row r="304" customFormat="false" ht="15" hidden="false" customHeight="false" outlineLevel="0" collapsed="false">
      <c r="A304" s="24" t="str">
        <f aca="false">IF($B304="","",ROW()-5)</f>
        <v/>
      </c>
      <c r="B304" s="25"/>
      <c r="C304" s="20"/>
      <c r="D304" s="26"/>
      <c r="E304" s="27"/>
      <c r="F304" s="20"/>
      <c r="G304" s="20"/>
      <c r="H304" s="26"/>
      <c r="I304" s="24" t="str">
        <f aca="false">IF($C304="","",IFERROR(INDEX(WorkerIDs,MATCH($C304,WorkerNames,0)),"?"))</f>
        <v/>
      </c>
      <c r="J304" s="18" t="str">
        <f aca="false">IF($B304="","",$B304-WEEKDAY($B304,2)+1)</f>
        <v/>
      </c>
      <c r="K304" s="28" t="str">
        <f aca="false">IF(OR($I304="",$I304="?",$D304&lt;&gt;"Advance",$B304=""),"",$I304&amp;"|"&amp;$J304&amp;"|"&amp;COUNTIFS($I$6:$I304,$I304,$J$6:$J304,$J304,$D$6:$D304,"Advance"))</f>
        <v/>
      </c>
      <c r="L304" s="29" t="str">
        <f aca="false">IF(OR($I304="",$I304="?",$B304=""),"",SUMPRODUCT((Weeks!$A$6:$A$58&lt;=$J304)*(Weeks!$Z$4:$AK$4=$I304)*Weeks!$Z$6:$AK$58)-SUMIFS($E$6:$E$1005,$I$6:$I$1005,$I304,$B$6:$B$1005,"&lt;="&amp;$B304))</f>
        <v/>
      </c>
      <c r="M304" s="19" t="str">
        <f aca="false">IF($B304&amp;$C304&amp;$D304&amp;$E304="","",IF($B304="","missing date",IF($C304="","missing worker",IF($I304="?","unknown worker - was the name changed on Workers?",IF($D304="","missing type",IF(N($E304)=0,"missing amount",IF(AND($E304&lt;0,$D304&lt;&gt;"Correction"),"negative amount - use a Correction to undo",IF(OR($B304&lt;Weeks!$A$6,$B304&gt;Weeks!$B$58),"date outside this workbook's year",IF(AND($D304="Advance",N($L304)&lt;0),"Warning: more than earned so far - worker now owes "&amp;ROUND(-$L304,0),"")))))))))</f>
        <v/>
      </c>
    </row>
    <row r="305" customFormat="false" ht="15" hidden="false" customHeight="false" outlineLevel="0" collapsed="false">
      <c r="A305" s="24" t="str">
        <f aca="false">IF($B305="","",ROW()-5)</f>
        <v/>
      </c>
      <c r="B305" s="25"/>
      <c r="C305" s="20"/>
      <c r="D305" s="26"/>
      <c r="E305" s="27"/>
      <c r="F305" s="20"/>
      <c r="G305" s="20"/>
      <c r="H305" s="26"/>
      <c r="I305" s="24" t="str">
        <f aca="false">IF($C305="","",IFERROR(INDEX(WorkerIDs,MATCH($C305,WorkerNames,0)),"?"))</f>
        <v/>
      </c>
      <c r="J305" s="18" t="str">
        <f aca="false">IF($B305="","",$B305-WEEKDAY($B305,2)+1)</f>
        <v/>
      </c>
      <c r="K305" s="28" t="str">
        <f aca="false">IF(OR($I305="",$I305="?",$D305&lt;&gt;"Advance",$B305=""),"",$I305&amp;"|"&amp;$J305&amp;"|"&amp;COUNTIFS($I$6:$I305,$I305,$J$6:$J305,$J305,$D$6:$D305,"Advance"))</f>
        <v/>
      </c>
      <c r="L305" s="29" t="str">
        <f aca="false">IF(OR($I305="",$I305="?",$B305=""),"",SUMPRODUCT((Weeks!$A$6:$A$58&lt;=$J305)*(Weeks!$Z$4:$AK$4=$I305)*Weeks!$Z$6:$AK$58)-SUMIFS($E$6:$E$1005,$I$6:$I$1005,$I305,$B$6:$B$1005,"&lt;="&amp;$B305))</f>
        <v/>
      </c>
      <c r="M305" s="19" t="str">
        <f aca="false">IF($B305&amp;$C305&amp;$D305&amp;$E305="","",IF($B305="","missing date",IF($C305="","missing worker",IF($I305="?","unknown worker - was the name changed on Workers?",IF($D305="","missing type",IF(N($E305)=0,"missing amount",IF(AND($E305&lt;0,$D305&lt;&gt;"Correction"),"negative amount - use a Correction to undo",IF(OR($B305&lt;Weeks!$A$6,$B305&gt;Weeks!$B$58),"date outside this workbook's year",IF(AND($D305="Advance",N($L305)&lt;0),"Warning: more than earned so far - worker now owes "&amp;ROUND(-$L305,0),"")))))))))</f>
        <v/>
      </c>
    </row>
    <row r="306" customFormat="false" ht="15" hidden="false" customHeight="false" outlineLevel="0" collapsed="false">
      <c r="A306" s="24" t="str">
        <f aca="false">IF($B306="","",ROW()-5)</f>
        <v/>
      </c>
      <c r="B306" s="25"/>
      <c r="C306" s="20"/>
      <c r="D306" s="26"/>
      <c r="E306" s="27"/>
      <c r="F306" s="20"/>
      <c r="G306" s="20"/>
      <c r="H306" s="26"/>
      <c r="I306" s="24" t="str">
        <f aca="false">IF($C306="","",IFERROR(INDEX(WorkerIDs,MATCH($C306,WorkerNames,0)),"?"))</f>
        <v/>
      </c>
      <c r="J306" s="18" t="str">
        <f aca="false">IF($B306="","",$B306-WEEKDAY($B306,2)+1)</f>
        <v/>
      </c>
      <c r="K306" s="28" t="str">
        <f aca="false">IF(OR($I306="",$I306="?",$D306&lt;&gt;"Advance",$B306=""),"",$I306&amp;"|"&amp;$J306&amp;"|"&amp;COUNTIFS($I$6:$I306,$I306,$J$6:$J306,$J306,$D$6:$D306,"Advance"))</f>
        <v/>
      </c>
      <c r="L306" s="29" t="str">
        <f aca="false">IF(OR($I306="",$I306="?",$B306=""),"",SUMPRODUCT((Weeks!$A$6:$A$58&lt;=$J306)*(Weeks!$Z$4:$AK$4=$I306)*Weeks!$Z$6:$AK$58)-SUMIFS($E$6:$E$1005,$I$6:$I$1005,$I306,$B$6:$B$1005,"&lt;="&amp;$B306))</f>
        <v/>
      </c>
      <c r="M306" s="19" t="str">
        <f aca="false">IF($B306&amp;$C306&amp;$D306&amp;$E306="","",IF($B306="","missing date",IF($C306="","missing worker",IF($I306="?","unknown worker - was the name changed on Workers?",IF($D306="","missing type",IF(N($E306)=0,"missing amount",IF(AND($E306&lt;0,$D306&lt;&gt;"Correction"),"negative amount - use a Correction to undo",IF(OR($B306&lt;Weeks!$A$6,$B306&gt;Weeks!$B$58),"date outside this workbook's year",IF(AND($D306="Advance",N($L306)&lt;0),"Warning: more than earned so far - worker now owes "&amp;ROUND(-$L306,0),"")))))))))</f>
        <v/>
      </c>
    </row>
    <row r="307" customFormat="false" ht="15" hidden="false" customHeight="false" outlineLevel="0" collapsed="false">
      <c r="A307" s="24" t="str">
        <f aca="false">IF($B307="","",ROW()-5)</f>
        <v/>
      </c>
      <c r="B307" s="25"/>
      <c r="C307" s="20"/>
      <c r="D307" s="26"/>
      <c r="E307" s="27"/>
      <c r="F307" s="20"/>
      <c r="G307" s="20"/>
      <c r="H307" s="26"/>
      <c r="I307" s="24" t="str">
        <f aca="false">IF($C307="","",IFERROR(INDEX(WorkerIDs,MATCH($C307,WorkerNames,0)),"?"))</f>
        <v/>
      </c>
      <c r="J307" s="18" t="str">
        <f aca="false">IF($B307="","",$B307-WEEKDAY($B307,2)+1)</f>
        <v/>
      </c>
      <c r="K307" s="28" t="str">
        <f aca="false">IF(OR($I307="",$I307="?",$D307&lt;&gt;"Advance",$B307=""),"",$I307&amp;"|"&amp;$J307&amp;"|"&amp;COUNTIFS($I$6:$I307,$I307,$J$6:$J307,$J307,$D$6:$D307,"Advance"))</f>
        <v/>
      </c>
      <c r="L307" s="29" t="str">
        <f aca="false">IF(OR($I307="",$I307="?",$B307=""),"",SUMPRODUCT((Weeks!$A$6:$A$58&lt;=$J307)*(Weeks!$Z$4:$AK$4=$I307)*Weeks!$Z$6:$AK$58)-SUMIFS($E$6:$E$1005,$I$6:$I$1005,$I307,$B$6:$B$1005,"&lt;="&amp;$B307))</f>
        <v/>
      </c>
      <c r="M307" s="19" t="str">
        <f aca="false">IF($B307&amp;$C307&amp;$D307&amp;$E307="","",IF($B307="","missing date",IF($C307="","missing worker",IF($I307="?","unknown worker - was the name changed on Workers?",IF($D307="","missing type",IF(N($E307)=0,"missing amount",IF(AND($E307&lt;0,$D307&lt;&gt;"Correction"),"negative amount - use a Correction to undo",IF(OR($B307&lt;Weeks!$A$6,$B307&gt;Weeks!$B$58),"date outside this workbook's year",IF(AND($D307="Advance",N($L307)&lt;0),"Warning: more than earned so far - worker now owes "&amp;ROUND(-$L307,0),"")))))))))</f>
        <v/>
      </c>
    </row>
    <row r="308" customFormat="false" ht="15" hidden="false" customHeight="false" outlineLevel="0" collapsed="false">
      <c r="A308" s="24" t="str">
        <f aca="false">IF($B308="","",ROW()-5)</f>
        <v/>
      </c>
      <c r="B308" s="25"/>
      <c r="C308" s="20"/>
      <c r="D308" s="26"/>
      <c r="E308" s="27"/>
      <c r="F308" s="20"/>
      <c r="G308" s="20"/>
      <c r="H308" s="26"/>
      <c r="I308" s="24" t="str">
        <f aca="false">IF($C308="","",IFERROR(INDEX(WorkerIDs,MATCH($C308,WorkerNames,0)),"?"))</f>
        <v/>
      </c>
      <c r="J308" s="18" t="str">
        <f aca="false">IF($B308="","",$B308-WEEKDAY($B308,2)+1)</f>
        <v/>
      </c>
      <c r="K308" s="28" t="str">
        <f aca="false">IF(OR($I308="",$I308="?",$D308&lt;&gt;"Advance",$B308=""),"",$I308&amp;"|"&amp;$J308&amp;"|"&amp;COUNTIFS($I$6:$I308,$I308,$J$6:$J308,$J308,$D$6:$D308,"Advance"))</f>
        <v/>
      </c>
      <c r="L308" s="29" t="str">
        <f aca="false">IF(OR($I308="",$I308="?",$B308=""),"",SUMPRODUCT((Weeks!$A$6:$A$58&lt;=$J308)*(Weeks!$Z$4:$AK$4=$I308)*Weeks!$Z$6:$AK$58)-SUMIFS($E$6:$E$1005,$I$6:$I$1005,$I308,$B$6:$B$1005,"&lt;="&amp;$B308))</f>
        <v/>
      </c>
      <c r="M308" s="19" t="str">
        <f aca="false">IF($B308&amp;$C308&amp;$D308&amp;$E308="","",IF($B308="","missing date",IF($C308="","missing worker",IF($I308="?","unknown worker - was the name changed on Workers?",IF($D308="","missing type",IF(N($E308)=0,"missing amount",IF(AND($E308&lt;0,$D308&lt;&gt;"Correction"),"negative amount - use a Correction to undo",IF(OR($B308&lt;Weeks!$A$6,$B308&gt;Weeks!$B$58),"date outside this workbook's year",IF(AND($D308="Advance",N($L308)&lt;0),"Warning: more than earned so far - worker now owes "&amp;ROUND(-$L308,0),"")))))))))</f>
        <v/>
      </c>
    </row>
    <row r="309" customFormat="false" ht="15" hidden="false" customHeight="false" outlineLevel="0" collapsed="false">
      <c r="A309" s="24" t="str">
        <f aca="false">IF($B309="","",ROW()-5)</f>
        <v/>
      </c>
      <c r="B309" s="25"/>
      <c r="C309" s="20"/>
      <c r="D309" s="26"/>
      <c r="E309" s="27"/>
      <c r="F309" s="20"/>
      <c r="G309" s="20"/>
      <c r="H309" s="26"/>
      <c r="I309" s="24" t="str">
        <f aca="false">IF($C309="","",IFERROR(INDEX(WorkerIDs,MATCH($C309,WorkerNames,0)),"?"))</f>
        <v/>
      </c>
      <c r="J309" s="18" t="str">
        <f aca="false">IF($B309="","",$B309-WEEKDAY($B309,2)+1)</f>
        <v/>
      </c>
      <c r="K309" s="28" t="str">
        <f aca="false">IF(OR($I309="",$I309="?",$D309&lt;&gt;"Advance",$B309=""),"",$I309&amp;"|"&amp;$J309&amp;"|"&amp;COUNTIFS($I$6:$I309,$I309,$J$6:$J309,$J309,$D$6:$D309,"Advance"))</f>
        <v/>
      </c>
      <c r="L309" s="29" t="str">
        <f aca="false">IF(OR($I309="",$I309="?",$B309=""),"",SUMPRODUCT((Weeks!$A$6:$A$58&lt;=$J309)*(Weeks!$Z$4:$AK$4=$I309)*Weeks!$Z$6:$AK$58)-SUMIFS($E$6:$E$1005,$I$6:$I$1005,$I309,$B$6:$B$1005,"&lt;="&amp;$B309))</f>
        <v/>
      </c>
      <c r="M309" s="19" t="str">
        <f aca="false">IF($B309&amp;$C309&amp;$D309&amp;$E309="","",IF($B309="","missing date",IF($C309="","missing worker",IF($I309="?","unknown worker - was the name changed on Workers?",IF($D309="","missing type",IF(N($E309)=0,"missing amount",IF(AND($E309&lt;0,$D309&lt;&gt;"Correction"),"negative amount - use a Correction to undo",IF(OR($B309&lt;Weeks!$A$6,$B309&gt;Weeks!$B$58),"date outside this workbook's year",IF(AND($D309="Advance",N($L309)&lt;0),"Warning: more than earned so far - worker now owes "&amp;ROUND(-$L309,0),"")))))))))</f>
        <v/>
      </c>
    </row>
    <row r="310" customFormat="false" ht="15" hidden="false" customHeight="false" outlineLevel="0" collapsed="false">
      <c r="A310" s="24" t="str">
        <f aca="false">IF($B310="","",ROW()-5)</f>
        <v/>
      </c>
      <c r="B310" s="25"/>
      <c r="C310" s="20"/>
      <c r="D310" s="26"/>
      <c r="E310" s="27"/>
      <c r="F310" s="20"/>
      <c r="G310" s="20"/>
      <c r="H310" s="26"/>
      <c r="I310" s="24" t="str">
        <f aca="false">IF($C310="","",IFERROR(INDEX(WorkerIDs,MATCH($C310,WorkerNames,0)),"?"))</f>
        <v/>
      </c>
      <c r="J310" s="18" t="str">
        <f aca="false">IF($B310="","",$B310-WEEKDAY($B310,2)+1)</f>
        <v/>
      </c>
      <c r="K310" s="28" t="str">
        <f aca="false">IF(OR($I310="",$I310="?",$D310&lt;&gt;"Advance",$B310=""),"",$I310&amp;"|"&amp;$J310&amp;"|"&amp;COUNTIFS($I$6:$I310,$I310,$J$6:$J310,$J310,$D$6:$D310,"Advance"))</f>
        <v/>
      </c>
      <c r="L310" s="29" t="str">
        <f aca="false">IF(OR($I310="",$I310="?",$B310=""),"",SUMPRODUCT((Weeks!$A$6:$A$58&lt;=$J310)*(Weeks!$Z$4:$AK$4=$I310)*Weeks!$Z$6:$AK$58)-SUMIFS($E$6:$E$1005,$I$6:$I$1005,$I310,$B$6:$B$1005,"&lt;="&amp;$B310))</f>
        <v/>
      </c>
      <c r="M310" s="19" t="str">
        <f aca="false">IF($B310&amp;$C310&amp;$D310&amp;$E310="","",IF($B310="","missing date",IF($C310="","missing worker",IF($I310="?","unknown worker - was the name changed on Workers?",IF($D310="","missing type",IF(N($E310)=0,"missing amount",IF(AND($E310&lt;0,$D310&lt;&gt;"Correction"),"negative amount - use a Correction to undo",IF(OR($B310&lt;Weeks!$A$6,$B310&gt;Weeks!$B$58),"date outside this workbook's year",IF(AND($D310="Advance",N($L310)&lt;0),"Warning: more than earned so far - worker now owes "&amp;ROUND(-$L310,0),"")))))))))</f>
        <v/>
      </c>
    </row>
    <row r="311" customFormat="false" ht="15" hidden="false" customHeight="false" outlineLevel="0" collapsed="false">
      <c r="A311" s="24" t="str">
        <f aca="false">IF($B311="","",ROW()-5)</f>
        <v/>
      </c>
      <c r="B311" s="25"/>
      <c r="C311" s="20"/>
      <c r="D311" s="26"/>
      <c r="E311" s="27"/>
      <c r="F311" s="20"/>
      <c r="G311" s="20"/>
      <c r="H311" s="26"/>
      <c r="I311" s="24" t="str">
        <f aca="false">IF($C311="","",IFERROR(INDEX(WorkerIDs,MATCH($C311,WorkerNames,0)),"?"))</f>
        <v/>
      </c>
      <c r="J311" s="18" t="str">
        <f aca="false">IF($B311="","",$B311-WEEKDAY($B311,2)+1)</f>
        <v/>
      </c>
      <c r="K311" s="28" t="str">
        <f aca="false">IF(OR($I311="",$I311="?",$D311&lt;&gt;"Advance",$B311=""),"",$I311&amp;"|"&amp;$J311&amp;"|"&amp;COUNTIFS($I$6:$I311,$I311,$J$6:$J311,$J311,$D$6:$D311,"Advance"))</f>
        <v/>
      </c>
      <c r="L311" s="29" t="str">
        <f aca="false">IF(OR($I311="",$I311="?",$B311=""),"",SUMPRODUCT((Weeks!$A$6:$A$58&lt;=$J311)*(Weeks!$Z$4:$AK$4=$I311)*Weeks!$Z$6:$AK$58)-SUMIFS($E$6:$E$1005,$I$6:$I$1005,$I311,$B$6:$B$1005,"&lt;="&amp;$B311))</f>
        <v/>
      </c>
      <c r="M311" s="19" t="str">
        <f aca="false">IF($B311&amp;$C311&amp;$D311&amp;$E311="","",IF($B311="","missing date",IF($C311="","missing worker",IF($I311="?","unknown worker - was the name changed on Workers?",IF($D311="","missing type",IF(N($E311)=0,"missing amount",IF(AND($E311&lt;0,$D311&lt;&gt;"Correction"),"negative amount - use a Correction to undo",IF(OR($B311&lt;Weeks!$A$6,$B311&gt;Weeks!$B$58),"date outside this workbook's year",IF(AND($D311="Advance",N($L311)&lt;0),"Warning: more than earned so far - worker now owes "&amp;ROUND(-$L311,0),"")))))))))</f>
        <v/>
      </c>
    </row>
    <row r="312" customFormat="false" ht="15" hidden="false" customHeight="false" outlineLevel="0" collapsed="false">
      <c r="A312" s="24" t="str">
        <f aca="false">IF($B312="","",ROW()-5)</f>
        <v/>
      </c>
      <c r="B312" s="25"/>
      <c r="C312" s="20"/>
      <c r="D312" s="26"/>
      <c r="E312" s="27"/>
      <c r="F312" s="20"/>
      <c r="G312" s="20"/>
      <c r="H312" s="26"/>
      <c r="I312" s="24" t="str">
        <f aca="false">IF($C312="","",IFERROR(INDEX(WorkerIDs,MATCH($C312,WorkerNames,0)),"?"))</f>
        <v/>
      </c>
      <c r="J312" s="18" t="str">
        <f aca="false">IF($B312="","",$B312-WEEKDAY($B312,2)+1)</f>
        <v/>
      </c>
      <c r="K312" s="28" t="str">
        <f aca="false">IF(OR($I312="",$I312="?",$D312&lt;&gt;"Advance",$B312=""),"",$I312&amp;"|"&amp;$J312&amp;"|"&amp;COUNTIFS($I$6:$I312,$I312,$J$6:$J312,$J312,$D$6:$D312,"Advance"))</f>
        <v/>
      </c>
      <c r="L312" s="29" t="str">
        <f aca="false">IF(OR($I312="",$I312="?",$B312=""),"",SUMPRODUCT((Weeks!$A$6:$A$58&lt;=$J312)*(Weeks!$Z$4:$AK$4=$I312)*Weeks!$Z$6:$AK$58)-SUMIFS($E$6:$E$1005,$I$6:$I$1005,$I312,$B$6:$B$1005,"&lt;="&amp;$B312))</f>
        <v/>
      </c>
      <c r="M312" s="19" t="str">
        <f aca="false">IF($B312&amp;$C312&amp;$D312&amp;$E312="","",IF($B312="","missing date",IF($C312="","missing worker",IF($I312="?","unknown worker - was the name changed on Workers?",IF($D312="","missing type",IF(N($E312)=0,"missing amount",IF(AND($E312&lt;0,$D312&lt;&gt;"Correction"),"negative amount - use a Correction to undo",IF(OR($B312&lt;Weeks!$A$6,$B312&gt;Weeks!$B$58),"date outside this workbook's year",IF(AND($D312="Advance",N($L312)&lt;0),"Warning: more than earned so far - worker now owes "&amp;ROUND(-$L312,0),"")))))))))</f>
        <v/>
      </c>
    </row>
    <row r="313" customFormat="false" ht="15" hidden="false" customHeight="false" outlineLevel="0" collapsed="false">
      <c r="A313" s="24" t="str">
        <f aca="false">IF($B313="","",ROW()-5)</f>
        <v/>
      </c>
      <c r="B313" s="25"/>
      <c r="C313" s="20"/>
      <c r="D313" s="26"/>
      <c r="E313" s="27"/>
      <c r="F313" s="20"/>
      <c r="G313" s="20"/>
      <c r="H313" s="26"/>
      <c r="I313" s="24" t="str">
        <f aca="false">IF($C313="","",IFERROR(INDEX(WorkerIDs,MATCH($C313,WorkerNames,0)),"?"))</f>
        <v/>
      </c>
      <c r="J313" s="18" t="str">
        <f aca="false">IF($B313="","",$B313-WEEKDAY($B313,2)+1)</f>
        <v/>
      </c>
      <c r="K313" s="28" t="str">
        <f aca="false">IF(OR($I313="",$I313="?",$D313&lt;&gt;"Advance",$B313=""),"",$I313&amp;"|"&amp;$J313&amp;"|"&amp;COUNTIFS($I$6:$I313,$I313,$J$6:$J313,$J313,$D$6:$D313,"Advance"))</f>
        <v/>
      </c>
      <c r="L313" s="29" t="str">
        <f aca="false">IF(OR($I313="",$I313="?",$B313=""),"",SUMPRODUCT((Weeks!$A$6:$A$58&lt;=$J313)*(Weeks!$Z$4:$AK$4=$I313)*Weeks!$Z$6:$AK$58)-SUMIFS($E$6:$E$1005,$I$6:$I$1005,$I313,$B$6:$B$1005,"&lt;="&amp;$B313))</f>
        <v/>
      </c>
      <c r="M313" s="19" t="str">
        <f aca="false">IF($B313&amp;$C313&amp;$D313&amp;$E313="","",IF($B313="","missing date",IF($C313="","missing worker",IF($I313="?","unknown worker - was the name changed on Workers?",IF($D313="","missing type",IF(N($E313)=0,"missing amount",IF(AND($E313&lt;0,$D313&lt;&gt;"Correction"),"negative amount - use a Correction to undo",IF(OR($B313&lt;Weeks!$A$6,$B313&gt;Weeks!$B$58),"date outside this workbook's year",IF(AND($D313="Advance",N($L313)&lt;0),"Warning: more than earned so far - worker now owes "&amp;ROUND(-$L313,0),"")))))))))</f>
        <v/>
      </c>
    </row>
    <row r="314" customFormat="false" ht="15" hidden="false" customHeight="false" outlineLevel="0" collapsed="false">
      <c r="A314" s="24" t="str">
        <f aca="false">IF($B314="","",ROW()-5)</f>
        <v/>
      </c>
      <c r="B314" s="25"/>
      <c r="C314" s="20"/>
      <c r="D314" s="26"/>
      <c r="E314" s="27"/>
      <c r="F314" s="20"/>
      <c r="G314" s="20"/>
      <c r="H314" s="26"/>
      <c r="I314" s="24" t="str">
        <f aca="false">IF($C314="","",IFERROR(INDEX(WorkerIDs,MATCH($C314,WorkerNames,0)),"?"))</f>
        <v/>
      </c>
      <c r="J314" s="18" t="str">
        <f aca="false">IF($B314="","",$B314-WEEKDAY($B314,2)+1)</f>
        <v/>
      </c>
      <c r="K314" s="28" t="str">
        <f aca="false">IF(OR($I314="",$I314="?",$D314&lt;&gt;"Advance",$B314=""),"",$I314&amp;"|"&amp;$J314&amp;"|"&amp;COUNTIFS($I$6:$I314,$I314,$J$6:$J314,$J314,$D$6:$D314,"Advance"))</f>
        <v/>
      </c>
      <c r="L314" s="29" t="str">
        <f aca="false">IF(OR($I314="",$I314="?",$B314=""),"",SUMPRODUCT((Weeks!$A$6:$A$58&lt;=$J314)*(Weeks!$Z$4:$AK$4=$I314)*Weeks!$Z$6:$AK$58)-SUMIFS($E$6:$E$1005,$I$6:$I$1005,$I314,$B$6:$B$1005,"&lt;="&amp;$B314))</f>
        <v/>
      </c>
      <c r="M314" s="19" t="str">
        <f aca="false">IF($B314&amp;$C314&amp;$D314&amp;$E314="","",IF($B314="","missing date",IF($C314="","missing worker",IF($I314="?","unknown worker - was the name changed on Workers?",IF($D314="","missing type",IF(N($E314)=0,"missing amount",IF(AND($E314&lt;0,$D314&lt;&gt;"Correction"),"negative amount - use a Correction to undo",IF(OR($B314&lt;Weeks!$A$6,$B314&gt;Weeks!$B$58),"date outside this workbook's year",IF(AND($D314="Advance",N($L314)&lt;0),"Warning: more than earned so far - worker now owes "&amp;ROUND(-$L314,0),"")))))))))</f>
        <v/>
      </c>
    </row>
    <row r="315" customFormat="false" ht="15" hidden="false" customHeight="false" outlineLevel="0" collapsed="false">
      <c r="A315" s="24" t="str">
        <f aca="false">IF($B315="","",ROW()-5)</f>
        <v/>
      </c>
      <c r="B315" s="25"/>
      <c r="C315" s="20"/>
      <c r="D315" s="26"/>
      <c r="E315" s="27"/>
      <c r="F315" s="20"/>
      <c r="G315" s="20"/>
      <c r="H315" s="26"/>
      <c r="I315" s="24" t="str">
        <f aca="false">IF($C315="","",IFERROR(INDEX(WorkerIDs,MATCH($C315,WorkerNames,0)),"?"))</f>
        <v/>
      </c>
      <c r="J315" s="18" t="str">
        <f aca="false">IF($B315="","",$B315-WEEKDAY($B315,2)+1)</f>
        <v/>
      </c>
      <c r="K315" s="28" t="str">
        <f aca="false">IF(OR($I315="",$I315="?",$D315&lt;&gt;"Advance",$B315=""),"",$I315&amp;"|"&amp;$J315&amp;"|"&amp;COUNTIFS($I$6:$I315,$I315,$J$6:$J315,$J315,$D$6:$D315,"Advance"))</f>
        <v/>
      </c>
      <c r="L315" s="29" t="str">
        <f aca="false">IF(OR($I315="",$I315="?",$B315=""),"",SUMPRODUCT((Weeks!$A$6:$A$58&lt;=$J315)*(Weeks!$Z$4:$AK$4=$I315)*Weeks!$Z$6:$AK$58)-SUMIFS($E$6:$E$1005,$I$6:$I$1005,$I315,$B$6:$B$1005,"&lt;="&amp;$B315))</f>
        <v/>
      </c>
      <c r="M315" s="19" t="str">
        <f aca="false">IF($B315&amp;$C315&amp;$D315&amp;$E315="","",IF($B315="","missing date",IF($C315="","missing worker",IF($I315="?","unknown worker - was the name changed on Workers?",IF($D315="","missing type",IF(N($E315)=0,"missing amount",IF(AND($E315&lt;0,$D315&lt;&gt;"Correction"),"negative amount - use a Correction to undo",IF(OR($B315&lt;Weeks!$A$6,$B315&gt;Weeks!$B$58),"date outside this workbook's year",IF(AND($D315="Advance",N($L315)&lt;0),"Warning: more than earned so far - worker now owes "&amp;ROUND(-$L315,0),"")))))))))</f>
        <v/>
      </c>
    </row>
    <row r="316" customFormat="false" ht="15" hidden="false" customHeight="false" outlineLevel="0" collapsed="false">
      <c r="A316" s="24" t="str">
        <f aca="false">IF($B316="","",ROW()-5)</f>
        <v/>
      </c>
      <c r="B316" s="25"/>
      <c r="C316" s="20"/>
      <c r="D316" s="26"/>
      <c r="E316" s="27"/>
      <c r="F316" s="20"/>
      <c r="G316" s="20"/>
      <c r="H316" s="26"/>
      <c r="I316" s="24" t="str">
        <f aca="false">IF($C316="","",IFERROR(INDEX(WorkerIDs,MATCH($C316,WorkerNames,0)),"?"))</f>
        <v/>
      </c>
      <c r="J316" s="18" t="str">
        <f aca="false">IF($B316="","",$B316-WEEKDAY($B316,2)+1)</f>
        <v/>
      </c>
      <c r="K316" s="28" t="str">
        <f aca="false">IF(OR($I316="",$I316="?",$D316&lt;&gt;"Advance",$B316=""),"",$I316&amp;"|"&amp;$J316&amp;"|"&amp;COUNTIFS($I$6:$I316,$I316,$J$6:$J316,$J316,$D$6:$D316,"Advance"))</f>
        <v/>
      </c>
      <c r="L316" s="29" t="str">
        <f aca="false">IF(OR($I316="",$I316="?",$B316=""),"",SUMPRODUCT((Weeks!$A$6:$A$58&lt;=$J316)*(Weeks!$Z$4:$AK$4=$I316)*Weeks!$Z$6:$AK$58)-SUMIFS($E$6:$E$1005,$I$6:$I$1005,$I316,$B$6:$B$1005,"&lt;="&amp;$B316))</f>
        <v/>
      </c>
      <c r="M316" s="19" t="str">
        <f aca="false">IF($B316&amp;$C316&amp;$D316&amp;$E316="","",IF($B316="","missing date",IF($C316="","missing worker",IF($I316="?","unknown worker - was the name changed on Workers?",IF($D316="","missing type",IF(N($E316)=0,"missing amount",IF(AND($E316&lt;0,$D316&lt;&gt;"Correction"),"negative amount - use a Correction to undo",IF(OR($B316&lt;Weeks!$A$6,$B316&gt;Weeks!$B$58),"date outside this workbook's year",IF(AND($D316="Advance",N($L316)&lt;0),"Warning: more than earned so far - worker now owes "&amp;ROUND(-$L316,0),"")))))))))</f>
        <v/>
      </c>
    </row>
    <row r="317" customFormat="false" ht="15" hidden="false" customHeight="false" outlineLevel="0" collapsed="false">
      <c r="A317" s="24" t="str">
        <f aca="false">IF($B317="","",ROW()-5)</f>
        <v/>
      </c>
      <c r="B317" s="25"/>
      <c r="C317" s="20"/>
      <c r="D317" s="26"/>
      <c r="E317" s="27"/>
      <c r="F317" s="20"/>
      <c r="G317" s="20"/>
      <c r="H317" s="26"/>
      <c r="I317" s="24" t="str">
        <f aca="false">IF($C317="","",IFERROR(INDEX(WorkerIDs,MATCH($C317,WorkerNames,0)),"?"))</f>
        <v/>
      </c>
      <c r="J317" s="18" t="str">
        <f aca="false">IF($B317="","",$B317-WEEKDAY($B317,2)+1)</f>
        <v/>
      </c>
      <c r="K317" s="28" t="str">
        <f aca="false">IF(OR($I317="",$I317="?",$D317&lt;&gt;"Advance",$B317=""),"",$I317&amp;"|"&amp;$J317&amp;"|"&amp;COUNTIFS($I$6:$I317,$I317,$J$6:$J317,$J317,$D$6:$D317,"Advance"))</f>
        <v/>
      </c>
      <c r="L317" s="29" t="str">
        <f aca="false">IF(OR($I317="",$I317="?",$B317=""),"",SUMPRODUCT((Weeks!$A$6:$A$58&lt;=$J317)*(Weeks!$Z$4:$AK$4=$I317)*Weeks!$Z$6:$AK$58)-SUMIFS($E$6:$E$1005,$I$6:$I$1005,$I317,$B$6:$B$1005,"&lt;="&amp;$B317))</f>
        <v/>
      </c>
      <c r="M317" s="19" t="str">
        <f aca="false">IF($B317&amp;$C317&amp;$D317&amp;$E317="","",IF($B317="","missing date",IF($C317="","missing worker",IF($I317="?","unknown worker - was the name changed on Workers?",IF($D317="","missing type",IF(N($E317)=0,"missing amount",IF(AND($E317&lt;0,$D317&lt;&gt;"Correction"),"negative amount - use a Correction to undo",IF(OR($B317&lt;Weeks!$A$6,$B317&gt;Weeks!$B$58),"date outside this workbook's year",IF(AND($D317="Advance",N($L317)&lt;0),"Warning: more than earned so far - worker now owes "&amp;ROUND(-$L317,0),"")))))))))</f>
        <v/>
      </c>
    </row>
    <row r="318" customFormat="false" ht="15" hidden="false" customHeight="false" outlineLevel="0" collapsed="false">
      <c r="A318" s="24" t="str">
        <f aca="false">IF($B318="","",ROW()-5)</f>
        <v/>
      </c>
      <c r="B318" s="25"/>
      <c r="C318" s="20"/>
      <c r="D318" s="26"/>
      <c r="E318" s="27"/>
      <c r="F318" s="20"/>
      <c r="G318" s="20"/>
      <c r="H318" s="26"/>
      <c r="I318" s="24" t="str">
        <f aca="false">IF($C318="","",IFERROR(INDEX(WorkerIDs,MATCH($C318,WorkerNames,0)),"?"))</f>
        <v/>
      </c>
      <c r="J318" s="18" t="str">
        <f aca="false">IF($B318="","",$B318-WEEKDAY($B318,2)+1)</f>
        <v/>
      </c>
      <c r="K318" s="28" t="str">
        <f aca="false">IF(OR($I318="",$I318="?",$D318&lt;&gt;"Advance",$B318=""),"",$I318&amp;"|"&amp;$J318&amp;"|"&amp;COUNTIFS($I$6:$I318,$I318,$J$6:$J318,$J318,$D$6:$D318,"Advance"))</f>
        <v/>
      </c>
      <c r="L318" s="29" t="str">
        <f aca="false">IF(OR($I318="",$I318="?",$B318=""),"",SUMPRODUCT((Weeks!$A$6:$A$58&lt;=$J318)*(Weeks!$Z$4:$AK$4=$I318)*Weeks!$Z$6:$AK$58)-SUMIFS($E$6:$E$1005,$I$6:$I$1005,$I318,$B$6:$B$1005,"&lt;="&amp;$B318))</f>
        <v/>
      </c>
      <c r="M318" s="19" t="str">
        <f aca="false">IF($B318&amp;$C318&amp;$D318&amp;$E318="","",IF($B318="","missing date",IF($C318="","missing worker",IF($I318="?","unknown worker - was the name changed on Workers?",IF($D318="","missing type",IF(N($E318)=0,"missing amount",IF(AND($E318&lt;0,$D318&lt;&gt;"Correction"),"negative amount - use a Correction to undo",IF(OR($B318&lt;Weeks!$A$6,$B318&gt;Weeks!$B$58),"date outside this workbook's year",IF(AND($D318="Advance",N($L318)&lt;0),"Warning: more than earned so far - worker now owes "&amp;ROUND(-$L318,0),"")))))))))</f>
        <v/>
      </c>
    </row>
    <row r="319" customFormat="false" ht="15" hidden="false" customHeight="false" outlineLevel="0" collapsed="false">
      <c r="A319" s="24" t="str">
        <f aca="false">IF($B319="","",ROW()-5)</f>
        <v/>
      </c>
      <c r="B319" s="25"/>
      <c r="C319" s="20"/>
      <c r="D319" s="26"/>
      <c r="E319" s="27"/>
      <c r="F319" s="20"/>
      <c r="G319" s="20"/>
      <c r="H319" s="26"/>
      <c r="I319" s="24" t="str">
        <f aca="false">IF($C319="","",IFERROR(INDEX(WorkerIDs,MATCH($C319,WorkerNames,0)),"?"))</f>
        <v/>
      </c>
      <c r="J319" s="18" t="str">
        <f aca="false">IF($B319="","",$B319-WEEKDAY($B319,2)+1)</f>
        <v/>
      </c>
      <c r="K319" s="28" t="str">
        <f aca="false">IF(OR($I319="",$I319="?",$D319&lt;&gt;"Advance",$B319=""),"",$I319&amp;"|"&amp;$J319&amp;"|"&amp;COUNTIFS($I$6:$I319,$I319,$J$6:$J319,$J319,$D$6:$D319,"Advance"))</f>
        <v/>
      </c>
      <c r="L319" s="29" t="str">
        <f aca="false">IF(OR($I319="",$I319="?",$B319=""),"",SUMPRODUCT((Weeks!$A$6:$A$58&lt;=$J319)*(Weeks!$Z$4:$AK$4=$I319)*Weeks!$Z$6:$AK$58)-SUMIFS($E$6:$E$1005,$I$6:$I$1005,$I319,$B$6:$B$1005,"&lt;="&amp;$B319))</f>
        <v/>
      </c>
      <c r="M319" s="19" t="str">
        <f aca="false">IF($B319&amp;$C319&amp;$D319&amp;$E319="","",IF($B319="","missing date",IF($C319="","missing worker",IF($I319="?","unknown worker - was the name changed on Workers?",IF($D319="","missing type",IF(N($E319)=0,"missing amount",IF(AND($E319&lt;0,$D319&lt;&gt;"Correction"),"negative amount - use a Correction to undo",IF(OR($B319&lt;Weeks!$A$6,$B319&gt;Weeks!$B$58),"date outside this workbook's year",IF(AND($D319="Advance",N($L319)&lt;0),"Warning: more than earned so far - worker now owes "&amp;ROUND(-$L319,0),"")))))))))</f>
        <v/>
      </c>
    </row>
    <row r="320" customFormat="false" ht="15" hidden="false" customHeight="false" outlineLevel="0" collapsed="false">
      <c r="A320" s="24" t="str">
        <f aca="false">IF($B320="","",ROW()-5)</f>
        <v/>
      </c>
      <c r="B320" s="25"/>
      <c r="C320" s="20"/>
      <c r="D320" s="26"/>
      <c r="E320" s="27"/>
      <c r="F320" s="20"/>
      <c r="G320" s="20"/>
      <c r="H320" s="26"/>
      <c r="I320" s="24" t="str">
        <f aca="false">IF($C320="","",IFERROR(INDEX(WorkerIDs,MATCH($C320,WorkerNames,0)),"?"))</f>
        <v/>
      </c>
      <c r="J320" s="18" t="str">
        <f aca="false">IF($B320="","",$B320-WEEKDAY($B320,2)+1)</f>
        <v/>
      </c>
      <c r="K320" s="28" t="str">
        <f aca="false">IF(OR($I320="",$I320="?",$D320&lt;&gt;"Advance",$B320=""),"",$I320&amp;"|"&amp;$J320&amp;"|"&amp;COUNTIFS($I$6:$I320,$I320,$J$6:$J320,$J320,$D$6:$D320,"Advance"))</f>
        <v/>
      </c>
      <c r="L320" s="29" t="str">
        <f aca="false">IF(OR($I320="",$I320="?",$B320=""),"",SUMPRODUCT((Weeks!$A$6:$A$58&lt;=$J320)*(Weeks!$Z$4:$AK$4=$I320)*Weeks!$Z$6:$AK$58)-SUMIFS($E$6:$E$1005,$I$6:$I$1005,$I320,$B$6:$B$1005,"&lt;="&amp;$B320))</f>
        <v/>
      </c>
      <c r="M320" s="19" t="str">
        <f aca="false">IF($B320&amp;$C320&amp;$D320&amp;$E320="","",IF($B320="","missing date",IF($C320="","missing worker",IF($I320="?","unknown worker - was the name changed on Workers?",IF($D320="","missing type",IF(N($E320)=0,"missing amount",IF(AND($E320&lt;0,$D320&lt;&gt;"Correction"),"negative amount - use a Correction to undo",IF(OR($B320&lt;Weeks!$A$6,$B320&gt;Weeks!$B$58),"date outside this workbook's year",IF(AND($D320="Advance",N($L320)&lt;0),"Warning: more than earned so far - worker now owes "&amp;ROUND(-$L320,0),"")))))))))</f>
        <v/>
      </c>
    </row>
    <row r="321" customFormat="false" ht="15" hidden="false" customHeight="false" outlineLevel="0" collapsed="false">
      <c r="A321" s="24" t="str">
        <f aca="false">IF($B321="","",ROW()-5)</f>
        <v/>
      </c>
      <c r="B321" s="25"/>
      <c r="C321" s="20"/>
      <c r="D321" s="26"/>
      <c r="E321" s="27"/>
      <c r="F321" s="20"/>
      <c r="G321" s="20"/>
      <c r="H321" s="26"/>
      <c r="I321" s="24" t="str">
        <f aca="false">IF($C321="","",IFERROR(INDEX(WorkerIDs,MATCH($C321,WorkerNames,0)),"?"))</f>
        <v/>
      </c>
      <c r="J321" s="18" t="str">
        <f aca="false">IF($B321="","",$B321-WEEKDAY($B321,2)+1)</f>
        <v/>
      </c>
      <c r="K321" s="28" t="str">
        <f aca="false">IF(OR($I321="",$I321="?",$D321&lt;&gt;"Advance",$B321=""),"",$I321&amp;"|"&amp;$J321&amp;"|"&amp;COUNTIFS($I$6:$I321,$I321,$J$6:$J321,$J321,$D$6:$D321,"Advance"))</f>
        <v/>
      </c>
      <c r="L321" s="29" t="str">
        <f aca="false">IF(OR($I321="",$I321="?",$B321=""),"",SUMPRODUCT((Weeks!$A$6:$A$58&lt;=$J321)*(Weeks!$Z$4:$AK$4=$I321)*Weeks!$Z$6:$AK$58)-SUMIFS($E$6:$E$1005,$I$6:$I$1005,$I321,$B$6:$B$1005,"&lt;="&amp;$B321))</f>
        <v/>
      </c>
      <c r="M321" s="19" t="str">
        <f aca="false">IF($B321&amp;$C321&amp;$D321&amp;$E321="","",IF($B321="","missing date",IF($C321="","missing worker",IF($I321="?","unknown worker - was the name changed on Workers?",IF($D321="","missing type",IF(N($E321)=0,"missing amount",IF(AND($E321&lt;0,$D321&lt;&gt;"Correction"),"negative amount - use a Correction to undo",IF(OR($B321&lt;Weeks!$A$6,$B321&gt;Weeks!$B$58),"date outside this workbook's year",IF(AND($D321="Advance",N($L321)&lt;0),"Warning: more than earned so far - worker now owes "&amp;ROUND(-$L321,0),"")))))))))</f>
        <v/>
      </c>
    </row>
    <row r="322" customFormat="false" ht="15" hidden="false" customHeight="false" outlineLevel="0" collapsed="false">
      <c r="A322" s="24" t="str">
        <f aca="false">IF($B322="","",ROW()-5)</f>
        <v/>
      </c>
      <c r="B322" s="25"/>
      <c r="C322" s="20"/>
      <c r="D322" s="26"/>
      <c r="E322" s="27"/>
      <c r="F322" s="20"/>
      <c r="G322" s="20"/>
      <c r="H322" s="26"/>
      <c r="I322" s="24" t="str">
        <f aca="false">IF($C322="","",IFERROR(INDEX(WorkerIDs,MATCH($C322,WorkerNames,0)),"?"))</f>
        <v/>
      </c>
      <c r="J322" s="18" t="str">
        <f aca="false">IF($B322="","",$B322-WEEKDAY($B322,2)+1)</f>
        <v/>
      </c>
      <c r="K322" s="28" t="str">
        <f aca="false">IF(OR($I322="",$I322="?",$D322&lt;&gt;"Advance",$B322=""),"",$I322&amp;"|"&amp;$J322&amp;"|"&amp;COUNTIFS($I$6:$I322,$I322,$J$6:$J322,$J322,$D$6:$D322,"Advance"))</f>
        <v/>
      </c>
      <c r="L322" s="29" t="str">
        <f aca="false">IF(OR($I322="",$I322="?",$B322=""),"",SUMPRODUCT((Weeks!$A$6:$A$58&lt;=$J322)*(Weeks!$Z$4:$AK$4=$I322)*Weeks!$Z$6:$AK$58)-SUMIFS($E$6:$E$1005,$I$6:$I$1005,$I322,$B$6:$B$1005,"&lt;="&amp;$B322))</f>
        <v/>
      </c>
      <c r="M322" s="19" t="str">
        <f aca="false">IF($B322&amp;$C322&amp;$D322&amp;$E322="","",IF($B322="","missing date",IF($C322="","missing worker",IF($I322="?","unknown worker - was the name changed on Workers?",IF($D322="","missing type",IF(N($E322)=0,"missing amount",IF(AND($E322&lt;0,$D322&lt;&gt;"Correction"),"negative amount - use a Correction to undo",IF(OR($B322&lt;Weeks!$A$6,$B322&gt;Weeks!$B$58),"date outside this workbook's year",IF(AND($D322="Advance",N($L322)&lt;0),"Warning: more than earned so far - worker now owes "&amp;ROUND(-$L322,0),"")))))))))</f>
        <v/>
      </c>
    </row>
    <row r="323" customFormat="false" ht="15" hidden="false" customHeight="false" outlineLevel="0" collapsed="false">
      <c r="A323" s="24" t="str">
        <f aca="false">IF($B323="","",ROW()-5)</f>
        <v/>
      </c>
      <c r="B323" s="25"/>
      <c r="C323" s="20"/>
      <c r="D323" s="26"/>
      <c r="E323" s="27"/>
      <c r="F323" s="20"/>
      <c r="G323" s="20"/>
      <c r="H323" s="26"/>
      <c r="I323" s="24" t="str">
        <f aca="false">IF($C323="","",IFERROR(INDEX(WorkerIDs,MATCH($C323,WorkerNames,0)),"?"))</f>
        <v/>
      </c>
      <c r="J323" s="18" t="str">
        <f aca="false">IF($B323="","",$B323-WEEKDAY($B323,2)+1)</f>
        <v/>
      </c>
      <c r="K323" s="28" t="str">
        <f aca="false">IF(OR($I323="",$I323="?",$D323&lt;&gt;"Advance",$B323=""),"",$I323&amp;"|"&amp;$J323&amp;"|"&amp;COUNTIFS($I$6:$I323,$I323,$J$6:$J323,$J323,$D$6:$D323,"Advance"))</f>
        <v/>
      </c>
      <c r="L323" s="29" t="str">
        <f aca="false">IF(OR($I323="",$I323="?",$B323=""),"",SUMPRODUCT((Weeks!$A$6:$A$58&lt;=$J323)*(Weeks!$Z$4:$AK$4=$I323)*Weeks!$Z$6:$AK$58)-SUMIFS($E$6:$E$1005,$I$6:$I$1005,$I323,$B$6:$B$1005,"&lt;="&amp;$B323))</f>
        <v/>
      </c>
      <c r="M323" s="19" t="str">
        <f aca="false">IF($B323&amp;$C323&amp;$D323&amp;$E323="","",IF($B323="","missing date",IF($C323="","missing worker",IF($I323="?","unknown worker - was the name changed on Workers?",IF($D323="","missing type",IF(N($E323)=0,"missing amount",IF(AND($E323&lt;0,$D323&lt;&gt;"Correction"),"negative amount - use a Correction to undo",IF(OR($B323&lt;Weeks!$A$6,$B323&gt;Weeks!$B$58),"date outside this workbook's year",IF(AND($D323="Advance",N($L323)&lt;0),"Warning: more than earned so far - worker now owes "&amp;ROUND(-$L323,0),"")))))))))</f>
        <v/>
      </c>
    </row>
    <row r="324" customFormat="false" ht="15" hidden="false" customHeight="false" outlineLevel="0" collapsed="false">
      <c r="A324" s="24" t="str">
        <f aca="false">IF($B324="","",ROW()-5)</f>
        <v/>
      </c>
      <c r="B324" s="25"/>
      <c r="C324" s="20"/>
      <c r="D324" s="26"/>
      <c r="E324" s="27"/>
      <c r="F324" s="20"/>
      <c r="G324" s="20"/>
      <c r="H324" s="26"/>
      <c r="I324" s="24" t="str">
        <f aca="false">IF($C324="","",IFERROR(INDEX(WorkerIDs,MATCH($C324,WorkerNames,0)),"?"))</f>
        <v/>
      </c>
      <c r="J324" s="18" t="str">
        <f aca="false">IF($B324="","",$B324-WEEKDAY($B324,2)+1)</f>
        <v/>
      </c>
      <c r="K324" s="28" t="str">
        <f aca="false">IF(OR($I324="",$I324="?",$D324&lt;&gt;"Advance",$B324=""),"",$I324&amp;"|"&amp;$J324&amp;"|"&amp;COUNTIFS($I$6:$I324,$I324,$J$6:$J324,$J324,$D$6:$D324,"Advance"))</f>
        <v/>
      </c>
      <c r="L324" s="29" t="str">
        <f aca="false">IF(OR($I324="",$I324="?",$B324=""),"",SUMPRODUCT((Weeks!$A$6:$A$58&lt;=$J324)*(Weeks!$Z$4:$AK$4=$I324)*Weeks!$Z$6:$AK$58)-SUMIFS($E$6:$E$1005,$I$6:$I$1005,$I324,$B$6:$B$1005,"&lt;="&amp;$B324))</f>
        <v/>
      </c>
      <c r="M324" s="19" t="str">
        <f aca="false">IF($B324&amp;$C324&amp;$D324&amp;$E324="","",IF($B324="","missing date",IF($C324="","missing worker",IF($I324="?","unknown worker - was the name changed on Workers?",IF($D324="","missing type",IF(N($E324)=0,"missing amount",IF(AND($E324&lt;0,$D324&lt;&gt;"Correction"),"negative amount - use a Correction to undo",IF(OR($B324&lt;Weeks!$A$6,$B324&gt;Weeks!$B$58),"date outside this workbook's year",IF(AND($D324="Advance",N($L324)&lt;0),"Warning: more than earned so far - worker now owes "&amp;ROUND(-$L324,0),"")))))))))</f>
        <v/>
      </c>
    </row>
    <row r="325" customFormat="false" ht="15" hidden="false" customHeight="false" outlineLevel="0" collapsed="false">
      <c r="A325" s="24" t="str">
        <f aca="false">IF($B325="","",ROW()-5)</f>
        <v/>
      </c>
      <c r="B325" s="25"/>
      <c r="C325" s="20"/>
      <c r="D325" s="26"/>
      <c r="E325" s="27"/>
      <c r="F325" s="20"/>
      <c r="G325" s="20"/>
      <c r="H325" s="26"/>
      <c r="I325" s="24" t="str">
        <f aca="false">IF($C325="","",IFERROR(INDEX(WorkerIDs,MATCH($C325,WorkerNames,0)),"?"))</f>
        <v/>
      </c>
      <c r="J325" s="18" t="str">
        <f aca="false">IF($B325="","",$B325-WEEKDAY($B325,2)+1)</f>
        <v/>
      </c>
      <c r="K325" s="28" t="str">
        <f aca="false">IF(OR($I325="",$I325="?",$D325&lt;&gt;"Advance",$B325=""),"",$I325&amp;"|"&amp;$J325&amp;"|"&amp;COUNTIFS($I$6:$I325,$I325,$J$6:$J325,$J325,$D$6:$D325,"Advance"))</f>
        <v/>
      </c>
      <c r="L325" s="29" t="str">
        <f aca="false">IF(OR($I325="",$I325="?",$B325=""),"",SUMPRODUCT((Weeks!$A$6:$A$58&lt;=$J325)*(Weeks!$Z$4:$AK$4=$I325)*Weeks!$Z$6:$AK$58)-SUMIFS($E$6:$E$1005,$I$6:$I$1005,$I325,$B$6:$B$1005,"&lt;="&amp;$B325))</f>
        <v/>
      </c>
      <c r="M325" s="19" t="str">
        <f aca="false">IF($B325&amp;$C325&amp;$D325&amp;$E325="","",IF($B325="","missing date",IF($C325="","missing worker",IF($I325="?","unknown worker - was the name changed on Workers?",IF($D325="","missing type",IF(N($E325)=0,"missing amount",IF(AND($E325&lt;0,$D325&lt;&gt;"Correction"),"negative amount - use a Correction to undo",IF(OR($B325&lt;Weeks!$A$6,$B325&gt;Weeks!$B$58),"date outside this workbook's year",IF(AND($D325="Advance",N($L325)&lt;0),"Warning: more than earned so far - worker now owes "&amp;ROUND(-$L325,0),"")))))))))</f>
        <v/>
      </c>
    </row>
    <row r="326" customFormat="false" ht="15" hidden="false" customHeight="false" outlineLevel="0" collapsed="false">
      <c r="A326" s="24" t="str">
        <f aca="false">IF($B326="","",ROW()-5)</f>
        <v/>
      </c>
      <c r="B326" s="25"/>
      <c r="C326" s="20"/>
      <c r="D326" s="26"/>
      <c r="E326" s="27"/>
      <c r="F326" s="20"/>
      <c r="G326" s="20"/>
      <c r="H326" s="26"/>
      <c r="I326" s="24" t="str">
        <f aca="false">IF($C326="","",IFERROR(INDEX(WorkerIDs,MATCH($C326,WorkerNames,0)),"?"))</f>
        <v/>
      </c>
      <c r="J326" s="18" t="str">
        <f aca="false">IF($B326="","",$B326-WEEKDAY($B326,2)+1)</f>
        <v/>
      </c>
      <c r="K326" s="28" t="str">
        <f aca="false">IF(OR($I326="",$I326="?",$D326&lt;&gt;"Advance",$B326=""),"",$I326&amp;"|"&amp;$J326&amp;"|"&amp;COUNTIFS($I$6:$I326,$I326,$J$6:$J326,$J326,$D$6:$D326,"Advance"))</f>
        <v/>
      </c>
      <c r="L326" s="29" t="str">
        <f aca="false">IF(OR($I326="",$I326="?",$B326=""),"",SUMPRODUCT((Weeks!$A$6:$A$58&lt;=$J326)*(Weeks!$Z$4:$AK$4=$I326)*Weeks!$Z$6:$AK$58)-SUMIFS($E$6:$E$1005,$I$6:$I$1005,$I326,$B$6:$B$1005,"&lt;="&amp;$B326))</f>
        <v/>
      </c>
      <c r="M326" s="19" t="str">
        <f aca="false">IF($B326&amp;$C326&amp;$D326&amp;$E326="","",IF($B326="","missing date",IF($C326="","missing worker",IF($I326="?","unknown worker - was the name changed on Workers?",IF($D326="","missing type",IF(N($E326)=0,"missing amount",IF(AND($E326&lt;0,$D326&lt;&gt;"Correction"),"negative amount - use a Correction to undo",IF(OR($B326&lt;Weeks!$A$6,$B326&gt;Weeks!$B$58),"date outside this workbook's year",IF(AND($D326="Advance",N($L326)&lt;0),"Warning: more than earned so far - worker now owes "&amp;ROUND(-$L326,0),"")))))))))</f>
        <v/>
      </c>
    </row>
    <row r="327" customFormat="false" ht="15" hidden="false" customHeight="false" outlineLevel="0" collapsed="false">
      <c r="A327" s="24" t="str">
        <f aca="false">IF($B327="","",ROW()-5)</f>
        <v/>
      </c>
      <c r="B327" s="25"/>
      <c r="C327" s="20"/>
      <c r="D327" s="26"/>
      <c r="E327" s="27"/>
      <c r="F327" s="20"/>
      <c r="G327" s="20"/>
      <c r="H327" s="26"/>
      <c r="I327" s="24" t="str">
        <f aca="false">IF($C327="","",IFERROR(INDEX(WorkerIDs,MATCH($C327,WorkerNames,0)),"?"))</f>
        <v/>
      </c>
      <c r="J327" s="18" t="str">
        <f aca="false">IF($B327="","",$B327-WEEKDAY($B327,2)+1)</f>
        <v/>
      </c>
      <c r="K327" s="28" t="str">
        <f aca="false">IF(OR($I327="",$I327="?",$D327&lt;&gt;"Advance",$B327=""),"",$I327&amp;"|"&amp;$J327&amp;"|"&amp;COUNTIFS($I$6:$I327,$I327,$J$6:$J327,$J327,$D$6:$D327,"Advance"))</f>
        <v/>
      </c>
      <c r="L327" s="29" t="str">
        <f aca="false">IF(OR($I327="",$I327="?",$B327=""),"",SUMPRODUCT((Weeks!$A$6:$A$58&lt;=$J327)*(Weeks!$Z$4:$AK$4=$I327)*Weeks!$Z$6:$AK$58)-SUMIFS($E$6:$E$1005,$I$6:$I$1005,$I327,$B$6:$B$1005,"&lt;="&amp;$B327))</f>
        <v/>
      </c>
      <c r="M327" s="19" t="str">
        <f aca="false">IF($B327&amp;$C327&amp;$D327&amp;$E327="","",IF($B327="","missing date",IF($C327="","missing worker",IF($I327="?","unknown worker - was the name changed on Workers?",IF($D327="","missing type",IF(N($E327)=0,"missing amount",IF(AND($E327&lt;0,$D327&lt;&gt;"Correction"),"negative amount - use a Correction to undo",IF(OR($B327&lt;Weeks!$A$6,$B327&gt;Weeks!$B$58),"date outside this workbook's year",IF(AND($D327="Advance",N($L327)&lt;0),"Warning: more than earned so far - worker now owes "&amp;ROUND(-$L327,0),"")))))))))</f>
        <v/>
      </c>
    </row>
    <row r="328" customFormat="false" ht="15" hidden="false" customHeight="false" outlineLevel="0" collapsed="false">
      <c r="A328" s="24" t="str">
        <f aca="false">IF($B328="","",ROW()-5)</f>
        <v/>
      </c>
      <c r="B328" s="25"/>
      <c r="C328" s="20"/>
      <c r="D328" s="26"/>
      <c r="E328" s="27"/>
      <c r="F328" s="20"/>
      <c r="G328" s="20"/>
      <c r="H328" s="26"/>
      <c r="I328" s="24" t="str">
        <f aca="false">IF($C328="","",IFERROR(INDEX(WorkerIDs,MATCH($C328,WorkerNames,0)),"?"))</f>
        <v/>
      </c>
      <c r="J328" s="18" t="str">
        <f aca="false">IF($B328="","",$B328-WEEKDAY($B328,2)+1)</f>
        <v/>
      </c>
      <c r="K328" s="28" t="str">
        <f aca="false">IF(OR($I328="",$I328="?",$D328&lt;&gt;"Advance",$B328=""),"",$I328&amp;"|"&amp;$J328&amp;"|"&amp;COUNTIFS($I$6:$I328,$I328,$J$6:$J328,$J328,$D$6:$D328,"Advance"))</f>
        <v/>
      </c>
      <c r="L328" s="29" t="str">
        <f aca="false">IF(OR($I328="",$I328="?",$B328=""),"",SUMPRODUCT((Weeks!$A$6:$A$58&lt;=$J328)*(Weeks!$Z$4:$AK$4=$I328)*Weeks!$Z$6:$AK$58)-SUMIFS($E$6:$E$1005,$I$6:$I$1005,$I328,$B$6:$B$1005,"&lt;="&amp;$B328))</f>
        <v/>
      </c>
      <c r="M328" s="19" t="str">
        <f aca="false">IF($B328&amp;$C328&amp;$D328&amp;$E328="","",IF($B328="","missing date",IF($C328="","missing worker",IF($I328="?","unknown worker - was the name changed on Workers?",IF($D328="","missing type",IF(N($E328)=0,"missing amount",IF(AND($E328&lt;0,$D328&lt;&gt;"Correction"),"negative amount - use a Correction to undo",IF(OR($B328&lt;Weeks!$A$6,$B328&gt;Weeks!$B$58),"date outside this workbook's year",IF(AND($D328="Advance",N($L328)&lt;0),"Warning: more than earned so far - worker now owes "&amp;ROUND(-$L328,0),"")))))))))</f>
        <v/>
      </c>
    </row>
    <row r="329" customFormat="false" ht="15" hidden="false" customHeight="false" outlineLevel="0" collapsed="false">
      <c r="A329" s="24" t="str">
        <f aca="false">IF($B329="","",ROW()-5)</f>
        <v/>
      </c>
      <c r="B329" s="25"/>
      <c r="C329" s="20"/>
      <c r="D329" s="26"/>
      <c r="E329" s="27"/>
      <c r="F329" s="20"/>
      <c r="G329" s="20"/>
      <c r="H329" s="26"/>
      <c r="I329" s="24" t="str">
        <f aca="false">IF($C329="","",IFERROR(INDEX(WorkerIDs,MATCH($C329,WorkerNames,0)),"?"))</f>
        <v/>
      </c>
      <c r="J329" s="18" t="str">
        <f aca="false">IF($B329="","",$B329-WEEKDAY($B329,2)+1)</f>
        <v/>
      </c>
      <c r="K329" s="28" t="str">
        <f aca="false">IF(OR($I329="",$I329="?",$D329&lt;&gt;"Advance",$B329=""),"",$I329&amp;"|"&amp;$J329&amp;"|"&amp;COUNTIFS($I$6:$I329,$I329,$J$6:$J329,$J329,$D$6:$D329,"Advance"))</f>
        <v/>
      </c>
      <c r="L329" s="29" t="str">
        <f aca="false">IF(OR($I329="",$I329="?",$B329=""),"",SUMPRODUCT((Weeks!$A$6:$A$58&lt;=$J329)*(Weeks!$Z$4:$AK$4=$I329)*Weeks!$Z$6:$AK$58)-SUMIFS($E$6:$E$1005,$I$6:$I$1005,$I329,$B$6:$B$1005,"&lt;="&amp;$B329))</f>
        <v/>
      </c>
      <c r="M329" s="19" t="str">
        <f aca="false">IF($B329&amp;$C329&amp;$D329&amp;$E329="","",IF($B329="","missing date",IF($C329="","missing worker",IF($I329="?","unknown worker - was the name changed on Workers?",IF($D329="","missing type",IF(N($E329)=0,"missing amount",IF(AND($E329&lt;0,$D329&lt;&gt;"Correction"),"negative amount - use a Correction to undo",IF(OR($B329&lt;Weeks!$A$6,$B329&gt;Weeks!$B$58),"date outside this workbook's year",IF(AND($D329="Advance",N($L329)&lt;0),"Warning: more than earned so far - worker now owes "&amp;ROUND(-$L329,0),"")))))))))</f>
        <v/>
      </c>
    </row>
    <row r="330" customFormat="false" ht="15" hidden="false" customHeight="false" outlineLevel="0" collapsed="false">
      <c r="A330" s="24" t="str">
        <f aca="false">IF($B330="","",ROW()-5)</f>
        <v/>
      </c>
      <c r="B330" s="25"/>
      <c r="C330" s="20"/>
      <c r="D330" s="26"/>
      <c r="E330" s="27"/>
      <c r="F330" s="20"/>
      <c r="G330" s="20"/>
      <c r="H330" s="26"/>
      <c r="I330" s="24" t="str">
        <f aca="false">IF($C330="","",IFERROR(INDEX(WorkerIDs,MATCH($C330,WorkerNames,0)),"?"))</f>
        <v/>
      </c>
      <c r="J330" s="18" t="str">
        <f aca="false">IF($B330="","",$B330-WEEKDAY($B330,2)+1)</f>
        <v/>
      </c>
      <c r="K330" s="28" t="str">
        <f aca="false">IF(OR($I330="",$I330="?",$D330&lt;&gt;"Advance",$B330=""),"",$I330&amp;"|"&amp;$J330&amp;"|"&amp;COUNTIFS($I$6:$I330,$I330,$J$6:$J330,$J330,$D$6:$D330,"Advance"))</f>
        <v/>
      </c>
      <c r="L330" s="29" t="str">
        <f aca="false">IF(OR($I330="",$I330="?",$B330=""),"",SUMPRODUCT((Weeks!$A$6:$A$58&lt;=$J330)*(Weeks!$Z$4:$AK$4=$I330)*Weeks!$Z$6:$AK$58)-SUMIFS($E$6:$E$1005,$I$6:$I$1005,$I330,$B$6:$B$1005,"&lt;="&amp;$B330))</f>
        <v/>
      </c>
      <c r="M330" s="19" t="str">
        <f aca="false">IF($B330&amp;$C330&amp;$D330&amp;$E330="","",IF($B330="","missing date",IF($C330="","missing worker",IF($I330="?","unknown worker - was the name changed on Workers?",IF($D330="","missing type",IF(N($E330)=0,"missing amount",IF(AND($E330&lt;0,$D330&lt;&gt;"Correction"),"negative amount - use a Correction to undo",IF(OR($B330&lt;Weeks!$A$6,$B330&gt;Weeks!$B$58),"date outside this workbook's year",IF(AND($D330="Advance",N($L330)&lt;0),"Warning: more than earned so far - worker now owes "&amp;ROUND(-$L330,0),"")))))))))</f>
        <v/>
      </c>
    </row>
    <row r="331" customFormat="false" ht="15" hidden="false" customHeight="false" outlineLevel="0" collapsed="false">
      <c r="A331" s="24" t="str">
        <f aca="false">IF($B331="","",ROW()-5)</f>
        <v/>
      </c>
      <c r="B331" s="25"/>
      <c r="C331" s="20"/>
      <c r="D331" s="26"/>
      <c r="E331" s="27"/>
      <c r="F331" s="20"/>
      <c r="G331" s="20"/>
      <c r="H331" s="26"/>
      <c r="I331" s="24" t="str">
        <f aca="false">IF($C331="","",IFERROR(INDEX(WorkerIDs,MATCH($C331,WorkerNames,0)),"?"))</f>
        <v/>
      </c>
      <c r="J331" s="18" t="str">
        <f aca="false">IF($B331="","",$B331-WEEKDAY($B331,2)+1)</f>
        <v/>
      </c>
      <c r="K331" s="28" t="str">
        <f aca="false">IF(OR($I331="",$I331="?",$D331&lt;&gt;"Advance",$B331=""),"",$I331&amp;"|"&amp;$J331&amp;"|"&amp;COUNTIFS($I$6:$I331,$I331,$J$6:$J331,$J331,$D$6:$D331,"Advance"))</f>
        <v/>
      </c>
      <c r="L331" s="29" t="str">
        <f aca="false">IF(OR($I331="",$I331="?",$B331=""),"",SUMPRODUCT((Weeks!$A$6:$A$58&lt;=$J331)*(Weeks!$Z$4:$AK$4=$I331)*Weeks!$Z$6:$AK$58)-SUMIFS($E$6:$E$1005,$I$6:$I$1005,$I331,$B$6:$B$1005,"&lt;="&amp;$B331))</f>
        <v/>
      </c>
      <c r="M331" s="19" t="str">
        <f aca="false">IF($B331&amp;$C331&amp;$D331&amp;$E331="","",IF($B331="","missing date",IF($C331="","missing worker",IF($I331="?","unknown worker - was the name changed on Workers?",IF($D331="","missing type",IF(N($E331)=0,"missing amount",IF(AND($E331&lt;0,$D331&lt;&gt;"Correction"),"negative amount - use a Correction to undo",IF(OR($B331&lt;Weeks!$A$6,$B331&gt;Weeks!$B$58),"date outside this workbook's year",IF(AND($D331="Advance",N($L331)&lt;0),"Warning: more than earned so far - worker now owes "&amp;ROUND(-$L331,0),"")))))))))</f>
        <v/>
      </c>
    </row>
    <row r="332" customFormat="false" ht="15" hidden="false" customHeight="false" outlineLevel="0" collapsed="false">
      <c r="A332" s="24" t="str">
        <f aca="false">IF($B332="","",ROW()-5)</f>
        <v/>
      </c>
      <c r="B332" s="25"/>
      <c r="C332" s="20"/>
      <c r="D332" s="26"/>
      <c r="E332" s="27"/>
      <c r="F332" s="20"/>
      <c r="G332" s="20"/>
      <c r="H332" s="26"/>
      <c r="I332" s="24" t="str">
        <f aca="false">IF($C332="","",IFERROR(INDEX(WorkerIDs,MATCH($C332,WorkerNames,0)),"?"))</f>
        <v/>
      </c>
      <c r="J332" s="18" t="str">
        <f aca="false">IF($B332="","",$B332-WEEKDAY($B332,2)+1)</f>
        <v/>
      </c>
      <c r="K332" s="28" t="str">
        <f aca="false">IF(OR($I332="",$I332="?",$D332&lt;&gt;"Advance",$B332=""),"",$I332&amp;"|"&amp;$J332&amp;"|"&amp;COUNTIFS($I$6:$I332,$I332,$J$6:$J332,$J332,$D$6:$D332,"Advance"))</f>
        <v/>
      </c>
      <c r="L332" s="29" t="str">
        <f aca="false">IF(OR($I332="",$I332="?",$B332=""),"",SUMPRODUCT((Weeks!$A$6:$A$58&lt;=$J332)*(Weeks!$Z$4:$AK$4=$I332)*Weeks!$Z$6:$AK$58)-SUMIFS($E$6:$E$1005,$I$6:$I$1005,$I332,$B$6:$B$1005,"&lt;="&amp;$B332))</f>
        <v/>
      </c>
      <c r="M332" s="19" t="str">
        <f aca="false">IF($B332&amp;$C332&amp;$D332&amp;$E332="","",IF($B332="","missing date",IF($C332="","missing worker",IF($I332="?","unknown worker - was the name changed on Workers?",IF($D332="","missing type",IF(N($E332)=0,"missing amount",IF(AND($E332&lt;0,$D332&lt;&gt;"Correction"),"negative amount - use a Correction to undo",IF(OR($B332&lt;Weeks!$A$6,$B332&gt;Weeks!$B$58),"date outside this workbook's year",IF(AND($D332="Advance",N($L332)&lt;0),"Warning: more than earned so far - worker now owes "&amp;ROUND(-$L332,0),"")))))))))</f>
        <v/>
      </c>
    </row>
    <row r="333" customFormat="false" ht="15" hidden="false" customHeight="false" outlineLevel="0" collapsed="false">
      <c r="A333" s="24" t="str">
        <f aca="false">IF($B333="","",ROW()-5)</f>
        <v/>
      </c>
      <c r="B333" s="25"/>
      <c r="C333" s="20"/>
      <c r="D333" s="26"/>
      <c r="E333" s="27"/>
      <c r="F333" s="20"/>
      <c r="G333" s="20"/>
      <c r="H333" s="26"/>
      <c r="I333" s="24" t="str">
        <f aca="false">IF($C333="","",IFERROR(INDEX(WorkerIDs,MATCH($C333,WorkerNames,0)),"?"))</f>
        <v/>
      </c>
      <c r="J333" s="18" t="str">
        <f aca="false">IF($B333="","",$B333-WEEKDAY($B333,2)+1)</f>
        <v/>
      </c>
      <c r="K333" s="28" t="str">
        <f aca="false">IF(OR($I333="",$I333="?",$D333&lt;&gt;"Advance",$B333=""),"",$I333&amp;"|"&amp;$J333&amp;"|"&amp;COUNTIFS($I$6:$I333,$I333,$J$6:$J333,$J333,$D$6:$D333,"Advance"))</f>
        <v/>
      </c>
      <c r="L333" s="29" t="str">
        <f aca="false">IF(OR($I333="",$I333="?",$B333=""),"",SUMPRODUCT((Weeks!$A$6:$A$58&lt;=$J333)*(Weeks!$Z$4:$AK$4=$I333)*Weeks!$Z$6:$AK$58)-SUMIFS($E$6:$E$1005,$I$6:$I$1005,$I333,$B$6:$B$1005,"&lt;="&amp;$B333))</f>
        <v/>
      </c>
      <c r="M333" s="19" t="str">
        <f aca="false">IF($B333&amp;$C333&amp;$D333&amp;$E333="","",IF($B333="","missing date",IF($C333="","missing worker",IF($I333="?","unknown worker - was the name changed on Workers?",IF($D333="","missing type",IF(N($E333)=0,"missing amount",IF(AND($E333&lt;0,$D333&lt;&gt;"Correction"),"negative amount - use a Correction to undo",IF(OR($B333&lt;Weeks!$A$6,$B333&gt;Weeks!$B$58),"date outside this workbook's year",IF(AND($D333="Advance",N($L333)&lt;0),"Warning: more than earned so far - worker now owes "&amp;ROUND(-$L333,0),"")))))))))</f>
        <v/>
      </c>
    </row>
    <row r="334" customFormat="false" ht="15" hidden="false" customHeight="false" outlineLevel="0" collapsed="false">
      <c r="A334" s="24" t="str">
        <f aca="false">IF($B334="","",ROW()-5)</f>
        <v/>
      </c>
      <c r="B334" s="25"/>
      <c r="C334" s="20"/>
      <c r="D334" s="26"/>
      <c r="E334" s="27"/>
      <c r="F334" s="20"/>
      <c r="G334" s="20"/>
      <c r="H334" s="26"/>
      <c r="I334" s="24" t="str">
        <f aca="false">IF($C334="","",IFERROR(INDEX(WorkerIDs,MATCH($C334,WorkerNames,0)),"?"))</f>
        <v/>
      </c>
      <c r="J334" s="18" t="str">
        <f aca="false">IF($B334="","",$B334-WEEKDAY($B334,2)+1)</f>
        <v/>
      </c>
      <c r="K334" s="28" t="str">
        <f aca="false">IF(OR($I334="",$I334="?",$D334&lt;&gt;"Advance",$B334=""),"",$I334&amp;"|"&amp;$J334&amp;"|"&amp;COUNTIFS($I$6:$I334,$I334,$J$6:$J334,$J334,$D$6:$D334,"Advance"))</f>
        <v/>
      </c>
      <c r="L334" s="29" t="str">
        <f aca="false">IF(OR($I334="",$I334="?",$B334=""),"",SUMPRODUCT((Weeks!$A$6:$A$58&lt;=$J334)*(Weeks!$Z$4:$AK$4=$I334)*Weeks!$Z$6:$AK$58)-SUMIFS($E$6:$E$1005,$I$6:$I$1005,$I334,$B$6:$B$1005,"&lt;="&amp;$B334))</f>
        <v/>
      </c>
      <c r="M334" s="19" t="str">
        <f aca="false">IF($B334&amp;$C334&amp;$D334&amp;$E334="","",IF($B334="","missing date",IF($C334="","missing worker",IF($I334="?","unknown worker - was the name changed on Workers?",IF($D334="","missing type",IF(N($E334)=0,"missing amount",IF(AND($E334&lt;0,$D334&lt;&gt;"Correction"),"negative amount - use a Correction to undo",IF(OR($B334&lt;Weeks!$A$6,$B334&gt;Weeks!$B$58),"date outside this workbook's year",IF(AND($D334="Advance",N($L334)&lt;0),"Warning: more than earned so far - worker now owes "&amp;ROUND(-$L334,0),"")))))))))</f>
        <v/>
      </c>
    </row>
    <row r="335" customFormat="false" ht="15" hidden="false" customHeight="false" outlineLevel="0" collapsed="false">
      <c r="A335" s="24" t="str">
        <f aca="false">IF($B335="","",ROW()-5)</f>
        <v/>
      </c>
      <c r="B335" s="25"/>
      <c r="C335" s="20"/>
      <c r="D335" s="26"/>
      <c r="E335" s="27"/>
      <c r="F335" s="20"/>
      <c r="G335" s="20"/>
      <c r="H335" s="26"/>
      <c r="I335" s="24" t="str">
        <f aca="false">IF($C335="","",IFERROR(INDEX(WorkerIDs,MATCH($C335,WorkerNames,0)),"?"))</f>
        <v/>
      </c>
      <c r="J335" s="18" t="str">
        <f aca="false">IF($B335="","",$B335-WEEKDAY($B335,2)+1)</f>
        <v/>
      </c>
      <c r="K335" s="28" t="str">
        <f aca="false">IF(OR($I335="",$I335="?",$D335&lt;&gt;"Advance",$B335=""),"",$I335&amp;"|"&amp;$J335&amp;"|"&amp;COUNTIFS($I$6:$I335,$I335,$J$6:$J335,$J335,$D$6:$D335,"Advance"))</f>
        <v/>
      </c>
      <c r="L335" s="29" t="str">
        <f aca="false">IF(OR($I335="",$I335="?",$B335=""),"",SUMPRODUCT((Weeks!$A$6:$A$58&lt;=$J335)*(Weeks!$Z$4:$AK$4=$I335)*Weeks!$Z$6:$AK$58)-SUMIFS($E$6:$E$1005,$I$6:$I$1005,$I335,$B$6:$B$1005,"&lt;="&amp;$B335))</f>
        <v/>
      </c>
      <c r="M335" s="19" t="str">
        <f aca="false">IF($B335&amp;$C335&amp;$D335&amp;$E335="","",IF($B335="","missing date",IF($C335="","missing worker",IF($I335="?","unknown worker - was the name changed on Workers?",IF($D335="","missing type",IF(N($E335)=0,"missing amount",IF(AND($E335&lt;0,$D335&lt;&gt;"Correction"),"negative amount - use a Correction to undo",IF(OR($B335&lt;Weeks!$A$6,$B335&gt;Weeks!$B$58),"date outside this workbook's year",IF(AND($D335="Advance",N($L335)&lt;0),"Warning: more than earned so far - worker now owes "&amp;ROUND(-$L335,0),"")))))))))</f>
        <v/>
      </c>
    </row>
    <row r="336" customFormat="false" ht="15" hidden="false" customHeight="false" outlineLevel="0" collapsed="false">
      <c r="A336" s="24" t="str">
        <f aca="false">IF($B336="","",ROW()-5)</f>
        <v/>
      </c>
      <c r="B336" s="25"/>
      <c r="C336" s="20"/>
      <c r="D336" s="26"/>
      <c r="E336" s="27"/>
      <c r="F336" s="20"/>
      <c r="G336" s="20"/>
      <c r="H336" s="26"/>
      <c r="I336" s="24" t="str">
        <f aca="false">IF($C336="","",IFERROR(INDEX(WorkerIDs,MATCH($C336,WorkerNames,0)),"?"))</f>
        <v/>
      </c>
      <c r="J336" s="18" t="str">
        <f aca="false">IF($B336="","",$B336-WEEKDAY($B336,2)+1)</f>
        <v/>
      </c>
      <c r="K336" s="28" t="str">
        <f aca="false">IF(OR($I336="",$I336="?",$D336&lt;&gt;"Advance",$B336=""),"",$I336&amp;"|"&amp;$J336&amp;"|"&amp;COUNTIFS($I$6:$I336,$I336,$J$6:$J336,$J336,$D$6:$D336,"Advance"))</f>
        <v/>
      </c>
      <c r="L336" s="29" t="str">
        <f aca="false">IF(OR($I336="",$I336="?",$B336=""),"",SUMPRODUCT((Weeks!$A$6:$A$58&lt;=$J336)*(Weeks!$Z$4:$AK$4=$I336)*Weeks!$Z$6:$AK$58)-SUMIFS($E$6:$E$1005,$I$6:$I$1005,$I336,$B$6:$B$1005,"&lt;="&amp;$B336))</f>
        <v/>
      </c>
      <c r="M336" s="19" t="str">
        <f aca="false">IF($B336&amp;$C336&amp;$D336&amp;$E336="","",IF($B336="","missing date",IF($C336="","missing worker",IF($I336="?","unknown worker - was the name changed on Workers?",IF($D336="","missing type",IF(N($E336)=0,"missing amount",IF(AND($E336&lt;0,$D336&lt;&gt;"Correction"),"negative amount - use a Correction to undo",IF(OR($B336&lt;Weeks!$A$6,$B336&gt;Weeks!$B$58),"date outside this workbook's year",IF(AND($D336="Advance",N($L336)&lt;0),"Warning: more than earned so far - worker now owes "&amp;ROUND(-$L336,0),"")))))))))</f>
        <v/>
      </c>
    </row>
    <row r="337" customFormat="false" ht="15" hidden="false" customHeight="false" outlineLevel="0" collapsed="false">
      <c r="A337" s="24" t="str">
        <f aca="false">IF($B337="","",ROW()-5)</f>
        <v/>
      </c>
      <c r="B337" s="25"/>
      <c r="C337" s="20"/>
      <c r="D337" s="26"/>
      <c r="E337" s="27"/>
      <c r="F337" s="20"/>
      <c r="G337" s="20"/>
      <c r="H337" s="26"/>
      <c r="I337" s="24" t="str">
        <f aca="false">IF($C337="","",IFERROR(INDEX(WorkerIDs,MATCH($C337,WorkerNames,0)),"?"))</f>
        <v/>
      </c>
      <c r="J337" s="18" t="str">
        <f aca="false">IF($B337="","",$B337-WEEKDAY($B337,2)+1)</f>
        <v/>
      </c>
      <c r="K337" s="28" t="str">
        <f aca="false">IF(OR($I337="",$I337="?",$D337&lt;&gt;"Advance",$B337=""),"",$I337&amp;"|"&amp;$J337&amp;"|"&amp;COUNTIFS($I$6:$I337,$I337,$J$6:$J337,$J337,$D$6:$D337,"Advance"))</f>
        <v/>
      </c>
      <c r="L337" s="29" t="str">
        <f aca="false">IF(OR($I337="",$I337="?",$B337=""),"",SUMPRODUCT((Weeks!$A$6:$A$58&lt;=$J337)*(Weeks!$Z$4:$AK$4=$I337)*Weeks!$Z$6:$AK$58)-SUMIFS($E$6:$E$1005,$I$6:$I$1005,$I337,$B$6:$B$1005,"&lt;="&amp;$B337))</f>
        <v/>
      </c>
      <c r="M337" s="19" t="str">
        <f aca="false">IF($B337&amp;$C337&amp;$D337&amp;$E337="","",IF($B337="","missing date",IF($C337="","missing worker",IF($I337="?","unknown worker - was the name changed on Workers?",IF($D337="","missing type",IF(N($E337)=0,"missing amount",IF(AND($E337&lt;0,$D337&lt;&gt;"Correction"),"negative amount - use a Correction to undo",IF(OR($B337&lt;Weeks!$A$6,$B337&gt;Weeks!$B$58),"date outside this workbook's year",IF(AND($D337="Advance",N($L337)&lt;0),"Warning: more than earned so far - worker now owes "&amp;ROUND(-$L337,0),"")))))))))</f>
        <v/>
      </c>
    </row>
    <row r="338" customFormat="false" ht="15" hidden="false" customHeight="false" outlineLevel="0" collapsed="false">
      <c r="A338" s="24" t="str">
        <f aca="false">IF($B338="","",ROW()-5)</f>
        <v/>
      </c>
      <c r="B338" s="25"/>
      <c r="C338" s="20"/>
      <c r="D338" s="26"/>
      <c r="E338" s="27"/>
      <c r="F338" s="20"/>
      <c r="G338" s="20"/>
      <c r="H338" s="26"/>
      <c r="I338" s="24" t="str">
        <f aca="false">IF($C338="","",IFERROR(INDEX(WorkerIDs,MATCH($C338,WorkerNames,0)),"?"))</f>
        <v/>
      </c>
      <c r="J338" s="18" t="str">
        <f aca="false">IF($B338="","",$B338-WEEKDAY($B338,2)+1)</f>
        <v/>
      </c>
      <c r="K338" s="28" t="str">
        <f aca="false">IF(OR($I338="",$I338="?",$D338&lt;&gt;"Advance",$B338=""),"",$I338&amp;"|"&amp;$J338&amp;"|"&amp;COUNTIFS($I$6:$I338,$I338,$J$6:$J338,$J338,$D$6:$D338,"Advance"))</f>
        <v/>
      </c>
      <c r="L338" s="29" t="str">
        <f aca="false">IF(OR($I338="",$I338="?",$B338=""),"",SUMPRODUCT((Weeks!$A$6:$A$58&lt;=$J338)*(Weeks!$Z$4:$AK$4=$I338)*Weeks!$Z$6:$AK$58)-SUMIFS($E$6:$E$1005,$I$6:$I$1005,$I338,$B$6:$B$1005,"&lt;="&amp;$B338))</f>
        <v/>
      </c>
      <c r="M338" s="19" t="str">
        <f aca="false">IF($B338&amp;$C338&amp;$D338&amp;$E338="","",IF($B338="","missing date",IF($C338="","missing worker",IF($I338="?","unknown worker - was the name changed on Workers?",IF($D338="","missing type",IF(N($E338)=0,"missing amount",IF(AND($E338&lt;0,$D338&lt;&gt;"Correction"),"negative amount - use a Correction to undo",IF(OR($B338&lt;Weeks!$A$6,$B338&gt;Weeks!$B$58),"date outside this workbook's year",IF(AND($D338="Advance",N($L338)&lt;0),"Warning: more than earned so far - worker now owes "&amp;ROUND(-$L338,0),"")))))))))</f>
        <v/>
      </c>
    </row>
    <row r="339" customFormat="false" ht="15" hidden="false" customHeight="false" outlineLevel="0" collapsed="false">
      <c r="A339" s="24" t="str">
        <f aca="false">IF($B339="","",ROW()-5)</f>
        <v/>
      </c>
      <c r="B339" s="25"/>
      <c r="C339" s="20"/>
      <c r="D339" s="26"/>
      <c r="E339" s="27"/>
      <c r="F339" s="20"/>
      <c r="G339" s="20"/>
      <c r="H339" s="26"/>
      <c r="I339" s="24" t="str">
        <f aca="false">IF($C339="","",IFERROR(INDEX(WorkerIDs,MATCH($C339,WorkerNames,0)),"?"))</f>
        <v/>
      </c>
      <c r="J339" s="18" t="str">
        <f aca="false">IF($B339="","",$B339-WEEKDAY($B339,2)+1)</f>
        <v/>
      </c>
      <c r="K339" s="28" t="str">
        <f aca="false">IF(OR($I339="",$I339="?",$D339&lt;&gt;"Advance",$B339=""),"",$I339&amp;"|"&amp;$J339&amp;"|"&amp;COUNTIFS($I$6:$I339,$I339,$J$6:$J339,$J339,$D$6:$D339,"Advance"))</f>
        <v/>
      </c>
      <c r="L339" s="29" t="str">
        <f aca="false">IF(OR($I339="",$I339="?",$B339=""),"",SUMPRODUCT((Weeks!$A$6:$A$58&lt;=$J339)*(Weeks!$Z$4:$AK$4=$I339)*Weeks!$Z$6:$AK$58)-SUMIFS($E$6:$E$1005,$I$6:$I$1005,$I339,$B$6:$B$1005,"&lt;="&amp;$B339))</f>
        <v/>
      </c>
      <c r="M339" s="19" t="str">
        <f aca="false">IF($B339&amp;$C339&amp;$D339&amp;$E339="","",IF($B339="","missing date",IF($C339="","missing worker",IF($I339="?","unknown worker - was the name changed on Workers?",IF($D339="","missing type",IF(N($E339)=0,"missing amount",IF(AND($E339&lt;0,$D339&lt;&gt;"Correction"),"negative amount - use a Correction to undo",IF(OR($B339&lt;Weeks!$A$6,$B339&gt;Weeks!$B$58),"date outside this workbook's year",IF(AND($D339="Advance",N($L339)&lt;0),"Warning: more than earned so far - worker now owes "&amp;ROUND(-$L339,0),"")))))))))</f>
        <v/>
      </c>
    </row>
    <row r="340" customFormat="false" ht="15" hidden="false" customHeight="false" outlineLevel="0" collapsed="false">
      <c r="A340" s="24" t="str">
        <f aca="false">IF($B340="","",ROW()-5)</f>
        <v/>
      </c>
      <c r="B340" s="25"/>
      <c r="C340" s="20"/>
      <c r="D340" s="26"/>
      <c r="E340" s="27"/>
      <c r="F340" s="20"/>
      <c r="G340" s="20"/>
      <c r="H340" s="26"/>
      <c r="I340" s="24" t="str">
        <f aca="false">IF($C340="","",IFERROR(INDEX(WorkerIDs,MATCH($C340,WorkerNames,0)),"?"))</f>
        <v/>
      </c>
      <c r="J340" s="18" t="str">
        <f aca="false">IF($B340="","",$B340-WEEKDAY($B340,2)+1)</f>
        <v/>
      </c>
      <c r="K340" s="28" t="str">
        <f aca="false">IF(OR($I340="",$I340="?",$D340&lt;&gt;"Advance",$B340=""),"",$I340&amp;"|"&amp;$J340&amp;"|"&amp;COUNTIFS($I$6:$I340,$I340,$J$6:$J340,$J340,$D$6:$D340,"Advance"))</f>
        <v/>
      </c>
      <c r="L340" s="29" t="str">
        <f aca="false">IF(OR($I340="",$I340="?",$B340=""),"",SUMPRODUCT((Weeks!$A$6:$A$58&lt;=$J340)*(Weeks!$Z$4:$AK$4=$I340)*Weeks!$Z$6:$AK$58)-SUMIFS($E$6:$E$1005,$I$6:$I$1005,$I340,$B$6:$B$1005,"&lt;="&amp;$B340))</f>
        <v/>
      </c>
      <c r="M340" s="19" t="str">
        <f aca="false">IF($B340&amp;$C340&amp;$D340&amp;$E340="","",IF($B340="","missing date",IF($C340="","missing worker",IF($I340="?","unknown worker - was the name changed on Workers?",IF($D340="","missing type",IF(N($E340)=0,"missing amount",IF(AND($E340&lt;0,$D340&lt;&gt;"Correction"),"negative amount - use a Correction to undo",IF(OR($B340&lt;Weeks!$A$6,$B340&gt;Weeks!$B$58),"date outside this workbook's year",IF(AND($D340="Advance",N($L340)&lt;0),"Warning: more than earned so far - worker now owes "&amp;ROUND(-$L340,0),"")))))))))</f>
        <v/>
      </c>
    </row>
    <row r="341" customFormat="false" ht="15" hidden="false" customHeight="false" outlineLevel="0" collapsed="false">
      <c r="A341" s="24" t="str">
        <f aca="false">IF($B341="","",ROW()-5)</f>
        <v/>
      </c>
      <c r="B341" s="25"/>
      <c r="C341" s="20"/>
      <c r="D341" s="26"/>
      <c r="E341" s="27"/>
      <c r="F341" s="20"/>
      <c r="G341" s="20"/>
      <c r="H341" s="26"/>
      <c r="I341" s="24" t="str">
        <f aca="false">IF($C341="","",IFERROR(INDEX(WorkerIDs,MATCH($C341,WorkerNames,0)),"?"))</f>
        <v/>
      </c>
      <c r="J341" s="18" t="str">
        <f aca="false">IF($B341="","",$B341-WEEKDAY($B341,2)+1)</f>
        <v/>
      </c>
      <c r="K341" s="28" t="str">
        <f aca="false">IF(OR($I341="",$I341="?",$D341&lt;&gt;"Advance",$B341=""),"",$I341&amp;"|"&amp;$J341&amp;"|"&amp;COUNTIFS($I$6:$I341,$I341,$J$6:$J341,$J341,$D$6:$D341,"Advance"))</f>
        <v/>
      </c>
      <c r="L341" s="29" t="str">
        <f aca="false">IF(OR($I341="",$I341="?",$B341=""),"",SUMPRODUCT((Weeks!$A$6:$A$58&lt;=$J341)*(Weeks!$Z$4:$AK$4=$I341)*Weeks!$Z$6:$AK$58)-SUMIFS($E$6:$E$1005,$I$6:$I$1005,$I341,$B$6:$B$1005,"&lt;="&amp;$B341))</f>
        <v/>
      </c>
      <c r="M341" s="19" t="str">
        <f aca="false">IF($B341&amp;$C341&amp;$D341&amp;$E341="","",IF($B341="","missing date",IF($C341="","missing worker",IF($I341="?","unknown worker - was the name changed on Workers?",IF($D341="","missing type",IF(N($E341)=0,"missing amount",IF(AND($E341&lt;0,$D341&lt;&gt;"Correction"),"negative amount - use a Correction to undo",IF(OR($B341&lt;Weeks!$A$6,$B341&gt;Weeks!$B$58),"date outside this workbook's year",IF(AND($D341="Advance",N($L341)&lt;0),"Warning: more than earned so far - worker now owes "&amp;ROUND(-$L341,0),"")))))))))</f>
        <v/>
      </c>
    </row>
    <row r="342" customFormat="false" ht="15" hidden="false" customHeight="false" outlineLevel="0" collapsed="false">
      <c r="A342" s="24" t="str">
        <f aca="false">IF($B342="","",ROW()-5)</f>
        <v/>
      </c>
      <c r="B342" s="25"/>
      <c r="C342" s="20"/>
      <c r="D342" s="26"/>
      <c r="E342" s="27"/>
      <c r="F342" s="20"/>
      <c r="G342" s="20"/>
      <c r="H342" s="26"/>
      <c r="I342" s="24" t="str">
        <f aca="false">IF($C342="","",IFERROR(INDEX(WorkerIDs,MATCH($C342,WorkerNames,0)),"?"))</f>
        <v/>
      </c>
      <c r="J342" s="18" t="str">
        <f aca="false">IF($B342="","",$B342-WEEKDAY($B342,2)+1)</f>
        <v/>
      </c>
      <c r="K342" s="28" t="str">
        <f aca="false">IF(OR($I342="",$I342="?",$D342&lt;&gt;"Advance",$B342=""),"",$I342&amp;"|"&amp;$J342&amp;"|"&amp;COUNTIFS($I$6:$I342,$I342,$J$6:$J342,$J342,$D$6:$D342,"Advance"))</f>
        <v/>
      </c>
      <c r="L342" s="29" t="str">
        <f aca="false">IF(OR($I342="",$I342="?",$B342=""),"",SUMPRODUCT((Weeks!$A$6:$A$58&lt;=$J342)*(Weeks!$Z$4:$AK$4=$I342)*Weeks!$Z$6:$AK$58)-SUMIFS($E$6:$E$1005,$I$6:$I$1005,$I342,$B$6:$B$1005,"&lt;="&amp;$B342))</f>
        <v/>
      </c>
      <c r="M342" s="19" t="str">
        <f aca="false">IF($B342&amp;$C342&amp;$D342&amp;$E342="","",IF($B342="","missing date",IF($C342="","missing worker",IF($I342="?","unknown worker - was the name changed on Workers?",IF($D342="","missing type",IF(N($E342)=0,"missing amount",IF(AND($E342&lt;0,$D342&lt;&gt;"Correction"),"negative amount - use a Correction to undo",IF(OR($B342&lt;Weeks!$A$6,$B342&gt;Weeks!$B$58),"date outside this workbook's year",IF(AND($D342="Advance",N($L342)&lt;0),"Warning: more than earned so far - worker now owes "&amp;ROUND(-$L342,0),"")))))))))</f>
        <v/>
      </c>
    </row>
    <row r="343" customFormat="false" ht="15" hidden="false" customHeight="false" outlineLevel="0" collapsed="false">
      <c r="A343" s="24" t="str">
        <f aca="false">IF($B343="","",ROW()-5)</f>
        <v/>
      </c>
      <c r="B343" s="25"/>
      <c r="C343" s="20"/>
      <c r="D343" s="26"/>
      <c r="E343" s="27"/>
      <c r="F343" s="20"/>
      <c r="G343" s="20"/>
      <c r="H343" s="26"/>
      <c r="I343" s="24" t="str">
        <f aca="false">IF($C343="","",IFERROR(INDEX(WorkerIDs,MATCH($C343,WorkerNames,0)),"?"))</f>
        <v/>
      </c>
      <c r="J343" s="18" t="str">
        <f aca="false">IF($B343="","",$B343-WEEKDAY($B343,2)+1)</f>
        <v/>
      </c>
      <c r="K343" s="28" t="str">
        <f aca="false">IF(OR($I343="",$I343="?",$D343&lt;&gt;"Advance",$B343=""),"",$I343&amp;"|"&amp;$J343&amp;"|"&amp;COUNTIFS($I$6:$I343,$I343,$J$6:$J343,$J343,$D$6:$D343,"Advance"))</f>
        <v/>
      </c>
      <c r="L343" s="29" t="str">
        <f aca="false">IF(OR($I343="",$I343="?",$B343=""),"",SUMPRODUCT((Weeks!$A$6:$A$58&lt;=$J343)*(Weeks!$Z$4:$AK$4=$I343)*Weeks!$Z$6:$AK$58)-SUMIFS($E$6:$E$1005,$I$6:$I$1005,$I343,$B$6:$B$1005,"&lt;="&amp;$B343))</f>
        <v/>
      </c>
      <c r="M343" s="19" t="str">
        <f aca="false">IF($B343&amp;$C343&amp;$D343&amp;$E343="","",IF($B343="","missing date",IF($C343="","missing worker",IF($I343="?","unknown worker - was the name changed on Workers?",IF($D343="","missing type",IF(N($E343)=0,"missing amount",IF(AND($E343&lt;0,$D343&lt;&gt;"Correction"),"negative amount - use a Correction to undo",IF(OR($B343&lt;Weeks!$A$6,$B343&gt;Weeks!$B$58),"date outside this workbook's year",IF(AND($D343="Advance",N($L343)&lt;0),"Warning: more than earned so far - worker now owes "&amp;ROUND(-$L343,0),"")))))))))</f>
        <v/>
      </c>
    </row>
    <row r="344" customFormat="false" ht="15" hidden="false" customHeight="false" outlineLevel="0" collapsed="false">
      <c r="A344" s="24" t="str">
        <f aca="false">IF($B344="","",ROW()-5)</f>
        <v/>
      </c>
      <c r="B344" s="25"/>
      <c r="C344" s="20"/>
      <c r="D344" s="26"/>
      <c r="E344" s="27"/>
      <c r="F344" s="20"/>
      <c r="G344" s="20"/>
      <c r="H344" s="26"/>
      <c r="I344" s="24" t="str">
        <f aca="false">IF($C344="","",IFERROR(INDEX(WorkerIDs,MATCH($C344,WorkerNames,0)),"?"))</f>
        <v/>
      </c>
      <c r="J344" s="18" t="str">
        <f aca="false">IF($B344="","",$B344-WEEKDAY($B344,2)+1)</f>
        <v/>
      </c>
      <c r="K344" s="28" t="str">
        <f aca="false">IF(OR($I344="",$I344="?",$D344&lt;&gt;"Advance",$B344=""),"",$I344&amp;"|"&amp;$J344&amp;"|"&amp;COUNTIFS($I$6:$I344,$I344,$J$6:$J344,$J344,$D$6:$D344,"Advance"))</f>
        <v/>
      </c>
      <c r="L344" s="29" t="str">
        <f aca="false">IF(OR($I344="",$I344="?",$B344=""),"",SUMPRODUCT((Weeks!$A$6:$A$58&lt;=$J344)*(Weeks!$Z$4:$AK$4=$I344)*Weeks!$Z$6:$AK$58)-SUMIFS($E$6:$E$1005,$I$6:$I$1005,$I344,$B$6:$B$1005,"&lt;="&amp;$B344))</f>
        <v/>
      </c>
      <c r="M344" s="19" t="str">
        <f aca="false">IF($B344&amp;$C344&amp;$D344&amp;$E344="","",IF($B344="","missing date",IF($C344="","missing worker",IF($I344="?","unknown worker - was the name changed on Workers?",IF($D344="","missing type",IF(N($E344)=0,"missing amount",IF(AND($E344&lt;0,$D344&lt;&gt;"Correction"),"negative amount - use a Correction to undo",IF(OR($B344&lt;Weeks!$A$6,$B344&gt;Weeks!$B$58),"date outside this workbook's year",IF(AND($D344="Advance",N($L344)&lt;0),"Warning: more than earned so far - worker now owes "&amp;ROUND(-$L344,0),"")))))))))</f>
        <v/>
      </c>
    </row>
    <row r="345" customFormat="false" ht="15" hidden="false" customHeight="false" outlineLevel="0" collapsed="false">
      <c r="A345" s="24" t="str">
        <f aca="false">IF($B345="","",ROW()-5)</f>
        <v/>
      </c>
      <c r="B345" s="25"/>
      <c r="C345" s="20"/>
      <c r="D345" s="26"/>
      <c r="E345" s="27"/>
      <c r="F345" s="20"/>
      <c r="G345" s="20"/>
      <c r="H345" s="26"/>
      <c r="I345" s="24" t="str">
        <f aca="false">IF($C345="","",IFERROR(INDEX(WorkerIDs,MATCH($C345,WorkerNames,0)),"?"))</f>
        <v/>
      </c>
      <c r="J345" s="18" t="str">
        <f aca="false">IF($B345="","",$B345-WEEKDAY($B345,2)+1)</f>
        <v/>
      </c>
      <c r="K345" s="28" t="str">
        <f aca="false">IF(OR($I345="",$I345="?",$D345&lt;&gt;"Advance",$B345=""),"",$I345&amp;"|"&amp;$J345&amp;"|"&amp;COUNTIFS($I$6:$I345,$I345,$J$6:$J345,$J345,$D$6:$D345,"Advance"))</f>
        <v/>
      </c>
      <c r="L345" s="29" t="str">
        <f aca="false">IF(OR($I345="",$I345="?",$B345=""),"",SUMPRODUCT((Weeks!$A$6:$A$58&lt;=$J345)*(Weeks!$Z$4:$AK$4=$I345)*Weeks!$Z$6:$AK$58)-SUMIFS($E$6:$E$1005,$I$6:$I$1005,$I345,$B$6:$B$1005,"&lt;="&amp;$B345))</f>
        <v/>
      </c>
      <c r="M345" s="19" t="str">
        <f aca="false">IF($B345&amp;$C345&amp;$D345&amp;$E345="","",IF($B345="","missing date",IF($C345="","missing worker",IF($I345="?","unknown worker - was the name changed on Workers?",IF($D345="","missing type",IF(N($E345)=0,"missing amount",IF(AND($E345&lt;0,$D345&lt;&gt;"Correction"),"negative amount - use a Correction to undo",IF(OR($B345&lt;Weeks!$A$6,$B345&gt;Weeks!$B$58),"date outside this workbook's year",IF(AND($D345="Advance",N($L345)&lt;0),"Warning: more than earned so far - worker now owes "&amp;ROUND(-$L345,0),"")))))))))</f>
        <v/>
      </c>
    </row>
    <row r="346" customFormat="false" ht="15" hidden="false" customHeight="false" outlineLevel="0" collapsed="false">
      <c r="A346" s="24" t="str">
        <f aca="false">IF($B346="","",ROW()-5)</f>
        <v/>
      </c>
      <c r="B346" s="25"/>
      <c r="C346" s="20"/>
      <c r="D346" s="26"/>
      <c r="E346" s="27"/>
      <c r="F346" s="20"/>
      <c r="G346" s="20"/>
      <c r="H346" s="26"/>
      <c r="I346" s="24" t="str">
        <f aca="false">IF($C346="","",IFERROR(INDEX(WorkerIDs,MATCH($C346,WorkerNames,0)),"?"))</f>
        <v/>
      </c>
      <c r="J346" s="18" t="str">
        <f aca="false">IF($B346="","",$B346-WEEKDAY($B346,2)+1)</f>
        <v/>
      </c>
      <c r="K346" s="28" t="str">
        <f aca="false">IF(OR($I346="",$I346="?",$D346&lt;&gt;"Advance",$B346=""),"",$I346&amp;"|"&amp;$J346&amp;"|"&amp;COUNTIFS($I$6:$I346,$I346,$J$6:$J346,$J346,$D$6:$D346,"Advance"))</f>
        <v/>
      </c>
      <c r="L346" s="29" t="str">
        <f aca="false">IF(OR($I346="",$I346="?",$B346=""),"",SUMPRODUCT((Weeks!$A$6:$A$58&lt;=$J346)*(Weeks!$Z$4:$AK$4=$I346)*Weeks!$Z$6:$AK$58)-SUMIFS($E$6:$E$1005,$I$6:$I$1005,$I346,$B$6:$B$1005,"&lt;="&amp;$B346))</f>
        <v/>
      </c>
      <c r="M346" s="19" t="str">
        <f aca="false">IF($B346&amp;$C346&amp;$D346&amp;$E346="","",IF($B346="","missing date",IF($C346="","missing worker",IF($I346="?","unknown worker - was the name changed on Workers?",IF($D346="","missing type",IF(N($E346)=0,"missing amount",IF(AND($E346&lt;0,$D346&lt;&gt;"Correction"),"negative amount - use a Correction to undo",IF(OR($B346&lt;Weeks!$A$6,$B346&gt;Weeks!$B$58),"date outside this workbook's year",IF(AND($D346="Advance",N($L346)&lt;0),"Warning: more than earned so far - worker now owes "&amp;ROUND(-$L346,0),"")))))))))</f>
        <v/>
      </c>
    </row>
    <row r="347" customFormat="false" ht="15" hidden="false" customHeight="false" outlineLevel="0" collapsed="false">
      <c r="A347" s="24" t="str">
        <f aca="false">IF($B347="","",ROW()-5)</f>
        <v/>
      </c>
      <c r="B347" s="25"/>
      <c r="C347" s="20"/>
      <c r="D347" s="26"/>
      <c r="E347" s="27"/>
      <c r="F347" s="20"/>
      <c r="G347" s="20"/>
      <c r="H347" s="26"/>
      <c r="I347" s="24" t="str">
        <f aca="false">IF($C347="","",IFERROR(INDEX(WorkerIDs,MATCH($C347,WorkerNames,0)),"?"))</f>
        <v/>
      </c>
      <c r="J347" s="18" t="str">
        <f aca="false">IF($B347="","",$B347-WEEKDAY($B347,2)+1)</f>
        <v/>
      </c>
      <c r="K347" s="28" t="str">
        <f aca="false">IF(OR($I347="",$I347="?",$D347&lt;&gt;"Advance",$B347=""),"",$I347&amp;"|"&amp;$J347&amp;"|"&amp;COUNTIFS($I$6:$I347,$I347,$J$6:$J347,$J347,$D$6:$D347,"Advance"))</f>
        <v/>
      </c>
      <c r="L347" s="29" t="str">
        <f aca="false">IF(OR($I347="",$I347="?",$B347=""),"",SUMPRODUCT((Weeks!$A$6:$A$58&lt;=$J347)*(Weeks!$Z$4:$AK$4=$I347)*Weeks!$Z$6:$AK$58)-SUMIFS($E$6:$E$1005,$I$6:$I$1005,$I347,$B$6:$B$1005,"&lt;="&amp;$B347))</f>
        <v/>
      </c>
      <c r="M347" s="19" t="str">
        <f aca="false">IF($B347&amp;$C347&amp;$D347&amp;$E347="","",IF($B347="","missing date",IF($C347="","missing worker",IF($I347="?","unknown worker - was the name changed on Workers?",IF($D347="","missing type",IF(N($E347)=0,"missing amount",IF(AND($E347&lt;0,$D347&lt;&gt;"Correction"),"negative amount - use a Correction to undo",IF(OR($B347&lt;Weeks!$A$6,$B347&gt;Weeks!$B$58),"date outside this workbook's year",IF(AND($D347="Advance",N($L347)&lt;0),"Warning: more than earned so far - worker now owes "&amp;ROUND(-$L347,0),"")))))))))</f>
        <v/>
      </c>
    </row>
    <row r="348" customFormat="false" ht="15" hidden="false" customHeight="false" outlineLevel="0" collapsed="false">
      <c r="A348" s="24" t="str">
        <f aca="false">IF($B348="","",ROW()-5)</f>
        <v/>
      </c>
      <c r="B348" s="25"/>
      <c r="C348" s="20"/>
      <c r="D348" s="26"/>
      <c r="E348" s="27"/>
      <c r="F348" s="20"/>
      <c r="G348" s="20"/>
      <c r="H348" s="26"/>
      <c r="I348" s="24" t="str">
        <f aca="false">IF($C348="","",IFERROR(INDEX(WorkerIDs,MATCH($C348,WorkerNames,0)),"?"))</f>
        <v/>
      </c>
      <c r="J348" s="18" t="str">
        <f aca="false">IF($B348="","",$B348-WEEKDAY($B348,2)+1)</f>
        <v/>
      </c>
      <c r="K348" s="28" t="str">
        <f aca="false">IF(OR($I348="",$I348="?",$D348&lt;&gt;"Advance",$B348=""),"",$I348&amp;"|"&amp;$J348&amp;"|"&amp;COUNTIFS($I$6:$I348,$I348,$J$6:$J348,$J348,$D$6:$D348,"Advance"))</f>
        <v/>
      </c>
      <c r="L348" s="29" t="str">
        <f aca="false">IF(OR($I348="",$I348="?",$B348=""),"",SUMPRODUCT((Weeks!$A$6:$A$58&lt;=$J348)*(Weeks!$Z$4:$AK$4=$I348)*Weeks!$Z$6:$AK$58)-SUMIFS($E$6:$E$1005,$I$6:$I$1005,$I348,$B$6:$B$1005,"&lt;="&amp;$B348))</f>
        <v/>
      </c>
      <c r="M348" s="19" t="str">
        <f aca="false">IF($B348&amp;$C348&amp;$D348&amp;$E348="","",IF($B348="","missing date",IF($C348="","missing worker",IF($I348="?","unknown worker - was the name changed on Workers?",IF($D348="","missing type",IF(N($E348)=0,"missing amount",IF(AND($E348&lt;0,$D348&lt;&gt;"Correction"),"negative amount - use a Correction to undo",IF(OR($B348&lt;Weeks!$A$6,$B348&gt;Weeks!$B$58),"date outside this workbook's year",IF(AND($D348="Advance",N($L348)&lt;0),"Warning: more than earned so far - worker now owes "&amp;ROUND(-$L348,0),"")))))))))</f>
        <v/>
      </c>
    </row>
    <row r="349" customFormat="false" ht="15" hidden="false" customHeight="false" outlineLevel="0" collapsed="false">
      <c r="A349" s="24" t="str">
        <f aca="false">IF($B349="","",ROW()-5)</f>
        <v/>
      </c>
      <c r="B349" s="25"/>
      <c r="C349" s="20"/>
      <c r="D349" s="26"/>
      <c r="E349" s="27"/>
      <c r="F349" s="20"/>
      <c r="G349" s="20"/>
      <c r="H349" s="26"/>
      <c r="I349" s="24" t="str">
        <f aca="false">IF($C349="","",IFERROR(INDEX(WorkerIDs,MATCH($C349,WorkerNames,0)),"?"))</f>
        <v/>
      </c>
      <c r="J349" s="18" t="str">
        <f aca="false">IF($B349="","",$B349-WEEKDAY($B349,2)+1)</f>
        <v/>
      </c>
      <c r="K349" s="28" t="str">
        <f aca="false">IF(OR($I349="",$I349="?",$D349&lt;&gt;"Advance",$B349=""),"",$I349&amp;"|"&amp;$J349&amp;"|"&amp;COUNTIFS($I$6:$I349,$I349,$J$6:$J349,$J349,$D$6:$D349,"Advance"))</f>
        <v/>
      </c>
      <c r="L349" s="29" t="str">
        <f aca="false">IF(OR($I349="",$I349="?",$B349=""),"",SUMPRODUCT((Weeks!$A$6:$A$58&lt;=$J349)*(Weeks!$Z$4:$AK$4=$I349)*Weeks!$Z$6:$AK$58)-SUMIFS($E$6:$E$1005,$I$6:$I$1005,$I349,$B$6:$B$1005,"&lt;="&amp;$B349))</f>
        <v/>
      </c>
      <c r="M349" s="19" t="str">
        <f aca="false">IF($B349&amp;$C349&amp;$D349&amp;$E349="","",IF($B349="","missing date",IF($C349="","missing worker",IF($I349="?","unknown worker - was the name changed on Workers?",IF($D349="","missing type",IF(N($E349)=0,"missing amount",IF(AND($E349&lt;0,$D349&lt;&gt;"Correction"),"negative amount - use a Correction to undo",IF(OR($B349&lt;Weeks!$A$6,$B349&gt;Weeks!$B$58),"date outside this workbook's year",IF(AND($D349="Advance",N($L349)&lt;0),"Warning: more than earned so far - worker now owes "&amp;ROUND(-$L349,0),"")))))))))</f>
        <v/>
      </c>
    </row>
    <row r="350" customFormat="false" ht="15" hidden="false" customHeight="false" outlineLevel="0" collapsed="false">
      <c r="A350" s="24" t="str">
        <f aca="false">IF($B350="","",ROW()-5)</f>
        <v/>
      </c>
      <c r="B350" s="25"/>
      <c r="C350" s="20"/>
      <c r="D350" s="26"/>
      <c r="E350" s="27"/>
      <c r="F350" s="20"/>
      <c r="G350" s="20"/>
      <c r="H350" s="26"/>
      <c r="I350" s="24" t="str">
        <f aca="false">IF($C350="","",IFERROR(INDEX(WorkerIDs,MATCH($C350,WorkerNames,0)),"?"))</f>
        <v/>
      </c>
      <c r="J350" s="18" t="str">
        <f aca="false">IF($B350="","",$B350-WEEKDAY($B350,2)+1)</f>
        <v/>
      </c>
      <c r="K350" s="28" t="str">
        <f aca="false">IF(OR($I350="",$I350="?",$D350&lt;&gt;"Advance",$B350=""),"",$I350&amp;"|"&amp;$J350&amp;"|"&amp;COUNTIFS($I$6:$I350,$I350,$J$6:$J350,$J350,$D$6:$D350,"Advance"))</f>
        <v/>
      </c>
      <c r="L350" s="29" t="str">
        <f aca="false">IF(OR($I350="",$I350="?",$B350=""),"",SUMPRODUCT((Weeks!$A$6:$A$58&lt;=$J350)*(Weeks!$Z$4:$AK$4=$I350)*Weeks!$Z$6:$AK$58)-SUMIFS($E$6:$E$1005,$I$6:$I$1005,$I350,$B$6:$B$1005,"&lt;="&amp;$B350))</f>
        <v/>
      </c>
      <c r="M350" s="19" t="str">
        <f aca="false">IF($B350&amp;$C350&amp;$D350&amp;$E350="","",IF($B350="","missing date",IF($C350="","missing worker",IF($I350="?","unknown worker - was the name changed on Workers?",IF($D350="","missing type",IF(N($E350)=0,"missing amount",IF(AND($E350&lt;0,$D350&lt;&gt;"Correction"),"negative amount - use a Correction to undo",IF(OR($B350&lt;Weeks!$A$6,$B350&gt;Weeks!$B$58),"date outside this workbook's year",IF(AND($D350="Advance",N($L350)&lt;0),"Warning: more than earned so far - worker now owes "&amp;ROUND(-$L350,0),"")))))))))</f>
        <v/>
      </c>
    </row>
    <row r="351" customFormat="false" ht="15" hidden="false" customHeight="false" outlineLevel="0" collapsed="false">
      <c r="A351" s="24" t="str">
        <f aca="false">IF($B351="","",ROW()-5)</f>
        <v/>
      </c>
      <c r="B351" s="25"/>
      <c r="C351" s="20"/>
      <c r="D351" s="26"/>
      <c r="E351" s="27"/>
      <c r="F351" s="20"/>
      <c r="G351" s="20"/>
      <c r="H351" s="26"/>
      <c r="I351" s="24" t="str">
        <f aca="false">IF($C351="","",IFERROR(INDEX(WorkerIDs,MATCH($C351,WorkerNames,0)),"?"))</f>
        <v/>
      </c>
      <c r="J351" s="18" t="str">
        <f aca="false">IF($B351="","",$B351-WEEKDAY($B351,2)+1)</f>
        <v/>
      </c>
      <c r="K351" s="28" t="str">
        <f aca="false">IF(OR($I351="",$I351="?",$D351&lt;&gt;"Advance",$B351=""),"",$I351&amp;"|"&amp;$J351&amp;"|"&amp;COUNTIFS($I$6:$I351,$I351,$J$6:$J351,$J351,$D$6:$D351,"Advance"))</f>
        <v/>
      </c>
      <c r="L351" s="29" t="str">
        <f aca="false">IF(OR($I351="",$I351="?",$B351=""),"",SUMPRODUCT((Weeks!$A$6:$A$58&lt;=$J351)*(Weeks!$Z$4:$AK$4=$I351)*Weeks!$Z$6:$AK$58)-SUMIFS($E$6:$E$1005,$I$6:$I$1005,$I351,$B$6:$B$1005,"&lt;="&amp;$B351))</f>
        <v/>
      </c>
      <c r="M351" s="19" t="str">
        <f aca="false">IF($B351&amp;$C351&amp;$D351&amp;$E351="","",IF($B351="","missing date",IF($C351="","missing worker",IF($I351="?","unknown worker - was the name changed on Workers?",IF($D351="","missing type",IF(N($E351)=0,"missing amount",IF(AND($E351&lt;0,$D351&lt;&gt;"Correction"),"negative amount - use a Correction to undo",IF(OR($B351&lt;Weeks!$A$6,$B351&gt;Weeks!$B$58),"date outside this workbook's year",IF(AND($D351="Advance",N($L351)&lt;0),"Warning: more than earned so far - worker now owes "&amp;ROUND(-$L351,0),"")))))))))</f>
        <v/>
      </c>
    </row>
    <row r="352" customFormat="false" ht="15" hidden="false" customHeight="false" outlineLevel="0" collapsed="false">
      <c r="A352" s="24" t="str">
        <f aca="false">IF($B352="","",ROW()-5)</f>
        <v/>
      </c>
      <c r="B352" s="25"/>
      <c r="C352" s="20"/>
      <c r="D352" s="26"/>
      <c r="E352" s="27"/>
      <c r="F352" s="20"/>
      <c r="G352" s="20"/>
      <c r="H352" s="26"/>
      <c r="I352" s="24" t="str">
        <f aca="false">IF($C352="","",IFERROR(INDEX(WorkerIDs,MATCH($C352,WorkerNames,0)),"?"))</f>
        <v/>
      </c>
      <c r="J352" s="18" t="str">
        <f aca="false">IF($B352="","",$B352-WEEKDAY($B352,2)+1)</f>
        <v/>
      </c>
      <c r="K352" s="28" t="str">
        <f aca="false">IF(OR($I352="",$I352="?",$D352&lt;&gt;"Advance",$B352=""),"",$I352&amp;"|"&amp;$J352&amp;"|"&amp;COUNTIFS($I$6:$I352,$I352,$J$6:$J352,$J352,$D$6:$D352,"Advance"))</f>
        <v/>
      </c>
      <c r="L352" s="29" t="str">
        <f aca="false">IF(OR($I352="",$I352="?",$B352=""),"",SUMPRODUCT((Weeks!$A$6:$A$58&lt;=$J352)*(Weeks!$Z$4:$AK$4=$I352)*Weeks!$Z$6:$AK$58)-SUMIFS($E$6:$E$1005,$I$6:$I$1005,$I352,$B$6:$B$1005,"&lt;="&amp;$B352))</f>
        <v/>
      </c>
      <c r="M352" s="19" t="str">
        <f aca="false">IF($B352&amp;$C352&amp;$D352&amp;$E352="","",IF($B352="","missing date",IF($C352="","missing worker",IF($I352="?","unknown worker - was the name changed on Workers?",IF($D352="","missing type",IF(N($E352)=0,"missing amount",IF(AND($E352&lt;0,$D352&lt;&gt;"Correction"),"negative amount - use a Correction to undo",IF(OR($B352&lt;Weeks!$A$6,$B352&gt;Weeks!$B$58),"date outside this workbook's year",IF(AND($D352="Advance",N($L352)&lt;0),"Warning: more than earned so far - worker now owes "&amp;ROUND(-$L352,0),"")))))))))</f>
        <v/>
      </c>
    </row>
    <row r="353" customFormat="false" ht="15" hidden="false" customHeight="false" outlineLevel="0" collapsed="false">
      <c r="A353" s="24" t="str">
        <f aca="false">IF($B353="","",ROW()-5)</f>
        <v/>
      </c>
      <c r="B353" s="25"/>
      <c r="C353" s="20"/>
      <c r="D353" s="26"/>
      <c r="E353" s="27"/>
      <c r="F353" s="20"/>
      <c r="G353" s="20"/>
      <c r="H353" s="26"/>
      <c r="I353" s="24" t="str">
        <f aca="false">IF($C353="","",IFERROR(INDEX(WorkerIDs,MATCH($C353,WorkerNames,0)),"?"))</f>
        <v/>
      </c>
      <c r="J353" s="18" t="str">
        <f aca="false">IF($B353="","",$B353-WEEKDAY($B353,2)+1)</f>
        <v/>
      </c>
      <c r="K353" s="28" t="str">
        <f aca="false">IF(OR($I353="",$I353="?",$D353&lt;&gt;"Advance",$B353=""),"",$I353&amp;"|"&amp;$J353&amp;"|"&amp;COUNTIFS($I$6:$I353,$I353,$J$6:$J353,$J353,$D$6:$D353,"Advance"))</f>
        <v/>
      </c>
      <c r="L353" s="29" t="str">
        <f aca="false">IF(OR($I353="",$I353="?",$B353=""),"",SUMPRODUCT((Weeks!$A$6:$A$58&lt;=$J353)*(Weeks!$Z$4:$AK$4=$I353)*Weeks!$Z$6:$AK$58)-SUMIFS($E$6:$E$1005,$I$6:$I$1005,$I353,$B$6:$B$1005,"&lt;="&amp;$B353))</f>
        <v/>
      </c>
      <c r="M353" s="19" t="str">
        <f aca="false">IF($B353&amp;$C353&amp;$D353&amp;$E353="","",IF($B353="","missing date",IF($C353="","missing worker",IF($I353="?","unknown worker - was the name changed on Workers?",IF($D353="","missing type",IF(N($E353)=0,"missing amount",IF(AND($E353&lt;0,$D353&lt;&gt;"Correction"),"negative amount - use a Correction to undo",IF(OR($B353&lt;Weeks!$A$6,$B353&gt;Weeks!$B$58),"date outside this workbook's year",IF(AND($D353="Advance",N($L353)&lt;0),"Warning: more than earned so far - worker now owes "&amp;ROUND(-$L353,0),"")))))))))</f>
        <v/>
      </c>
    </row>
    <row r="354" customFormat="false" ht="15" hidden="false" customHeight="false" outlineLevel="0" collapsed="false">
      <c r="A354" s="24" t="str">
        <f aca="false">IF($B354="","",ROW()-5)</f>
        <v/>
      </c>
      <c r="B354" s="25"/>
      <c r="C354" s="20"/>
      <c r="D354" s="26"/>
      <c r="E354" s="27"/>
      <c r="F354" s="20"/>
      <c r="G354" s="20"/>
      <c r="H354" s="26"/>
      <c r="I354" s="24" t="str">
        <f aca="false">IF($C354="","",IFERROR(INDEX(WorkerIDs,MATCH($C354,WorkerNames,0)),"?"))</f>
        <v/>
      </c>
      <c r="J354" s="18" t="str">
        <f aca="false">IF($B354="","",$B354-WEEKDAY($B354,2)+1)</f>
        <v/>
      </c>
      <c r="K354" s="28" t="str">
        <f aca="false">IF(OR($I354="",$I354="?",$D354&lt;&gt;"Advance",$B354=""),"",$I354&amp;"|"&amp;$J354&amp;"|"&amp;COUNTIFS($I$6:$I354,$I354,$J$6:$J354,$J354,$D$6:$D354,"Advance"))</f>
        <v/>
      </c>
      <c r="L354" s="29" t="str">
        <f aca="false">IF(OR($I354="",$I354="?",$B354=""),"",SUMPRODUCT((Weeks!$A$6:$A$58&lt;=$J354)*(Weeks!$Z$4:$AK$4=$I354)*Weeks!$Z$6:$AK$58)-SUMIFS($E$6:$E$1005,$I$6:$I$1005,$I354,$B$6:$B$1005,"&lt;="&amp;$B354))</f>
        <v/>
      </c>
      <c r="M354" s="19" t="str">
        <f aca="false">IF($B354&amp;$C354&amp;$D354&amp;$E354="","",IF($B354="","missing date",IF($C354="","missing worker",IF($I354="?","unknown worker - was the name changed on Workers?",IF($D354="","missing type",IF(N($E354)=0,"missing amount",IF(AND($E354&lt;0,$D354&lt;&gt;"Correction"),"negative amount - use a Correction to undo",IF(OR($B354&lt;Weeks!$A$6,$B354&gt;Weeks!$B$58),"date outside this workbook's year",IF(AND($D354="Advance",N($L354)&lt;0),"Warning: more than earned so far - worker now owes "&amp;ROUND(-$L354,0),"")))))))))</f>
        <v/>
      </c>
    </row>
    <row r="355" customFormat="false" ht="15" hidden="false" customHeight="false" outlineLevel="0" collapsed="false">
      <c r="A355" s="24" t="str">
        <f aca="false">IF($B355="","",ROW()-5)</f>
        <v/>
      </c>
      <c r="B355" s="25"/>
      <c r="C355" s="20"/>
      <c r="D355" s="26"/>
      <c r="E355" s="27"/>
      <c r="F355" s="20"/>
      <c r="G355" s="20"/>
      <c r="H355" s="26"/>
      <c r="I355" s="24" t="str">
        <f aca="false">IF($C355="","",IFERROR(INDEX(WorkerIDs,MATCH($C355,WorkerNames,0)),"?"))</f>
        <v/>
      </c>
      <c r="J355" s="18" t="str">
        <f aca="false">IF($B355="","",$B355-WEEKDAY($B355,2)+1)</f>
        <v/>
      </c>
      <c r="K355" s="28" t="str">
        <f aca="false">IF(OR($I355="",$I355="?",$D355&lt;&gt;"Advance",$B355=""),"",$I355&amp;"|"&amp;$J355&amp;"|"&amp;COUNTIFS($I$6:$I355,$I355,$J$6:$J355,$J355,$D$6:$D355,"Advance"))</f>
        <v/>
      </c>
      <c r="L355" s="29" t="str">
        <f aca="false">IF(OR($I355="",$I355="?",$B355=""),"",SUMPRODUCT((Weeks!$A$6:$A$58&lt;=$J355)*(Weeks!$Z$4:$AK$4=$I355)*Weeks!$Z$6:$AK$58)-SUMIFS($E$6:$E$1005,$I$6:$I$1005,$I355,$B$6:$B$1005,"&lt;="&amp;$B355))</f>
        <v/>
      </c>
      <c r="M355" s="19" t="str">
        <f aca="false">IF($B355&amp;$C355&amp;$D355&amp;$E355="","",IF($B355="","missing date",IF($C355="","missing worker",IF($I355="?","unknown worker - was the name changed on Workers?",IF($D355="","missing type",IF(N($E355)=0,"missing amount",IF(AND($E355&lt;0,$D355&lt;&gt;"Correction"),"negative amount - use a Correction to undo",IF(OR($B355&lt;Weeks!$A$6,$B355&gt;Weeks!$B$58),"date outside this workbook's year",IF(AND($D355="Advance",N($L355)&lt;0),"Warning: more than earned so far - worker now owes "&amp;ROUND(-$L355,0),"")))))))))</f>
        <v/>
      </c>
    </row>
    <row r="356" customFormat="false" ht="15" hidden="false" customHeight="false" outlineLevel="0" collapsed="false">
      <c r="A356" s="24" t="str">
        <f aca="false">IF($B356="","",ROW()-5)</f>
        <v/>
      </c>
      <c r="B356" s="25"/>
      <c r="C356" s="20"/>
      <c r="D356" s="26"/>
      <c r="E356" s="27"/>
      <c r="F356" s="20"/>
      <c r="G356" s="20"/>
      <c r="H356" s="26"/>
      <c r="I356" s="24" t="str">
        <f aca="false">IF($C356="","",IFERROR(INDEX(WorkerIDs,MATCH($C356,WorkerNames,0)),"?"))</f>
        <v/>
      </c>
      <c r="J356" s="18" t="str">
        <f aca="false">IF($B356="","",$B356-WEEKDAY($B356,2)+1)</f>
        <v/>
      </c>
      <c r="K356" s="28" t="str">
        <f aca="false">IF(OR($I356="",$I356="?",$D356&lt;&gt;"Advance",$B356=""),"",$I356&amp;"|"&amp;$J356&amp;"|"&amp;COUNTIFS($I$6:$I356,$I356,$J$6:$J356,$J356,$D$6:$D356,"Advance"))</f>
        <v/>
      </c>
      <c r="L356" s="29" t="str">
        <f aca="false">IF(OR($I356="",$I356="?",$B356=""),"",SUMPRODUCT((Weeks!$A$6:$A$58&lt;=$J356)*(Weeks!$Z$4:$AK$4=$I356)*Weeks!$Z$6:$AK$58)-SUMIFS($E$6:$E$1005,$I$6:$I$1005,$I356,$B$6:$B$1005,"&lt;="&amp;$B356))</f>
        <v/>
      </c>
      <c r="M356" s="19" t="str">
        <f aca="false">IF($B356&amp;$C356&amp;$D356&amp;$E356="","",IF($B356="","missing date",IF($C356="","missing worker",IF($I356="?","unknown worker - was the name changed on Workers?",IF($D356="","missing type",IF(N($E356)=0,"missing amount",IF(AND($E356&lt;0,$D356&lt;&gt;"Correction"),"negative amount - use a Correction to undo",IF(OR($B356&lt;Weeks!$A$6,$B356&gt;Weeks!$B$58),"date outside this workbook's year",IF(AND($D356="Advance",N($L356)&lt;0),"Warning: more than earned so far - worker now owes "&amp;ROUND(-$L356,0),"")))))))))</f>
        <v/>
      </c>
    </row>
    <row r="357" customFormat="false" ht="15" hidden="false" customHeight="false" outlineLevel="0" collapsed="false">
      <c r="A357" s="24" t="str">
        <f aca="false">IF($B357="","",ROW()-5)</f>
        <v/>
      </c>
      <c r="B357" s="25"/>
      <c r="C357" s="20"/>
      <c r="D357" s="26"/>
      <c r="E357" s="27"/>
      <c r="F357" s="20"/>
      <c r="G357" s="20"/>
      <c r="H357" s="26"/>
      <c r="I357" s="24" t="str">
        <f aca="false">IF($C357="","",IFERROR(INDEX(WorkerIDs,MATCH($C357,WorkerNames,0)),"?"))</f>
        <v/>
      </c>
      <c r="J357" s="18" t="str">
        <f aca="false">IF($B357="","",$B357-WEEKDAY($B357,2)+1)</f>
        <v/>
      </c>
      <c r="K357" s="28" t="str">
        <f aca="false">IF(OR($I357="",$I357="?",$D357&lt;&gt;"Advance",$B357=""),"",$I357&amp;"|"&amp;$J357&amp;"|"&amp;COUNTIFS($I$6:$I357,$I357,$J$6:$J357,$J357,$D$6:$D357,"Advance"))</f>
        <v/>
      </c>
      <c r="L357" s="29" t="str">
        <f aca="false">IF(OR($I357="",$I357="?",$B357=""),"",SUMPRODUCT((Weeks!$A$6:$A$58&lt;=$J357)*(Weeks!$Z$4:$AK$4=$I357)*Weeks!$Z$6:$AK$58)-SUMIFS($E$6:$E$1005,$I$6:$I$1005,$I357,$B$6:$B$1005,"&lt;="&amp;$B357))</f>
        <v/>
      </c>
      <c r="M357" s="19" t="str">
        <f aca="false">IF($B357&amp;$C357&amp;$D357&amp;$E357="","",IF($B357="","missing date",IF($C357="","missing worker",IF($I357="?","unknown worker - was the name changed on Workers?",IF($D357="","missing type",IF(N($E357)=0,"missing amount",IF(AND($E357&lt;0,$D357&lt;&gt;"Correction"),"negative amount - use a Correction to undo",IF(OR($B357&lt;Weeks!$A$6,$B357&gt;Weeks!$B$58),"date outside this workbook's year",IF(AND($D357="Advance",N($L357)&lt;0),"Warning: more than earned so far - worker now owes "&amp;ROUND(-$L357,0),"")))))))))</f>
        <v/>
      </c>
    </row>
    <row r="358" customFormat="false" ht="15" hidden="false" customHeight="false" outlineLevel="0" collapsed="false">
      <c r="A358" s="24" t="str">
        <f aca="false">IF($B358="","",ROW()-5)</f>
        <v/>
      </c>
      <c r="B358" s="25"/>
      <c r="C358" s="20"/>
      <c r="D358" s="26"/>
      <c r="E358" s="27"/>
      <c r="F358" s="20"/>
      <c r="G358" s="20"/>
      <c r="H358" s="26"/>
      <c r="I358" s="24" t="str">
        <f aca="false">IF($C358="","",IFERROR(INDEX(WorkerIDs,MATCH($C358,WorkerNames,0)),"?"))</f>
        <v/>
      </c>
      <c r="J358" s="18" t="str">
        <f aca="false">IF($B358="","",$B358-WEEKDAY($B358,2)+1)</f>
        <v/>
      </c>
      <c r="K358" s="28" t="str">
        <f aca="false">IF(OR($I358="",$I358="?",$D358&lt;&gt;"Advance",$B358=""),"",$I358&amp;"|"&amp;$J358&amp;"|"&amp;COUNTIFS($I$6:$I358,$I358,$J$6:$J358,$J358,$D$6:$D358,"Advance"))</f>
        <v/>
      </c>
      <c r="L358" s="29" t="str">
        <f aca="false">IF(OR($I358="",$I358="?",$B358=""),"",SUMPRODUCT((Weeks!$A$6:$A$58&lt;=$J358)*(Weeks!$Z$4:$AK$4=$I358)*Weeks!$Z$6:$AK$58)-SUMIFS($E$6:$E$1005,$I$6:$I$1005,$I358,$B$6:$B$1005,"&lt;="&amp;$B358))</f>
        <v/>
      </c>
      <c r="M358" s="19" t="str">
        <f aca="false">IF($B358&amp;$C358&amp;$D358&amp;$E358="","",IF($B358="","missing date",IF($C358="","missing worker",IF($I358="?","unknown worker - was the name changed on Workers?",IF($D358="","missing type",IF(N($E358)=0,"missing amount",IF(AND($E358&lt;0,$D358&lt;&gt;"Correction"),"negative amount - use a Correction to undo",IF(OR($B358&lt;Weeks!$A$6,$B358&gt;Weeks!$B$58),"date outside this workbook's year",IF(AND($D358="Advance",N($L358)&lt;0),"Warning: more than earned so far - worker now owes "&amp;ROUND(-$L358,0),"")))))))))</f>
        <v/>
      </c>
    </row>
    <row r="359" customFormat="false" ht="15" hidden="false" customHeight="false" outlineLevel="0" collapsed="false">
      <c r="A359" s="24" t="str">
        <f aca="false">IF($B359="","",ROW()-5)</f>
        <v/>
      </c>
      <c r="B359" s="25"/>
      <c r="C359" s="20"/>
      <c r="D359" s="26"/>
      <c r="E359" s="27"/>
      <c r="F359" s="20"/>
      <c r="G359" s="20"/>
      <c r="H359" s="26"/>
      <c r="I359" s="24" t="str">
        <f aca="false">IF($C359="","",IFERROR(INDEX(WorkerIDs,MATCH($C359,WorkerNames,0)),"?"))</f>
        <v/>
      </c>
      <c r="J359" s="18" t="str">
        <f aca="false">IF($B359="","",$B359-WEEKDAY($B359,2)+1)</f>
        <v/>
      </c>
      <c r="K359" s="28" t="str">
        <f aca="false">IF(OR($I359="",$I359="?",$D359&lt;&gt;"Advance",$B359=""),"",$I359&amp;"|"&amp;$J359&amp;"|"&amp;COUNTIFS($I$6:$I359,$I359,$J$6:$J359,$J359,$D$6:$D359,"Advance"))</f>
        <v/>
      </c>
      <c r="L359" s="29" t="str">
        <f aca="false">IF(OR($I359="",$I359="?",$B359=""),"",SUMPRODUCT((Weeks!$A$6:$A$58&lt;=$J359)*(Weeks!$Z$4:$AK$4=$I359)*Weeks!$Z$6:$AK$58)-SUMIFS($E$6:$E$1005,$I$6:$I$1005,$I359,$B$6:$B$1005,"&lt;="&amp;$B359))</f>
        <v/>
      </c>
      <c r="M359" s="19" t="str">
        <f aca="false">IF($B359&amp;$C359&amp;$D359&amp;$E359="","",IF($B359="","missing date",IF($C359="","missing worker",IF($I359="?","unknown worker - was the name changed on Workers?",IF($D359="","missing type",IF(N($E359)=0,"missing amount",IF(AND($E359&lt;0,$D359&lt;&gt;"Correction"),"negative amount - use a Correction to undo",IF(OR($B359&lt;Weeks!$A$6,$B359&gt;Weeks!$B$58),"date outside this workbook's year",IF(AND($D359="Advance",N($L359)&lt;0),"Warning: more than earned so far - worker now owes "&amp;ROUND(-$L359,0),"")))))))))</f>
        <v/>
      </c>
    </row>
    <row r="360" customFormat="false" ht="15" hidden="false" customHeight="false" outlineLevel="0" collapsed="false">
      <c r="A360" s="24" t="str">
        <f aca="false">IF($B360="","",ROW()-5)</f>
        <v/>
      </c>
      <c r="B360" s="25"/>
      <c r="C360" s="20"/>
      <c r="D360" s="26"/>
      <c r="E360" s="27"/>
      <c r="F360" s="20"/>
      <c r="G360" s="20"/>
      <c r="H360" s="26"/>
      <c r="I360" s="24" t="str">
        <f aca="false">IF($C360="","",IFERROR(INDEX(WorkerIDs,MATCH($C360,WorkerNames,0)),"?"))</f>
        <v/>
      </c>
      <c r="J360" s="18" t="str">
        <f aca="false">IF($B360="","",$B360-WEEKDAY($B360,2)+1)</f>
        <v/>
      </c>
      <c r="K360" s="28" t="str">
        <f aca="false">IF(OR($I360="",$I360="?",$D360&lt;&gt;"Advance",$B360=""),"",$I360&amp;"|"&amp;$J360&amp;"|"&amp;COUNTIFS($I$6:$I360,$I360,$J$6:$J360,$J360,$D$6:$D360,"Advance"))</f>
        <v/>
      </c>
      <c r="L360" s="29" t="str">
        <f aca="false">IF(OR($I360="",$I360="?",$B360=""),"",SUMPRODUCT((Weeks!$A$6:$A$58&lt;=$J360)*(Weeks!$Z$4:$AK$4=$I360)*Weeks!$Z$6:$AK$58)-SUMIFS($E$6:$E$1005,$I$6:$I$1005,$I360,$B$6:$B$1005,"&lt;="&amp;$B360))</f>
        <v/>
      </c>
      <c r="M360" s="19" t="str">
        <f aca="false">IF($B360&amp;$C360&amp;$D360&amp;$E360="","",IF($B360="","missing date",IF($C360="","missing worker",IF($I360="?","unknown worker - was the name changed on Workers?",IF($D360="","missing type",IF(N($E360)=0,"missing amount",IF(AND($E360&lt;0,$D360&lt;&gt;"Correction"),"negative amount - use a Correction to undo",IF(OR($B360&lt;Weeks!$A$6,$B360&gt;Weeks!$B$58),"date outside this workbook's year",IF(AND($D360="Advance",N($L360)&lt;0),"Warning: more than earned so far - worker now owes "&amp;ROUND(-$L360,0),"")))))))))</f>
        <v/>
      </c>
    </row>
    <row r="361" customFormat="false" ht="15" hidden="false" customHeight="false" outlineLevel="0" collapsed="false">
      <c r="A361" s="24" t="str">
        <f aca="false">IF($B361="","",ROW()-5)</f>
        <v/>
      </c>
      <c r="B361" s="25"/>
      <c r="C361" s="20"/>
      <c r="D361" s="26"/>
      <c r="E361" s="27"/>
      <c r="F361" s="20"/>
      <c r="G361" s="20"/>
      <c r="H361" s="26"/>
      <c r="I361" s="24" t="str">
        <f aca="false">IF($C361="","",IFERROR(INDEX(WorkerIDs,MATCH($C361,WorkerNames,0)),"?"))</f>
        <v/>
      </c>
      <c r="J361" s="18" t="str">
        <f aca="false">IF($B361="","",$B361-WEEKDAY($B361,2)+1)</f>
        <v/>
      </c>
      <c r="K361" s="28" t="str">
        <f aca="false">IF(OR($I361="",$I361="?",$D361&lt;&gt;"Advance",$B361=""),"",$I361&amp;"|"&amp;$J361&amp;"|"&amp;COUNTIFS($I$6:$I361,$I361,$J$6:$J361,$J361,$D$6:$D361,"Advance"))</f>
        <v/>
      </c>
      <c r="L361" s="29" t="str">
        <f aca="false">IF(OR($I361="",$I361="?",$B361=""),"",SUMPRODUCT((Weeks!$A$6:$A$58&lt;=$J361)*(Weeks!$Z$4:$AK$4=$I361)*Weeks!$Z$6:$AK$58)-SUMIFS($E$6:$E$1005,$I$6:$I$1005,$I361,$B$6:$B$1005,"&lt;="&amp;$B361))</f>
        <v/>
      </c>
      <c r="M361" s="19" t="str">
        <f aca="false">IF($B361&amp;$C361&amp;$D361&amp;$E361="","",IF($B361="","missing date",IF($C361="","missing worker",IF($I361="?","unknown worker - was the name changed on Workers?",IF($D361="","missing type",IF(N($E361)=0,"missing amount",IF(AND($E361&lt;0,$D361&lt;&gt;"Correction"),"negative amount - use a Correction to undo",IF(OR($B361&lt;Weeks!$A$6,$B361&gt;Weeks!$B$58),"date outside this workbook's year",IF(AND($D361="Advance",N($L361)&lt;0),"Warning: more than earned so far - worker now owes "&amp;ROUND(-$L361,0),"")))))))))</f>
        <v/>
      </c>
    </row>
    <row r="362" customFormat="false" ht="15" hidden="false" customHeight="false" outlineLevel="0" collapsed="false">
      <c r="A362" s="24" t="str">
        <f aca="false">IF($B362="","",ROW()-5)</f>
        <v/>
      </c>
      <c r="B362" s="25"/>
      <c r="C362" s="20"/>
      <c r="D362" s="26"/>
      <c r="E362" s="27"/>
      <c r="F362" s="20"/>
      <c r="G362" s="20"/>
      <c r="H362" s="26"/>
      <c r="I362" s="24" t="str">
        <f aca="false">IF($C362="","",IFERROR(INDEX(WorkerIDs,MATCH($C362,WorkerNames,0)),"?"))</f>
        <v/>
      </c>
      <c r="J362" s="18" t="str">
        <f aca="false">IF($B362="","",$B362-WEEKDAY($B362,2)+1)</f>
        <v/>
      </c>
      <c r="K362" s="28" t="str">
        <f aca="false">IF(OR($I362="",$I362="?",$D362&lt;&gt;"Advance",$B362=""),"",$I362&amp;"|"&amp;$J362&amp;"|"&amp;COUNTIFS($I$6:$I362,$I362,$J$6:$J362,$J362,$D$6:$D362,"Advance"))</f>
        <v/>
      </c>
      <c r="L362" s="29" t="str">
        <f aca="false">IF(OR($I362="",$I362="?",$B362=""),"",SUMPRODUCT((Weeks!$A$6:$A$58&lt;=$J362)*(Weeks!$Z$4:$AK$4=$I362)*Weeks!$Z$6:$AK$58)-SUMIFS($E$6:$E$1005,$I$6:$I$1005,$I362,$B$6:$B$1005,"&lt;="&amp;$B362))</f>
        <v/>
      </c>
      <c r="M362" s="19" t="str">
        <f aca="false">IF($B362&amp;$C362&amp;$D362&amp;$E362="","",IF($B362="","missing date",IF($C362="","missing worker",IF($I362="?","unknown worker - was the name changed on Workers?",IF($D362="","missing type",IF(N($E362)=0,"missing amount",IF(AND($E362&lt;0,$D362&lt;&gt;"Correction"),"negative amount - use a Correction to undo",IF(OR($B362&lt;Weeks!$A$6,$B362&gt;Weeks!$B$58),"date outside this workbook's year",IF(AND($D362="Advance",N($L362)&lt;0),"Warning: more than earned so far - worker now owes "&amp;ROUND(-$L362,0),"")))))))))</f>
        <v/>
      </c>
    </row>
    <row r="363" customFormat="false" ht="15" hidden="false" customHeight="false" outlineLevel="0" collapsed="false">
      <c r="A363" s="24" t="str">
        <f aca="false">IF($B363="","",ROW()-5)</f>
        <v/>
      </c>
      <c r="B363" s="25"/>
      <c r="C363" s="20"/>
      <c r="D363" s="26"/>
      <c r="E363" s="27"/>
      <c r="F363" s="20"/>
      <c r="G363" s="20"/>
      <c r="H363" s="26"/>
      <c r="I363" s="24" t="str">
        <f aca="false">IF($C363="","",IFERROR(INDEX(WorkerIDs,MATCH($C363,WorkerNames,0)),"?"))</f>
        <v/>
      </c>
      <c r="J363" s="18" t="str">
        <f aca="false">IF($B363="","",$B363-WEEKDAY($B363,2)+1)</f>
        <v/>
      </c>
      <c r="K363" s="28" t="str">
        <f aca="false">IF(OR($I363="",$I363="?",$D363&lt;&gt;"Advance",$B363=""),"",$I363&amp;"|"&amp;$J363&amp;"|"&amp;COUNTIFS($I$6:$I363,$I363,$J$6:$J363,$J363,$D$6:$D363,"Advance"))</f>
        <v/>
      </c>
      <c r="L363" s="29" t="str">
        <f aca="false">IF(OR($I363="",$I363="?",$B363=""),"",SUMPRODUCT((Weeks!$A$6:$A$58&lt;=$J363)*(Weeks!$Z$4:$AK$4=$I363)*Weeks!$Z$6:$AK$58)-SUMIFS($E$6:$E$1005,$I$6:$I$1005,$I363,$B$6:$B$1005,"&lt;="&amp;$B363))</f>
        <v/>
      </c>
      <c r="M363" s="19" t="str">
        <f aca="false">IF($B363&amp;$C363&amp;$D363&amp;$E363="","",IF($B363="","missing date",IF($C363="","missing worker",IF($I363="?","unknown worker - was the name changed on Workers?",IF($D363="","missing type",IF(N($E363)=0,"missing amount",IF(AND($E363&lt;0,$D363&lt;&gt;"Correction"),"negative amount - use a Correction to undo",IF(OR($B363&lt;Weeks!$A$6,$B363&gt;Weeks!$B$58),"date outside this workbook's year",IF(AND($D363="Advance",N($L363)&lt;0),"Warning: more than earned so far - worker now owes "&amp;ROUND(-$L363,0),"")))))))))</f>
        <v/>
      </c>
    </row>
    <row r="364" customFormat="false" ht="15" hidden="false" customHeight="false" outlineLevel="0" collapsed="false">
      <c r="A364" s="24" t="str">
        <f aca="false">IF($B364="","",ROW()-5)</f>
        <v/>
      </c>
      <c r="B364" s="25"/>
      <c r="C364" s="20"/>
      <c r="D364" s="26"/>
      <c r="E364" s="27"/>
      <c r="F364" s="20"/>
      <c r="G364" s="20"/>
      <c r="H364" s="26"/>
      <c r="I364" s="24" t="str">
        <f aca="false">IF($C364="","",IFERROR(INDEX(WorkerIDs,MATCH($C364,WorkerNames,0)),"?"))</f>
        <v/>
      </c>
      <c r="J364" s="18" t="str">
        <f aca="false">IF($B364="","",$B364-WEEKDAY($B364,2)+1)</f>
        <v/>
      </c>
      <c r="K364" s="28" t="str">
        <f aca="false">IF(OR($I364="",$I364="?",$D364&lt;&gt;"Advance",$B364=""),"",$I364&amp;"|"&amp;$J364&amp;"|"&amp;COUNTIFS($I$6:$I364,$I364,$J$6:$J364,$J364,$D$6:$D364,"Advance"))</f>
        <v/>
      </c>
      <c r="L364" s="29" t="str">
        <f aca="false">IF(OR($I364="",$I364="?",$B364=""),"",SUMPRODUCT((Weeks!$A$6:$A$58&lt;=$J364)*(Weeks!$Z$4:$AK$4=$I364)*Weeks!$Z$6:$AK$58)-SUMIFS($E$6:$E$1005,$I$6:$I$1005,$I364,$B$6:$B$1005,"&lt;="&amp;$B364))</f>
        <v/>
      </c>
      <c r="M364" s="19" t="str">
        <f aca="false">IF($B364&amp;$C364&amp;$D364&amp;$E364="","",IF($B364="","missing date",IF($C364="","missing worker",IF($I364="?","unknown worker - was the name changed on Workers?",IF($D364="","missing type",IF(N($E364)=0,"missing amount",IF(AND($E364&lt;0,$D364&lt;&gt;"Correction"),"negative amount - use a Correction to undo",IF(OR($B364&lt;Weeks!$A$6,$B364&gt;Weeks!$B$58),"date outside this workbook's year",IF(AND($D364="Advance",N($L364)&lt;0),"Warning: more than earned so far - worker now owes "&amp;ROUND(-$L364,0),"")))))))))</f>
        <v/>
      </c>
    </row>
    <row r="365" customFormat="false" ht="15" hidden="false" customHeight="false" outlineLevel="0" collapsed="false">
      <c r="A365" s="24" t="str">
        <f aca="false">IF($B365="","",ROW()-5)</f>
        <v/>
      </c>
      <c r="B365" s="25"/>
      <c r="C365" s="20"/>
      <c r="D365" s="26"/>
      <c r="E365" s="27"/>
      <c r="F365" s="20"/>
      <c r="G365" s="20"/>
      <c r="H365" s="26"/>
      <c r="I365" s="24" t="str">
        <f aca="false">IF($C365="","",IFERROR(INDEX(WorkerIDs,MATCH($C365,WorkerNames,0)),"?"))</f>
        <v/>
      </c>
      <c r="J365" s="18" t="str">
        <f aca="false">IF($B365="","",$B365-WEEKDAY($B365,2)+1)</f>
        <v/>
      </c>
      <c r="K365" s="28" t="str">
        <f aca="false">IF(OR($I365="",$I365="?",$D365&lt;&gt;"Advance",$B365=""),"",$I365&amp;"|"&amp;$J365&amp;"|"&amp;COUNTIFS($I$6:$I365,$I365,$J$6:$J365,$J365,$D$6:$D365,"Advance"))</f>
        <v/>
      </c>
      <c r="L365" s="29" t="str">
        <f aca="false">IF(OR($I365="",$I365="?",$B365=""),"",SUMPRODUCT((Weeks!$A$6:$A$58&lt;=$J365)*(Weeks!$Z$4:$AK$4=$I365)*Weeks!$Z$6:$AK$58)-SUMIFS($E$6:$E$1005,$I$6:$I$1005,$I365,$B$6:$B$1005,"&lt;="&amp;$B365))</f>
        <v/>
      </c>
      <c r="M365" s="19" t="str">
        <f aca="false">IF($B365&amp;$C365&amp;$D365&amp;$E365="","",IF($B365="","missing date",IF($C365="","missing worker",IF($I365="?","unknown worker - was the name changed on Workers?",IF($D365="","missing type",IF(N($E365)=0,"missing amount",IF(AND($E365&lt;0,$D365&lt;&gt;"Correction"),"negative amount - use a Correction to undo",IF(OR($B365&lt;Weeks!$A$6,$B365&gt;Weeks!$B$58),"date outside this workbook's year",IF(AND($D365="Advance",N($L365)&lt;0),"Warning: more than earned so far - worker now owes "&amp;ROUND(-$L365,0),"")))))))))</f>
        <v/>
      </c>
    </row>
    <row r="366" customFormat="false" ht="15" hidden="false" customHeight="false" outlineLevel="0" collapsed="false">
      <c r="A366" s="24" t="str">
        <f aca="false">IF($B366="","",ROW()-5)</f>
        <v/>
      </c>
      <c r="B366" s="25"/>
      <c r="C366" s="20"/>
      <c r="D366" s="26"/>
      <c r="E366" s="27"/>
      <c r="F366" s="20"/>
      <c r="G366" s="20"/>
      <c r="H366" s="26"/>
      <c r="I366" s="24" t="str">
        <f aca="false">IF($C366="","",IFERROR(INDEX(WorkerIDs,MATCH($C366,WorkerNames,0)),"?"))</f>
        <v/>
      </c>
      <c r="J366" s="18" t="str">
        <f aca="false">IF($B366="","",$B366-WEEKDAY($B366,2)+1)</f>
        <v/>
      </c>
      <c r="K366" s="28" t="str">
        <f aca="false">IF(OR($I366="",$I366="?",$D366&lt;&gt;"Advance",$B366=""),"",$I366&amp;"|"&amp;$J366&amp;"|"&amp;COUNTIFS($I$6:$I366,$I366,$J$6:$J366,$J366,$D$6:$D366,"Advance"))</f>
        <v/>
      </c>
      <c r="L366" s="29" t="str">
        <f aca="false">IF(OR($I366="",$I366="?",$B366=""),"",SUMPRODUCT((Weeks!$A$6:$A$58&lt;=$J366)*(Weeks!$Z$4:$AK$4=$I366)*Weeks!$Z$6:$AK$58)-SUMIFS($E$6:$E$1005,$I$6:$I$1005,$I366,$B$6:$B$1005,"&lt;="&amp;$B366))</f>
        <v/>
      </c>
      <c r="M366" s="19" t="str">
        <f aca="false">IF($B366&amp;$C366&amp;$D366&amp;$E366="","",IF($B366="","missing date",IF($C366="","missing worker",IF($I366="?","unknown worker - was the name changed on Workers?",IF($D366="","missing type",IF(N($E366)=0,"missing amount",IF(AND($E366&lt;0,$D366&lt;&gt;"Correction"),"negative amount - use a Correction to undo",IF(OR($B366&lt;Weeks!$A$6,$B366&gt;Weeks!$B$58),"date outside this workbook's year",IF(AND($D366="Advance",N($L366)&lt;0),"Warning: more than earned so far - worker now owes "&amp;ROUND(-$L366,0),"")))))))))</f>
        <v/>
      </c>
    </row>
    <row r="367" customFormat="false" ht="15" hidden="false" customHeight="false" outlineLevel="0" collapsed="false">
      <c r="A367" s="24" t="str">
        <f aca="false">IF($B367="","",ROW()-5)</f>
        <v/>
      </c>
      <c r="B367" s="25"/>
      <c r="C367" s="20"/>
      <c r="D367" s="26"/>
      <c r="E367" s="27"/>
      <c r="F367" s="20"/>
      <c r="G367" s="20"/>
      <c r="H367" s="26"/>
      <c r="I367" s="24" t="str">
        <f aca="false">IF($C367="","",IFERROR(INDEX(WorkerIDs,MATCH($C367,WorkerNames,0)),"?"))</f>
        <v/>
      </c>
      <c r="J367" s="18" t="str">
        <f aca="false">IF($B367="","",$B367-WEEKDAY($B367,2)+1)</f>
        <v/>
      </c>
      <c r="K367" s="28" t="str">
        <f aca="false">IF(OR($I367="",$I367="?",$D367&lt;&gt;"Advance",$B367=""),"",$I367&amp;"|"&amp;$J367&amp;"|"&amp;COUNTIFS($I$6:$I367,$I367,$J$6:$J367,$J367,$D$6:$D367,"Advance"))</f>
        <v/>
      </c>
      <c r="L367" s="29" t="str">
        <f aca="false">IF(OR($I367="",$I367="?",$B367=""),"",SUMPRODUCT((Weeks!$A$6:$A$58&lt;=$J367)*(Weeks!$Z$4:$AK$4=$I367)*Weeks!$Z$6:$AK$58)-SUMIFS($E$6:$E$1005,$I$6:$I$1005,$I367,$B$6:$B$1005,"&lt;="&amp;$B367))</f>
        <v/>
      </c>
      <c r="M367" s="19" t="str">
        <f aca="false">IF($B367&amp;$C367&amp;$D367&amp;$E367="","",IF($B367="","missing date",IF($C367="","missing worker",IF($I367="?","unknown worker - was the name changed on Workers?",IF($D367="","missing type",IF(N($E367)=0,"missing amount",IF(AND($E367&lt;0,$D367&lt;&gt;"Correction"),"negative amount - use a Correction to undo",IF(OR($B367&lt;Weeks!$A$6,$B367&gt;Weeks!$B$58),"date outside this workbook's year",IF(AND($D367="Advance",N($L367)&lt;0),"Warning: more than earned so far - worker now owes "&amp;ROUND(-$L367,0),"")))))))))</f>
        <v/>
      </c>
    </row>
    <row r="368" customFormat="false" ht="15" hidden="false" customHeight="false" outlineLevel="0" collapsed="false">
      <c r="A368" s="24" t="str">
        <f aca="false">IF($B368="","",ROW()-5)</f>
        <v/>
      </c>
      <c r="B368" s="25"/>
      <c r="C368" s="20"/>
      <c r="D368" s="26"/>
      <c r="E368" s="27"/>
      <c r="F368" s="20"/>
      <c r="G368" s="20"/>
      <c r="H368" s="26"/>
      <c r="I368" s="24" t="str">
        <f aca="false">IF($C368="","",IFERROR(INDEX(WorkerIDs,MATCH($C368,WorkerNames,0)),"?"))</f>
        <v/>
      </c>
      <c r="J368" s="18" t="str">
        <f aca="false">IF($B368="","",$B368-WEEKDAY($B368,2)+1)</f>
        <v/>
      </c>
      <c r="K368" s="28" t="str">
        <f aca="false">IF(OR($I368="",$I368="?",$D368&lt;&gt;"Advance",$B368=""),"",$I368&amp;"|"&amp;$J368&amp;"|"&amp;COUNTIFS($I$6:$I368,$I368,$J$6:$J368,$J368,$D$6:$D368,"Advance"))</f>
        <v/>
      </c>
      <c r="L368" s="29" t="str">
        <f aca="false">IF(OR($I368="",$I368="?",$B368=""),"",SUMPRODUCT((Weeks!$A$6:$A$58&lt;=$J368)*(Weeks!$Z$4:$AK$4=$I368)*Weeks!$Z$6:$AK$58)-SUMIFS($E$6:$E$1005,$I$6:$I$1005,$I368,$B$6:$B$1005,"&lt;="&amp;$B368))</f>
        <v/>
      </c>
      <c r="M368" s="19" t="str">
        <f aca="false">IF($B368&amp;$C368&amp;$D368&amp;$E368="","",IF($B368="","missing date",IF($C368="","missing worker",IF($I368="?","unknown worker - was the name changed on Workers?",IF($D368="","missing type",IF(N($E368)=0,"missing amount",IF(AND($E368&lt;0,$D368&lt;&gt;"Correction"),"negative amount - use a Correction to undo",IF(OR($B368&lt;Weeks!$A$6,$B368&gt;Weeks!$B$58),"date outside this workbook's year",IF(AND($D368="Advance",N($L368)&lt;0),"Warning: more than earned so far - worker now owes "&amp;ROUND(-$L368,0),"")))))))))</f>
        <v/>
      </c>
    </row>
    <row r="369" customFormat="false" ht="15" hidden="false" customHeight="false" outlineLevel="0" collapsed="false">
      <c r="A369" s="24" t="str">
        <f aca="false">IF($B369="","",ROW()-5)</f>
        <v/>
      </c>
      <c r="B369" s="25"/>
      <c r="C369" s="20"/>
      <c r="D369" s="26"/>
      <c r="E369" s="27"/>
      <c r="F369" s="20"/>
      <c r="G369" s="20"/>
      <c r="H369" s="26"/>
      <c r="I369" s="24" t="str">
        <f aca="false">IF($C369="","",IFERROR(INDEX(WorkerIDs,MATCH($C369,WorkerNames,0)),"?"))</f>
        <v/>
      </c>
      <c r="J369" s="18" t="str">
        <f aca="false">IF($B369="","",$B369-WEEKDAY($B369,2)+1)</f>
        <v/>
      </c>
      <c r="K369" s="28" t="str">
        <f aca="false">IF(OR($I369="",$I369="?",$D369&lt;&gt;"Advance",$B369=""),"",$I369&amp;"|"&amp;$J369&amp;"|"&amp;COUNTIFS($I$6:$I369,$I369,$J$6:$J369,$J369,$D$6:$D369,"Advance"))</f>
        <v/>
      </c>
      <c r="L369" s="29" t="str">
        <f aca="false">IF(OR($I369="",$I369="?",$B369=""),"",SUMPRODUCT((Weeks!$A$6:$A$58&lt;=$J369)*(Weeks!$Z$4:$AK$4=$I369)*Weeks!$Z$6:$AK$58)-SUMIFS($E$6:$E$1005,$I$6:$I$1005,$I369,$B$6:$B$1005,"&lt;="&amp;$B369))</f>
        <v/>
      </c>
      <c r="M369" s="19" t="str">
        <f aca="false">IF($B369&amp;$C369&amp;$D369&amp;$E369="","",IF($B369="","missing date",IF($C369="","missing worker",IF($I369="?","unknown worker - was the name changed on Workers?",IF($D369="","missing type",IF(N($E369)=0,"missing amount",IF(AND($E369&lt;0,$D369&lt;&gt;"Correction"),"negative amount - use a Correction to undo",IF(OR($B369&lt;Weeks!$A$6,$B369&gt;Weeks!$B$58),"date outside this workbook's year",IF(AND($D369="Advance",N($L369)&lt;0),"Warning: more than earned so far - worker now owes "&amp;ROUND(-$L369,0),"")))))))))</f>
        <v/>
      </c>
    </row>
    <row r="370" customFormat="false" ht="15" hidden="false" customHeight="false" outlineLevel="0" collapsed="false">
      <c r="A370" s="24" t="str">
        <f aca="false">IF($B370="","",ROW()-5)</f>
        <v/>
      </c>
      <c r="B370" s="25"/>
      <c r="C370" s="20"/>
      <c r="D370" s="26"/>
      <c r="E370" s="27"/>
      <c r="F370" s="20"/>
      <c r="G370" s="20"/>
      <c r="H370" s="26"/>
      <c r="I370" s="24" t="str">
        <f aca="false">IF($C370="","",IFERROR(INDEX(WorkerIDs,MATCH($C370,WorkerNames,0)),"?"))</f>
        <v/>
      </c>
      <c r="J370" s="18" t="str">
        <f aca="false">IF($B370="","",$B370-WEEKDAY($B370,2)+1)</f>
        <v/>
      </c>
      <c r="K370" s="28" t="str">
        <f aca="false">IF(OR($I370="",$I370="?",$D370&lt;&gt;"Advance",$B370=""),"",$I370&amp;"|"&amp;$J370&amp;"|"&amp;COUNTIFS($I$6:$I370,$I370,$J$6:$J370,$J370,$D$6:$D370,"Advance"))</f>
        <v/>
      </c>
      <c r="L370" s="29" t="str">
        <f aca="false">IF(OR($I370="",$I370="?",$B370=""),"",SUMPRODUCT((Weeks!$A$6:$A$58&lt;=$J370)*(Weeks!$Z$4:$AK$4=$I370)*Weeks!$Z$6:$AK$58)-SUMIFS($E$6:$E$1005,$I$6:$I$1005,$I370,$B$6:$B$1005,"&lt;="&amp;$B370))</f>
        <v/>
      </c>
      <c r="M370" s="19" t="str">
        <f aca="false">IF($B370&amp;$C370&amp;$D370&amp;$E370="","",IF($B370="","missing date",IF($C370="","missing worker",IF($I370="?","unknown worker - was the name changed on Workers?",IF($D370="","missing type",IF(N($E370)=0,"missing amount",IF(AND($E370&lt;0,$D370&lt;&gt;"Correction"),"negative amount - use a Correction to undo",IF(OR($B370&lt;Weeks!$A$6,$B370&gt;Weeks!$B$58),"date outside this workbook's year",IF(AND($D370="Advance",N($L370)&lt;0),"Warning: more than earned so far - worker now owes "&amp;ROUND(-$L370,0),"")))))))))</f>
        <v/>
      </c>
    </row>
    <row r="371" customFormat="false" ht="15" hidden="false" customHeight="false" outlineLevel="0" collapsed="false">
      <c r="A371" s="24" t="str">
        <f aca="false">IF($B371="","",ROW()-5)</f>
        <v/>
      </c>
      <c r="B371" s="25"/>
      <c r="C371" s="20"/>
      <c r="D371" s="26"/>
      <c r="E371" s="27"/>
      <c r="F371" s="20"/>
      <c r="G371" s="20"/>
      <c r="H371" s="26"/>
      <c r="I371" s="24" t="str">
        <f aca="false">IF($C371="","",IFERROR(INDEX(WorkerIDs,MATCH($C371,WorkerNames,0)),"?"))</f>
        <v/>
      </c>
      <c r="J371" s="18" t="str">
        <f aca="false">IF($B371="","",$B371-WEEKDAY($B371,2)+1)</f>
        <v/>
      </c>
      <c r="K371" s="28" t="str">
        <f aca="false">IF(OR($I371="",$I371="?",$D371&lt;&gt;"Advance",$B371=""),"",$I371&amp;"|"&amp;$J371&amp;"|"&amp;COUNTIFS($I$6:$I371,$I371,$J$6:$J371,$J371,$D$6:$D371,"Advance"))</f>
        <v/>
      </c>
      <c r="L371" s="29" t="str">
        <f aca="false">IF(OR($I371="",$I371="?",$B371=""),"",SUMPRODUCT((Weeks!$A$6:$A$58&lt;=$J371)*(Weeks!$Z$4:$AK$4=$I371)*Weeks!$Z$6:$AK$58)-SUMIFS($E$6:$E$1005,$I$6:$I$1005,$I371,$B$6:$B$1005,"&lt;="&amp;$B371))</f>
        <v/>
      </c>
      <c r="M371" s="19" t="str">
        <f aca="false">IF($B371&amp;$C371&amp;$D371&amp;$E371="","",IF($B371="","missing date",IF($C371="","missing worker",IF($I371="?","unknown worker - was the name changed on Workers?",IF($D371="","missing type",IF(N($E371)=0,"missing amount",IF(AND($E371&lt;0,$D371&lt;&gt;"Correction"),"negative amount - use a Correction to undo",IF(OR($B371&lt;Weeks!$A$6,$B371&gt;Weeks!$B$58),"date outside this workbook's year",IF(AND($D371="Advance",N($L371)&lt;0),"Warning: more than earned so far - worker now owes "&amp;ROUND(-$L371,0),"")))))))))</f>
        <v/>
      </c>
    </row>
    <row r="372" customFormat="false" ht="15" hidden="false" customHeight="false" outlineLevel="0" collapsed="false">
      <c r="A372" s="24" t="str">
        <f aca="false">IF($B372="","",ROW()-5)</f>
        <v/>
      </c>
      <c r="B372" s="25"/>
      <c r="C372" s="20"/>
      <c r="D372" s="26"/>
      <c r="E372" s="27"/>
      <c r="F372" s="20"/>
      <c r="G372" s="20"/>
      <c r="H372" s="26"/>
      <c r="I372" s="24" t="str">
        <f aca="false">IF($C372="","",IFERROR(INDEX(WorkerIDs,MATCH($C372,WorkerNames,0)),"?"))</f>
        <v/>
      </c>
      <c r="J372" s="18" t="str">
        <f aca="false">IF($B372="","",$B372-WEEKDAY($B372,2)+1)</f>
        <v/>
      </c>
      <c r="K372" s="28" t="str">
        <f aca="false">IF(OR($I372="",$I372="?",$D372&lt;&gt;"Advance",$B372=""),"",$I372&amp;"|"&amp;$J372&amp;"|"&amp;COUNTIFS($I$6:$I372,$I372,$J$6:$J372,$J372,$D$6:$D372,"Advance"))</f>
        <v/>
      </c>
      <c r="L372" s="29" t="str">
        <f aca="false">IF(OR($I372="",$I372="?",$B372=""),"",SUMPRODUCT((Weeks!$A$6:$A$58&lt;=$J372)*(Weeks!$Z$4:$AK$4=$I372)*Weeks!$Z$6:$AK$58)-SUMIFS($E$6:$E$1005,$I$6:$I$1005,$I372,$B$6:$B$1005,"&lt;="&amp;$B372))</f>
        <v/>
      </c>
      <c r="M372" s="19" t="str">
        <f aca="false">IF($B372&amp;$C372&amp;$D372&amp;$E372="","",IF($B372="","missing date",IF($C372="","missing worker",IF($I372="?","unknown worker - was the name changed on Workers?",IF($D372="","missing type",IF(N($E372)=0,"missing amount",IF(AND($E372&lt;0,$D372&lt;&gt;"Correction"),"negative amount - use a Correction to undo",IF(OR($B372&lt;Weeks!$A$6,$B372&gt;Weeks!$B$58),"date outside this workbook's year",IF(AND($D372="Advance",N($L372)&lt;0),"Warning: more than earned so far - worker now owes "&amp;ROUND(-$L372,0),"")))))))))</f>
        <v/>
      </c>
    </row>
    <row r="373" customFormat="false" ht="15" hidden="false" customHeight="false" outlineLevel="0" collapsed="false">
      <c r="A373" s="24" t="str">
        <f aca="false">IF($B373="","",ROW()-5)</f>
        <v/>
      </c>
      <c r="B373" s="25"/>
      <c r="C373" s="20"/>
      <c r="D373" s="26"/>
      <c r="E373" s="27"/>
      <c r="F373" s="20"/>
      <c r="G373" s="20"/>
      <c r="H373" s="26"/>
      <c r="I373" s="24" t="str">
        <f aca="false">IF($C373="","",IFERROR(INDEX(WorkerIDs,MATCH($C373,WorkerNames,0)),"?"))</f>
        <v/>
      </c>
      <c r="J373" s="18" t="str">
        <f aca="false">IF($B373="","",$B373-WEEKDAY($B373,2)+1)</f>
        <v/>
      </c>
      <c r="K373" s="28" t="str">
        <f aca="false">IF(OR($I373="",$I373="?",$D373&lt;&gt;"Advance",$B373=""),"",$I373&amp;"|"&amp;$J373&amp;"|"&amp;COUNTIFS($I$6:$I373,$I373,$J$6:$J373,$J373,$D$6:$D373,"Advance"))</f>
        <v/>
      </c>
      <c r="L373" s="29" t="str">
        <f aca="false">IF(OR($I373="",$I373="?",$B373=""),"",SUMPRODUCT((Weeks!$A$6:$A$58&lt;=$J373)*(Weeks!$Z$4:$AK$4=$I373)*Weeks!$Z$6:$AK$58)-SUMIFS($E$6:$E$1005,$I$6:$I$1005,$I373,$B$6:$B$1005,"&lt;="&amp;$B373))</f>
        <v/>
      </c>
      <c r="M373" s="19" t="str">
        <f aca="false">IF($B373&amp;$C373&amp;$D373&amp;$E373="","",IF($B373="","missing date",IF($C373="","missing worker",IF($I373="?","unknown worker - was the name changed on Workers?",IF($D373="","missing type",IF(N($E373)=0,"missing amount",IF(AND($E373&lt;0,$D373&lt;&gt;"Correction"),"negative amount - use a Correction to undo",IF(OR($B373&lt;Weeks!$A$6,$B373&gt;Weeks!$B$58),"date outside this workbook's year",IF(AND($D373="Advance",N($L373)&lt;0),"Warning: more than earned so far - worker now owes "&amp;ROUND(-$L373,0),"")))))))))</f>
        <v/>
      </c>
    </row>
    <row r="374" customFormat="false" ht="15" hidden="false" customHeight="false" outlineLevel="0" collapsed="false">
      <c r="A374" s="24" t="str">
        <f aca="false">IF($B374="","",ROW()-5)</f>
        <v/>
      </c>
      <c r="B374" s="25"/>
      <c r="C374" s="20"/>
      <c r="D374" s="26"/>
      <c r="E374" s="27"/>
      <c r="F374" s="20"/>
      <c r="G374" s="20"/>
      <c r="H374" s="26"/>
      <c r="I374" s="24" t="str">
        <f aca="false">IF($C374="","",IFERROR(INDEX(WorkerIDs,MATCH($C374,WorkerNames,0)),"?"))</f>
        <v/>
      </c>
      <c r="J374" s="18" t="str">
        <f aca="false">IF($B374="","",$B374-WEEKDAY($B374,2)+1)</f>
        <v/>
      </c>
      <c r="K374" s="28" t="str">
        <f aca="false">IF(OR($I374="",$I374="?",$D374&lt;&gt;"Advance",$B374=""),"",$I374&amp;"|"&amp;$J374&amp;"|"&amp;COUNTIFS($I$6:$I374,$I374,$J$6:$J374,$J374,$D$6:$D374,"Advance"))</f>
        <v/>
      </c>
      <c r="L374" s="29" t="str">
        <f aca="false">IF(OR($I374="",$I374="?",$B374=""),"",SUMPRODUCT((Weeks!$A$6:$A$58&lt;=$J374)*(Weeks!$Z$4:$AK$4=$I374)*Weeks!$Z$6:$AK$58)-SUMIFS($E$6:$E$1005,$I$6:$I$1005,$I374,$B$6:$B$1005,"&lt;="&amp;$B374))</f>
        <v/>
      </c>
      <c r="M374" s="19" t="str">
        <f aca="false">IF($B374&amp;$C374&amp;$D374&amp;$E374="","",IF($B374="","missing date",IF($C374="","missing worker",IF($I374="?","unknown worker - was the name changed on Workers?",IF($D374="","missing type",IF(N($E374)=0,"missing amount",IF(AND($E374&lt;0,$D374&lt;&gt;"Correction"),"negative amount - use a Correction to undo",IF(OR($B374&lt;Weeks!$A$6,$B374&gt;Weeks!$B$58),"date outside this workbook's year",IF(AND($D374="Advance",N($L374)&lt;0),"Warning: more than earned so far - worker now owes "&amp;ROUND(-$L374,0),"")))))))))</f>
        <v/>
      </c>
    </row>
    <row r="375" customFormat="false" ht="15" hidden="false" customHeight="false" outlineLevel="0" collapsed="false">
      <c r="A375" s="24" t="str">
        <f aca="false">IF($B375="","",ROW()-5)</f>
        <v/>
      </c>
      <c r="B375" s="25"/>
      <c r="C375" s="20"/>
      <c r="D375" s="26"/>
      <c r="E375" s="27"/>
      <c r="F375" s="20"/>
      <c r="G375" s="20"/>
      <c r="H375" s="26"/>
      <c r="I375" s="24" t="str">
        <f aca="false">IF($C375="","",IFERROR(INDEX(WorkerIDs,MATCH($C375,WorkerNames,0)),"?"))</f>
        <v/>
      </c>
      <c r="J375" s="18" t="str">
        <f aca="false">IF($B375="","",$B375-WEEKDAY($B375,2)+1)</f>
        <v/>
      </c>
      <c r="K375" s="28" t="str">
        <f aca="false">IF(OR($I375="",$I375="?",$D375&lt;&gt;"Advance",$B375=""),"",$I375&amp;"|"&amp;$J375&amp;"|"&amp;COUNTIFS($I$6:$I375,$I375,$J$6:$J375,$J375,$D$6:$D375,"Advance"))</f>
        <v/>
      </c>
      <c r="L375" s="29" t="str">
        <f aca="false">IF(OR($I375="",$I375="?",$B375=""),"",SUMPRODUCT((Weeks!$A$6:$A$58&lt;=$J375)*(Weeks!$Z$4:$AK$4=$I375)*Weeks!$Z$6:$AK$58)-SUMIFS($E$6:$E$1005,$I$6:$I$1005,$I375,$B$6:$B$1005,"&lt;="&amp;$B375))</f>
        <v/>
      </c>
      <c r="M375" s="19" t="str">
        <f aca="false">IF($B375&amp;$C375&amp;$D375&amp;$E375="","",IF($B375="","missing date",IF($C375="","missing worker",IF($I375="?","unknown worker - was the name changed on Workers?",IF($D375="","missing type",IF(N($E375)=0,"missing amount",IF(AND($E375&lt;0,$D375&lt;&gt;"Correction"),"negative amount - use a Correction to undo",IF(OR($B375&lt;Weeks!$A$6,$B375&gt;Weeks!$B$58),"date outside this workbook's year",IF(AND($D375="Advance",N($L375)&lt;0),"Warning: more than earned so far - worker now owes "&amp;ROUND(-$L375,0),"")))))))))</f>
        <v/>
      </c>
    </row>
    <row r="376" customFormat="false" ht="15" hidden="false" customHeight="false" outlineLevel="0" collapsed="false">
      <c r="A376" s="24" t="str">
        <f aca="false">IF($B376="","",ROW()-5)</f>
        <v/>
      </c>
      <c r="B376" s="25"/>
      <c r="C376" s="20"/>
      <c r="D376" s="26"/>
      <c r="E376" s="27"/>
      <c r="F376" s="20"/>
      <c r="G376" s="20"/>
      <c r="H376" s="26"/>
      <c r="I376" s="24" t="str">
        <f aca="false">IF($C376="","",IFERROR(INDEX(WorkerIDs,MATCH($C376,WorkerNames,0)),"?"))</f>
        <v/>
      </c>
      <c r="J376" s="18" t="str">
        <f aca="false">IF($B376="","",$B376-WEEKDAY($B376,2)+1)</f>
        <v/>
      </c>
      <c r="K376" s="28" t="str">
        <f aca="false">IF(OR($I376="",$I376="?",$D376&lt;&gt;"Advance",$B376=""),"",$I376&amp;"|"&amp;$J376&amp;"|"&amp;COUNTIFS($I$6:$I376,$I376,$J$6:$J376,$J376,$D$6:$D376,"Advance"))</f>
        <v/>
      </c>
      <c r="L376" s="29" t="str">
        <f aca="false">IF(OR($I376="",$I376="?",$B376=""),"",SUMPRODUCT((Weeks!$A$6:$A$58&lt;=$J376)*(Weeks!$Z$4:$AK$4=$I376)*Weeks!$Z$6:$AK$58)-SUMIFS($E$6:$E$1005,$I$6:$I$1005,$I376,$B$6:$B$1005,"&lt;="&amp;$B376))</f>
        <v/>
      </c>
      <c r="M376" s="19" t="str">
        <f aca="false">IF($B376&amp;$C376&amp;$D376&amp;$E376="","",IF($B376="","missing date",IF($C376="","missing worker",IF($I376="?","unknown worker - was the name changed on Workers?",IF($D376="","missing type",IF(N($E376)=0,"missing amount",IF(AND($E376&lt;0,$D376&lt;&gt;"Correction"),"negative amount - use a Correction to undo",IF(OR($B376&lt;Weeks!$A$6,$B376&gt;Weeks!$B$58),"date outside this workbook's year",IF(AND($D376="Advance",N($L376)&lt;0),"Warning: more than earned so far - worker now owes "&amp;ROUND(-$L376,0),"")))))))))</f>
        <v/>
      </c>
    </row>
    <row r="377" customFormat="false" ht="15" hidden="false" customHeight="false" outlineLevel="0" collapsed="false">
      <c r="A377" s="24" t="str">
        <f aca="false">IF($B377="","",ROW()-5)</f>
        <v/>
      </c>
      <c r="B377" s="25"/>
      <c r="C377" s="20"/>
      <c r="D377" s="26"/>
      <c r="E377" s="27"/>
      <c r="F377" s="20"/>
      <c r="G377" s="20"/>
      <c r="H377" s="26"/>
      <c r="I377" s="24" t="str">
        <f aca="false">IF($C377="","",IFERROR(INDEX(WorkerIDs,MATCH($C377,WorkerNames,0)),"?"))</f>
        <v/>
      </c>
      <c r="J377" s="18" t="str">
        <f aca="false">IF($B377="","",$B377-WEEKDAY($B377,2)+1)</f>
        <v/>
      </c>
      <c r="K377" s="28" t="str">
        <f aca="false">IF(OR($I377="",$I377="?",$D377&lt;&gt;"Advance",$B377=""),"",$I377&amp;"|"&amp;$J377&amp;"|"&amp;COUNTIFS($I$6:$I377,$I377,$J$6:$J377,$J377,$D$6:$D377,"Advance"))</f>
        <v/>
      </c>
      <c r="L377" s="29" t="str">
        <f aca="false">IF(OR($I377="",$I377="?",$B377=""),"",SUMPRODUCT((Weeks!$A$6:$A$58&lt;=$J377)*(Weeks!$Z$4:$AK$4=$I377)*Weeks!$Z$6:$AK$58)-SUMIFS($E$6:$E$1005,$I$6:$I$1005,$I377,$B$6:$B$1005,"&lt;="&amp;$B377))</f>
        <v/>
      </c>
      <c r="M377" s="19" t="str">
        <f aca="false">IF($B377&amp;$C377&amp;$D377&amp;$E377="","",IF($B377="","missing date",IF($C377="","missing worker",IF($I377="?","unknown worker - was the name changed on Workers?",IF($D377="","missing type",IF(N($E377)=0,"missing amount",IF(AND($E377&lt;0,$D377&lt;&gt;"Correction"),"negative amount - use a Correction to undo",IF(OR($B377&lt;Weeks!$A$6,$B377&gt;Weeks!$B$58),"date outside this workbook's year",IF(AND($D377="Advance",N($L377)&lt;0),"Warning: more than earned so far - worker now owes "&amp;ROUND(-$L377,0),"")))))))))</f>
        <v/>
      </c>
    </row>
    <row r="378" customFormat="false" ht="15" hidden="false" customHeight="false" outlineLevel="0" collapsed="false">
      <c r="A378" s="24" t="str">
        <f aca="false">IF($B378="","",ROW()-5)</f>
        <v/>
      </c>
      <c r="B378" s="25"/>
      <c r="C378" s="20"/>
      <c r="D378" s="26"/>
      <c r="E378" s="27"/>
      <c r="F378" s="20"/>
      <c r="G378" s="20"/>
      <c r="H378" s="26"/>
      <c r="I378" s="24" t="str">
        <f aca="false">IF($C378="","",IFERROR(INDEX(WorkerIDs,MATCH($C378,WorkerNames,0)),"?"))</f>
        <v/>
      </c>
      <c r="J378" s="18" t="str">
        <f aca="false">IF($B378="","",$B378-WEEKDAY($B378,2)+1)</f>
        <v/>
      </c>
      <c r="K378" s="28" t="str">
        <f aca="false">IF(OR($I378="",$I378="?",$D378&lt;&gt;"Advance",$B378=""),"",$I378&amp;"|"&amp;$J378&amp;"|"&amp;COUNTIFS($I$6:$I378,$I378,$J$6:$J378,$J378,$D$6:$D378,"Advance"))</f>
        <v/>
      </c>
      <c r="L378" s="29" t="str">
        <f aca="false">IF(OR($I378="",$I378="?",$B378=""),"",SUMPRODUCT((Weeks!$A$6:$A$58&lt;=$J378)*(Weeks!$Z$4:$AK$4=$I378)*Weeks!$Z$6:$AK$58)-SUMIFS($E$6:$E$1005,$I$6:$I$1005,$I378,$B$6:$B$1005,"&lt;="&amp;$B378))</f>
        <v/>
      </c>
      <c r="M378" s="19" t="str">
        <f aca="false">IF($B378&amp;$C378&amp;$D378&amp;$E378="","",IF($B378="","missing date",IF($C378="","missing worker",IF($I378="?","unknown worker - was the name changed on Workers?",IF($D378="","missing type",IF(N($E378)=0,"missing amount",IF(AND($E378&lt;0,$D378&lt;&gt;"Correction"),"negative amount - use a Correction to undo",IF(OR($B378&lt;Weeks!$A$6,$B378&gt;Weeks!$B$58),"date outside this workbook's year",IF(AND($D378="Advance",N($L378)&lt;0),"Warning: more than earned so far - worker now owes "&amp;ROUND(-$L378,0),"")))))))))</f>
        <v/>
      </c>
    </row>
    <row r="379" customFormat="false" ht="15" hidden="false" customHeight="false" outlineLevel="0" collapsed="false">
      <c r="A379" s="24" t="str">
        <f aca="false">IF($B379="","",ROW()-5)</f>
        <v/>
      </c>
      <c r="B379" s="25"/>
      <c r="C379" s="20"/>
      <c r="D379" s="26"/>
      <c r="E379" s="27"/>
      <c r="F379" s="20"/>
      <c r="G379" s="20"/>
      <c r="H379" s="26"/>
      <c r="I379" s="24" t="str">
        <f aca="false">IF($C379="","",IFERROR(INDEX(WorkerIDs,MATCH($C379,WorkerNames,0)),"?"))</f>
        <v/>
      </c>
      <c r="J379" s="18" t="str">
        <f aca="false">IF($B379="","",$B379-WEEKDAY($B379,2)+1)</f>
        <v/>
      </c>
      <c r="K379" s="28" t="str">
        <f aca="false">IF(OR($I379="",$I379="?",$D379&lt;&gt;"Advance",$B379=""),"",$I379&amp;"|"&amp;$J379&amp;"|"&amp;COUNTIFS($I$6:$I379,$I379,$J$6:$J379,$J379,$D$6:$D379,"Advance"))</f>
        <v/>
      </c>
      <c r="L379" s="29" t="str">
        <f aca="false">IF(OR($I379="",$I379="?",$B379=""),"",SUMPRODUCT((Weeks!$A$6:$A$58&lt;=$J379)*(Weeks!$Z$4:$AK$4=$I379)*Weeks!$Z$6:$AK$58)-SUMIFS($E$6:$E$1005,$I$6:$I$1005,$I379,$B$6:$B$1005,"&lt;="&amp;$B379))</f>
        <v/>
      </c>
      <c r="M379" s="19" t="str">
        <f aca="false">IF($B379&amp;$C379&amp;$D379&amp;$E379="","",IF($B379="","missing date",IF($C379="","missing worker",IF($I379="?","unknown worker - was the name changed on Workers?",IF($D379="","missing type",IF(N($E379)=0,"missing amount",IF(AND($E379&lt;0,$D379&lt;&gt;"Correction"),"negative amount - use a Correction to undo",IF(OR($B379&lt;Weeks!$A$6,$B379&gt;Weeks!$B$58),"date outside this workbook's year",IF(AND($D379="Advance",N($L379)&lt;0),"Warning: more than earned so far - worker now owes "&amp;ROUND(-$L379,0),"")))))))))</f>
        <v/>
      </c>
    </row>
    <row r="380" customFormat="false" ht="15" hidden="false" customHeight="false" outlineLevel="0" collapsed="false">
      <c r="A380" s="24" t="str">
        <f aca="false">IF($B380="","",ROW()-5)</f>
        <v/>
      </c>
      <c r="B380" s="25"/>
      <c r="C380" s="20"/>
      <c r="D380" s="26"/>
      <c r="E380" s="27"/>
      <c r="F380" s="20"/>
      <c r="G380" s="20"/>
      <c r="H380" s="26"/>
      <c r="I380" s="24" t="str">
        <f aca="false">IF($C380="","",IFERROR(INDEX(WorkerIDs,MATCH($C380,WorkerNames,0)),"?"))</f>
        <v/>
      </c>
      <c r="J380" s="18" t="str">
        <f aca="false">IF($B380="","",$B380-WEEKDAY($B380,2)+1)</f>
        <v/>
      </c>
      <c r="K380" s="28" t="str">
        <f aca="false">IF(OR($I380="",$I380="?",$D380&lt;&gt;"Advance",$B380=""),"",$I380&amp;"|"&amp;$J380&amp;"|"&amp;COUNTIFS($I$6:$I380,$I380,$J$6:$J380,$J380,$D$6:$D380,"Advance"))</f>
        <v/>
      </c>
      <c r="L380" s="29" t="str">
        <f aca="false">IF(OR($I380="",$I380="?",$B380=""),"",SUMPRODUCT((Weeks!$A$6:$A$58&lt;=$J380)*(Weeks!$Z$4:$AK$4=$I380)*Weeks!$Z$6:$AK$58)-SUMIFS($E$6:$E$1005,$I$6:$I$1005,$I380,$B$6:$B$1005,"&lt;="&amp;$B380))</f>
        <v/>
      </c>
      <c r="M380" s="19" t="str">
        <f aca="false">IF($B380&amp;$C380&amp;$D380&amp;$E380="","",IF($B380="","missing date",IF($C380="","missing worker",IF($I380="?","unknown worker - was the name changed on Workers?",IF($D380="","missing type",IF(N($E380)=0,"missing amount",IF(AND($E380&lt;0,$D380&lt;&gt;"Correction"),"negative amount - use a Correction to undo",IF(OR($B380&lt;Weeks!$A$6,$B380&gt;Weeks!$B$58),"date outside this workbook's year",IF(AND($D380="Advance",N($L380)&lt;0),"Warning: more than earned so far - worker now owes "&amp;ROUND(-$L380,0),"")))))))))</f>
        <v/>
      </c>
    </row>
    <row r="381" customFormat="false" ht="15" hidden="false" customHeight="false" outlineLevel="0" collapsed="false">
      <c r="A381" s="24" t="str">
        <f aca="false">IF($B381="","",ROW()-5)</f>
        <v/>
      </c>
      <c r="B381" s="25"/>
      <c r="C381" s="20"/>
      <c r="D381" s="26"/>
      <c r="E381" s="27"/>
      <c r="F381" s="20"/>
      <c r="G381" s="20"/>
      <c r="H381" s="26"/>
      <c r="I381" s="24" t="str">
        <f aca="false">IF($C381="","",IFERROR(INDEX(WorkerIDs,MATCH($C381,WorkerNames,0)),"?"))</f>
        <v/>
      </c>
      <c r="J381" s="18" t="str">
        <f aca="false">IF($B381="","",$B381-WEEKDAY($B381,2)+1)</f>
        <v/>
      </c>
      <c r="K381" s="28" t="str">
        <f aca="false">IF(OR($I381="",$I381="?",$D381&lt;&gt;"Advance",$B381=""),"",$I381&amp;"|"&amp;$J381&amp;"|"&amp;COUNTIFS($I$6:$I381,$I381,$J$6:$J381,$J381,$D$6:$D381,"Advance"))</f>
        <v/>
      </c>
      <c r="L381" s="29" t="str">
        <f aca="false">IF(OR($I381="",$I381="?",$B381=""),"",SUMPRODUCT((Weeks!$A$6:$A$58&lt;=$J381)*(Weeks!$Z$4:$AK$4=$I381)*Weeks!$Z$6:$AK$58)-SUMIFS($E$6:$E$1005,$I$6:$I$1005,$I381,$B$6:$B$1005,"&lt;="&amp;$B381))</f>
        <v/>
      </c>
      <c r="M381" s="19" t="str">
        <f aca="false">IF($B381&amp;$C381&amp;$D381&amp;$E381="","",IF($B381="","missing date",IF($C381="","missing worker",IF($I381="?","unknown worker - was the name changed on Workers?",IF($D381="","missing type",IF(N($E381)=0,"missing amount",IF(AND($E381&lt;0,$D381&lt;&gt;"Correction"),"negative amount - use a Correction to undo",IF(OR($B381&lt;Weeks!$A$6,$B381&gt;Weeks!$B$58),"date outside this workbook's year",IF(AND($D381="Advance",N($L381)&lt;0),"Warning: more than earned so far - worker now owes "&amp;ROUND(-$L381,0),"")))))))))</f>
        <v/>
      </c>
    </row>
    <row r="382" customFormat="false" ht="15" hidden="false" customHeight="false" outlineLevel="0" collapsed="false">
      <c r="A382" s="24" t="str">
        <f aca="false">IF($B382="","",ROW()-5)</f>
        <v/>
      </c>
      <c r="B382" s="25"/>
      <c r="C382" s="20"/>
      <c r="D382" s="26"/>
      <c r="E382" s="27"/>
      <c r="F382" s="20"/>
      <c r="G382" s="20"/>
      <c r="H382" s="26"/>
      <c r="I382" s="24" t="str">
        <f aca="false">IF($C382="","",IFERROR(INDEX(WorkerIDs,MATCH($C382,WorkerNames,0)),"?"))</f>
        <v/>
      </c>
      <c r="J382" s="18" t="str">
        <f aca="false">IF($B382="","",$B382-WEEKDAY($B382,2)+1)</f>
        <v/>
      </c>
      <c r="K382" s="28" t="str">
        <f aca="false">IF(OR($I382="",$I382="?",$D382&lt;&gt;"Advance",$B382=""),"",$I382&amp;"|"&amp;$J382&amp;"|"&amp;COUNTIFS($I$6:$I382,$I382,$J$6:$J382,$J382,$D$6:$D382,"Advance"))</f>
        <v/>
      </c>
      <c r="L382" s="29" t="str">
        <f aca="false">IF(OR($I382="",$I382="?",$B382=""),"",SUMPRODUCT((Weeks!$A$6:$A$58&lt;=$J382)*(Weeks!$Z$4:$AK$4=$I382)*Weeks!$Z$6:$AK$58)-SUMIFS($E$6:$E$1005,$I$6:$I$1005,$I382,$B$6:$B$1005,"&lt;="&amp;$B382))</f>
        <v/>
      </c>
      <c r="M382" s="19" t="str">
        <f aca="false">IF($B382&amp;$C382&amp;$D382&amp;$E382="","",IF($B382="","missing date",IF($C382="","missing worker",IF($I382="?","unknown worker - was the name changed on Workers?",IF($D382="","missing type",IF(N($E382)=0,"missing amount",IF(AND($E382&lt;0,$D382&lt;&gt;"Correction"),"negative amount - use a Correction to undo",IF(OR($B382&lt;Weeks!$A$6,$B382&gt;Weeks!$B$58),"date outside this workbook's year",IF(AND($D382="Advance",N($L382)&lt;0),"Warning: more than earned so far - worker now owes "&amp;ROUND(-$L382,0),"")))))))))</f>
        <v/>
      </c>
    </row>
    <row r="383" customFormat="false" ht="15" hidden="false" customHeight="false" outlineLevel="0" collapsed="false">
      <c r="A383" s="24" t="str">
        <f aca="false">IF($B383="","",ROW()-5)</f>
        <v/>
      </c>
      <c r="B383" s="25"/>
      <c r="C383" s="20"/>
      <c r="D383" s="26"/>
      <c r="E383" s="27"/>
      <c r="F383" s="20"/>
      <c r="G383" s="20"/>
      <c r="H383" s="26"/>
      <c r="I383" s="24" t="str">
        <f aca="false">IF($C383="","",IFERROR(INDEX(WorkerIDs,MATCH($C383,WorkerNames,0)),"?"))</f>
        <v/>
      </c>
      <c r="J383" s="18" t="str">
        <f aca="false">IF($B383="","",$B383-WEEKDAY($B383,2)+1)</f>
        <v/>
      </c>
      <c r="K383" s="28" t="str">
        <f aca="false">IF(OR($I383="",$I383="?",$D383&lt;&gt;"Advance",$B383=""),"",$I383&amp;"|"&amp;$J383&amp;"|"&amp;COUNTIFS($I$6:$I383,$I383,$J$6:$J383,$J383,$D$6:$D383,"Advance"))</f>
        <v/>
      </c>
      <c r="L383" s="29" t="str">
        <f aca="false">IF(OR($I383="",$I383="?",$B383=""),"",SUMPRODUCT((Weeks!$A$6:$A$58&lt;=$J383)*(Weeks!$Z$4:$AK$4=$I383)*Weeks!$Z$6:$AK$58)-SUMIFS($E$6:$E$1005,$I$6:$I$1005,$I383,$B$6:$B$1005,"&lt;="&amp;$B383))</f>
        <v/>
      </c>
      <c r="M383" s="19" t="str">
        <f aca="false">IF($B383&amp;$C383&amp;$D383&amp;$E383="","",IF($B383="","missing date",IF($C383="","missing worker",IF($I383="?","unknown worker - was the name changed on Workers?",IF($D383="","missing type",IF(N($E383)=0,"missing amount",IF(AND($E383&lt;0,$D383&lt;&gt;"Correction"),"negative amount - use a Correction to undo",IF(OR($B383&lt;Weeks!$A$6,$B383&gt;Weeks!$B$58),"date outside this workbook's year",IF(AND($D383="Advance",N($L383)&lt;0),"Warning: more than earned so far - worker now owes "&amp;ROUND(-$L383,0),"")))))))))</f>
        <v/>
      </c>
    </row>
    <row r="384" customFormat="false" ht="15" hidden="false" customHeight="false" outlineLevel="0" collapsed="false">
      <c r="A384" s="24" t="str">
        <f aca="false">IF($B384="","",ROW()-5)</f>
        <v/>
      </c>
      <c r="B384" s="25"/>
      <c r="C384" s="20"/>
      <c r="D384" s="26"/>
      <c r="E384" s="27"/>
      <c r="F384" s="20"/>
      <c r="G384" s="20"/>
      <c r="H384" s="26"/>
      <c r="I384" s="24" t="str">
        <f aca="false">IF($C384="","",IFERROR(INDEX(WorkerIDs,MATCH($C384,WorkerNames,0)),"?"))</f>
        <v/>
      </c>
      <c r="J384" s="18" t="str">
        <f aca="false">IF($B384="","",$B384-WEEKDAY($B384,2)+1)</f>
        <v/>
      </c>
      <c r="K384" s="28" t="str">
        <f aca="false">IF(OR($I384="",$I384="?",$D384&lt;&gt;"Advance",$B384=""),"",$I384&amp;"|"&amp;$J384&amp;"|"&amp;COUNTIFS($I$6:$I384,$I384,$J$6:$J384,$J384,$D$6:$D384,"Advance"))</f>
        <v/>
      </c>
      <c r="L384" s="29" t="str">
        <f aca="false">IF(OR($I384="",$I384="?",$B384=""),"",SUMPRODUCT((Weeks!$A$6:$A$58&lt;=$J384)*(Weeks!$Z$4:$AK$4=$I384)*Weeks!$Z$6:$AK$58)-SUMIFS($E$6:$E$1005,$I$6:$I$1005,$I384,$B$6:$B$1005,"&lt;="&amp;$B384))</f>
        <v/>
      </c>
      <c r="M384" s="19" t="str">
        <f aca="false">IF($B384&amp;$C384&amp;$D384&amp;$E384="","",IF($B384="","missing date",IF($C384="","missing worker",IF($I384="?","unknown worker - was the name changed on Workers?",IF($D384="","missing type",IF(N($E384)=0,"missing amount",IF(AND($E384&lt;0,$D384&lt;&gt;"Correction"),"negative amount - use a Correction to undo",IF(OR($B384&lt;Weeks!$A$6,$B384&gt;Weeks!$B$58),"date outside this workbook's year",IF(AND($D384="Advance",N($L384)&lt;0),"Warning: more than earned so far - worker now owes "&amp;ROUND(-$L384,0),"")))))))))</f>
        <v/>
      </c>
    </row>
    <row r="385" customFormat="false" ht="15" hidden="false" customHeight="false" outlineLevel="0" collapsed="false">
      <c r="A385" s="24" t="str">
        <f aca="false">IF($B385="","",ROW()-5)</f>
        <v/>
      </c>
      <c r="B385" s="25"/>
      <c r="C385" s="20"/>
      <c r="D385" s="26"/>
      <c r="E385" s="27"/>
      <c r="F385" s="20"/>
      <c r="G385" s="20"/>
      <c r="H385" s="26"/>
      <c r="I385" s="24" t="str">
        <f aca="false">IF($C385="","",IFERROR(INDEX(WorkerIDs,MATCH($C385,WorkerNames,0)),"?"))</f>
        <v/>
      </c>
      <c r="J385" s="18" t="str">
        <f aca="false">IF($B385="","",$B385-WEEKDAY($B385,2)+1)</f>
        <v/>
      </c>
      <c r="K385" s="28" t="str">
        <f aca="false">IF(OR($I385="",$I385="?",$D385&lt;&gt;"Advance",$B385=""),"",$I385&amp;"|"&amp;$J385&amp;"|"&amp;COUNTIFS($I$6:$I385,$I385,$J$6:$J385,$J385,$D$6:$D385,"Advance"))</f>
        <v/>
      </c>
      <c r="L385" s="29" t="str">
        <f aca="false">IF(OR($I385="",$I385="?",$B385=""),"",SUMPRODUCT((Weeks!$A$6:$A$58&lt;=$J385)*(Weeks!$Z$4:$AK$4=$I385)*Weeks!$Z$6:$AK$58)-SUMIFS($E$6:$E$1005,$I$6:$I$1005,$I385,$B$6:$B$1005,"&lt;="&amp;$B385))</f>
        <v/>
      </c>
      <c r="M385" s="19" t="str">
        <f aca="false">IF($B385&amp;$C385&amp;$D385&amp;$E385="","",IF($B385="","missing date",IF($C385="","missing worker",IF($I385="?","unknown worker - was the name changed on Workers?",IF($D385="","missing type",IF(N($E385)=0,"missing amount",IF(AND($E385&lt;0,$D385&lt;&gt;"Correction"),"negative amount - use a Correction to undo",IF(OR($B385&lt;Weeks!$A$6,$B385&gt;Weeks!$B$58),"date outside this workbook's year",IF(AND($D385="Advance",N($L385)&lt;0),"Warning: more than earned so far - worker now owes "&amp;ROUND(-$L385,0),"")))))))))</f>
        <v/>
      </c>
    </row>
    <row r="386" customFormat="false" ht="15" hidden="false" customHeight="false" outlineLevel="0" collapsed="false">
      <c r="A386" s="24" t="str">
        <f aca="false">IF($B386="","",ROW()-5)</f>
        <v/>
      </c>
      <c r="B386" s="25"/>
      <c r="C386" s="20"/>
      <c r="D386" s="26"/>
      <c r="E386" s="27"/>
      <c r="F386" s="20"/>
      <c r="G386" s="20"/>
      <c r="H386" s="26"/>
      <c r="I386" s="24" t="str">
        <f aca="false">IF($C386="","",IFERROR(INDEX(WorkerIDs,MATCH($C386,WorkerNames,0)),"?"))</f>
        <v/>
      </c>
      <c r="J386" s="18" t="str">
        <f aca="false">IF($B386="","",$B386-WEEKDAY($B386,2)+1)</f>
        <v/>
      </c>
      <c r="K386" s="28" t="str">
        <f aca="false">IF(OR($I386="",$I386="?",$D386&lt;&gt;"Advance",$B386=""),"",$I386&amp;"|"&amp;$J386&amp;"|"&amp;COUNTIFS($I$6:$I386,$I386,$J$6:$J386,$J386,$D$6:$D386,"Advance"))</f>
        <v/>
      </c>
      <c r="L386" s="29" t="str">
        <f aca="false">IF(OR($I386="",$I386="?",$B386=""),"",SUMPRODUCT((Weeks!$A$6:$A$58&lt;=$J386)*(Weeks!$Z$4:$AK$4=$I386)*Weeks!$Z$6:$AK$58)-SUMIFS($E$6:$E$1005,$I$6:$I$1005,$I386,$B$6:$B$1005,"&lt;="&amp;$B386))</f>
        <v/>
      </c>
      <c r="M386" s="19" t="str">
        <f aca="false">IF($B386&amp;$C386&amp;$D386&amp;$E386="","",IF($B386="","missing date",IF($C386="","missing worker",IF($I386="?","unknown worker - was the name changed on Workers?",IF($D386="","missing type",IF(N($E386)=0,"missing amount",IF(AND($E386&lt;0,$D386&lt;&gt;"Correction"),"negative amount - use a Correction to undo",IF(OR($B386&lt;Weeks!$A$6,$B386&gt;Weeks!$B$58),"date outside this workbook's year",IF(AND($D386="Advance",N($L386)&lt;0),"Warning: more than earned so far - worker now owes "&amp;ROUND(-$L386,0),"")))))))))</f>
        <v/>
      </c>
    </row>
    <row r="387" customFormat="false" ht="15" hidden="false" customHeight="false" outlineLevel="0" collapsed="false">
      <c r="A387" s="24" t="str">
        <f aca="false">IF($B387="","",ROW()-5)</f>
        <v/>
      </c>
      <c r="B387" s="25"/>
      <c r="C387" s="20"/>
      <c r="D387" s="26"/>
      <c r="E387" s="27"/>
      <c r="F387" s="20"/>
      <c r="G387" s="20"/>
      <c r="H387" s="26"/>
      <c r="I387" s="24" t="str">
        <f aca="false">IF($C387="","",IFERROR(INDEX(WorkerIDs,MATCH($C387,WorkerNames,0)),"?"))</f>
        <v/>
      </c>
      <c r="J387" s="18" t="str">
        <f aca="false">IF($B387="","",$B387-WEEKDAY($B387,2)+1)</f>
        <v/>
      </c>
      <c r="K387" s="28" t="str">
        <f aca="false">IF(OR($I387="",$I387="?",$D387&lt;&gt;"Advance",$B387=""),"",$I387&amp;"|"&amp;$J387&amp;"|"&amp;COUNTIFS($I$6:$I387,$I387,$J$6:$J387,$J387,$D$6:$D387,"Advance"))</f>
        <v/>
      </c>
      <c r="L387" s="29" t="str">
        <f aca="false">IF(OR($I387="",$I387="?",$B387=""),"",SUMPRODUCT((Weeks!$A$6:$A$58&lt;=$J387)*(Weeks!$Z$4:$AK$4=$I387)*Weeks!$Z$6:$AK$58)-SUMIFS($E$6:$E$1005,$I$6:$I$1005,$I387,$B$6:$B$1005,"&lt;="&amp;$B387))</f>
        <v/>
      </c>
      <c r="M387" s="19" t="str">
        <f aca="false">IF($B387&amp;$C387&amp;$D387&amp;$E387="","",IF($B387="","missing date",IF($C387="","missing worker",IF($I387="?","unknown worker - was the name changed on Workers?",IF($D387="","missing type",IF(N($E387)=0,"missing amount",IF(AND($E387&lt;0,$D387&lt;&gt;"Correction"),"negative amount - use a Correction to undo",IF(OR($B387&lt;Weeks!$A$6,$B387&gt;Weeks!$B$58),"date outside this workbook's year",IF(AND($D387="Advance",N($L387)&lt;0),"Warning: more than earned so far - worker now owes "&amp;ROUND(-$L387,0),"")))))))))</f>
        <v/>
      </c>
    </row>
    <row r="388" customFormat="false" ht="15" hidden="false" customHeight="false" outlineLevel="0" collapsed="false">
      <c r="A388" s="24" t="str">
        <f aca="false">IF($B388="","",ROW()-5)</f>
        <v/>
      </c>
      <c r="B388" s="25"/>
      <c r="C388" s="20"/>
      <c r="D388" s="26"/>
      <c r="E388" s="27"/>
      <c r="F388" s="20"/>
      <c r="G388" s="20"/>
      <c r="H388" s="26"/>
      <c r="I388" s="24" t="str">
        <f aca="false">IF($C388="","",IFERROR(INDEX(WorkerIDs,MATCH($C388,WorkerNames,0)),"?"))</f>
        <v/>
      </c>
      <c r="J388" s="18" t="str">
        <f aca="false">IF($B388="","",$B388-WEEKDAY($B388,2)+1)</f>
        <v/>
      </c>
      <c r="K388" s="28" t="str">
        <f aca="false">IF(OR($I388="",$I388="?",$D388&lt;&gt;"Advance",$B388=""),"",$I388&amp;"|"&amp;$J388&amp;"|"&amp;COUNTIFS($I$6:$I388,$I388,$J$6:$J388,$J388,$D$6:$D388,"Advance"))</f>
        <v/>
      </c>
      <c r="L388" s="29" t="str">
        <f aca="false">IF(OR($I388="",$I388="?",$B388=""),"",SUMPRODUCT((Weeks!$A$6:$A$58&lt;=$J388)*(Weeks!$Z$4:$AK$4=$I388)*Weeks!$Z$6:$AK$58)-SUMIFS($E$6:$E$1005,$I$6:$I$1005,$I388,$B$6:$B$1005,"&lt;="&amp;$B388))</f>
        <v/>
      </c>
      <c r="M388" s="19" t="str">
        <f aca="false">IF($B388&amp;$C388&amp;$D388&amp;$E388="","",IF($B388="","missing date",IF($C388="","missing worker",IF($I388="?","unknown worker - was the name changed on Workers?",IF($D388="","missing type",IF(N($E388)=0,"missing amount",IF(AND($E388&lt;0,$D388&lt;&gt;"Correction"),"negative amount - use a Correction to undo",IF(OR($B388&lt;Weeks!$A$6,$B388&gt;Weeks!$B$58),"date outside this workbook's year",IF(AND($D388="Advance",N($L388)&lt;0),"Warning: more than earned so far - worker now owes "&amp;ROUND(-$L388,0),"")))))))))</f>
        <v/>
      </c>
    </row>
    <row r="389" customFormat="false" ht="15" hidden="false" customHeight="false" outlineLevel="0" collapsed="false">
      <c r="A389" s="24" t="str">
        <f aca="false">IF($B389="","",ROW()-5)</f>
        <v/>
      </c>
      <c r="B389" s="25"/>
      <c r="C389" s="20"/>
      <c r="D389" s="26"/>
      <c r="E389" s="27"/>
      <c r="F389" s="20"/>
      <c r="G389" s="20"/>
      <c r="H389" s="26"/>
      <c r="I389" s="24" t="str">
        <f aca="false">IF($C389="","",IFERROR(INDEX(WorkerIDs,MATCH($C389,WorkerNames,0)),"?"))</f>
        <v/>
      </c>
      <c r="J389" s="18" t="str">
        <f aca="false">IF($B389="","",$B389-WEEKDAY($B389,2)+1)</f>
        <v/>
      </c>
      <c r="K389" s="28" t="str">
        <f aca="false">IF(OR($I389="",$I389="?",$D389&lt;&gt;"Advance",$B389=""),"",$I389&amp;"|"&amp;$J389&amp;"|"&amp;COUNTIFS($I$6:$I389,$I389,$J$6:$J389,$J389,$D$6:$D389,"Advance"))</f>
        <v/>
      </c>
      <c r="L389" s="29" t="str">
        <f aca="false">IF(OR($I389="",$I389="?",$B389=""),"",SUMPRODUCT((Weeks!$A$6:$A$58&lt;=$J389)*(Weeks!$Z$4:$AK$4=$I389)*Weeks!$Z$6:$AK$58)-SUMIFS($E$6:$E$1005,$I$6:$I$1005,$I389,$B$6:$B$1005,"&lt;="&amp;$B389))</f>
        <v/>
      </c>
      <c r="M389" s="19" t="str">
        <f aca="false">IF($B389&amp;$C389&amp;$D389&amp;$E389="","",IF($B389="","missing date",IF($C389="","missing worker",IF($I389="?","unknown worker - was the name changed on Workers?",IF($D389="","missing type",IF(N($E389)=0,"missing amount",IF(AND($E389&lt;0,$D389&lt;&gt;"Correction"),"negative amount - use a Correction to undo",IF(OR($B389&lt;Weeks!$A$6,$B389&gt;Weeks!$B$58),"date outside this workbook's year",IF(AND($D389="Advance",N($L389)&lt;0),"Warning: more than earned so far - worker now owes "&amp;ROUND(-$L389,0),"")))))))))</f>
        <v/>
      </c>
    </row>
    <row r="390" customFormat="false" ht="15" hidden="false" customHeight="false" outlineLevel="0" collapsed="false">
      <c r="A390" s="24" t="str">
        <f aca="false">IF($B390="","",ROW()-5)</f>
        <v/>
      </c>
      <c r="B390" s="25"/>
      <c r="C390" s="20"/>
      <c r="D390" s="26"/>
      <c r="E390" s="27"/>
      <c r="F390" s="20"/>
      <c r="G390" s="20"/>
      <c r="H390" s="26"/>
      <c r="I390" s="24" t="str">
        <f aca="false">IF($C390="","",IFERROR(INDEX(WorkerIDs,MATCH($C390,WorkerNames,0)),"?"))</f>
        <v/>
      </c>
      <c r="J390" s="18" t="str">
        <f aca="false">IF($B390="","",$B390-WEEKDAY($B390,2)+1)</f>
        <v/>
      </c>
      <c r="K390" s="28" t="str">
        <f aca="false">IF(OR($I390="",$I390="?",$D390&lt;&gt;"Advance",$B390=""),"",$I390&amp;"|"&amp;$J390&amp;"|"&amp;COUNTIFS($I$6:$I390,$I390,$J$6:$J390,$J390,$D$6:$D390,"Advance"))</f>
        <v/>
      </c>
      <c r="L390" s="29" t="str">
        <f aca="false">IF(OR($I390="",$I390="?",$B390=""),"",SUMPRODUCT((Weeks!$A$6:$A$58&lt;=$J390)*(Weeks!$Z$4:$AK$4=$I390)*Weeks!$Z$6:$AK$58)-SUMIFS($E$6:$E$1005,$I$6:$I$1005,$I390,$B$6:$B$1005,"&lt;="&amp;$B390))</f>
        <v/>
      </c>
      <c r="M390" s="19" t="str">
        <f aca="false">IF($B390&amp;$C390&amp;$D390&amp;$E390="","",IF($B390="","missing date",IF($C390="","missing worker",IF($I390="?","unknown worker - was the name changed on Workers?",IF($D390="","missing type",IF(N($E390)=0,"missing amount",IF(AND($E390&lt;0,$D390&lt;&gt;"Correction"),"negative amount - use a Correction to undo",IF(OR($B390&lt;Weeks!$A$6,$B390&gt;Weeks!$B$58),"date outside this workbook's year",IF(AND($D390="Advance",N($L390)&lt;0),"Warning: more than earned so far - worker now owes "&amp;ROUND(-$L390,0),"")))))))))</f>
        <v/>
      </c>
    </row>
    <row r="391" customFormat="false" ht="15" hidden="false" customHeight="false" outlineLevel="0" collapsed="false">
      <c r="A391" s="24" t="str">
        <f aca="false">IF($B391="","",ROW()-5)</f>
        <v/>
      </c>
      <c r="B391" s="25"/>
      <c r="C391" s="20"/>
      <c r="D391" s="26"/>
      <c r="E391" s="27"/>
      <c r="F391" s="20"/>
      <c r="G391" s="20"/>
      <c r="H391" s="26"/>
      <c r="I391" s="24" t="str">
        <f aca="false">IF($C391="","",IFERROR(INDEX(WorkerIDs,MATCH($C391,WorkerNames,0)),"?"))</f>
        <v/>
      </c>
      <c r="J391" s="18" t="str">
        <f aca="false">IF($B391="","",$B391-WEEKDAY($B391,2)+1)</f>
        <v/>
      </c>
      <c r="K391" s="28" t="str">
        <f aca="false">IF(OR($I391="",$I391="?",$D391&lt;&gt;"Advance",$B391=""),"",$I391&amp;"|"&amp;$J391&amp;"|"&amp;COUNTIFS($I$6:$I391,$I391,$J$6:$J391,$J391,$D$6:$D391,"Advance"))</f>
        <v/>
      </c>
      <c r="L391" s="29" t="str">
        <f aca="false">IF(OR($I391="",$I391="?",$B391=""),"",SUMPRODUCT((Weeks!$A$6:$A$58&lt;=$J391)*(Weeks!$Z$4:$AK$4=$I391)*Weeks!$Z$6:$AK$58)-SUMIFS($E$6:$E$1005,$I$6:$I$1005,$I391,$B$6:$B$1005,"&lt;="&amp;$B391))</f>
        <v/>
      </c>
      <c r="M391" s="19" t="str">
        <f aca="false">IF($B391&amp;$C391&amp;$D391&amp;$E391="","",IF($B391="","missing date",IF($C391="","missing worker",IF($I391="?","unknown worker - was the name changed on Workers?",IF($D391="","missing type",IF(N($E391)=0,"missing amount",IF(AND($E391&lt;0,$D391&lt;&gt;"Correction"),"negative amount - use a Correction to undo",IF(OR($B391&lt;Weeks!$A$6,$B391&gt;Weeks!$B$58),"date outside this workbook's year",IF(AND($D391="Advance",N($L391)&lt;0),"Warning: more than earned so far - worker now owes "&amp;ROUND(-$L391,0),"")))))))))</f>
        <v/>
      </c>
    </row>
    <row r="392" customFormat="false" ht="15" hidden="false" customHeight="false" outlineLevel="0" collapsed="false">
      <c r="A392" s="24" t="str">
        <f aca="false">IF($B392="","",ROW()-5)</f>
        <v/>
      </c>
      <c r="B392" s="25"/>
      <c r="C392" s="20"/>
      <c r="D392" s="26"/>
      <c r="E392" s="27"/>
      <c r="F392" s="20"/>
      <c r="G392" s="20"/>
      <c r="H392" s="26"/>
      <c r="I392" s="24" t="str">
        <f aca="false">IF($C392="","",IFERROR(INDEX(WorkerIDs,MATCH($C392,WorkerNames,0)),"?"))</f>
        <v/>
      </c>
      <c r="J392" s="18" t="str">
        <f aca="false">IF($B392="","",$B392-WEEKDAY($B392,2)+1)</f>
        <v/>
      </c>
      <c r="K392" s="28" t="str">
        <f aca="false">IF(OR($I392="",$I392="?",$D392&lt;&gt;"Advance",$B392=""),"",$I392&amp;"|"&amp;$J392&amp;"|"&amp;COUNTIFS($I$6:$I392,$I392,$J$6:$J392,$J392,$D$6:$D392,"Advance"))</f>
        <v/>
      </c>
      <c r="L392" s="29" t="str">
        <f aca="false">IF(OR($I392="",$I392="?",$B392=""),"",SUMPRODUCT((Weeks!$A$6:$A$58&lt;=$J392)*(Weeks!$Z$4:$AK$4=$I392)*Weeks!$Z$6:$AK$58)-SUMIFS($E$6:$E$1005,$I$6:$I$1005,$I392,$B$6:$B$1005,"&lt;="&amp;$B392))</f>
        <v/>
      </c>
      <c r="M392" s="19" t="str">
        <f aca="false">IF($B392&amp;$C392&amp;$D392&amp;$E392="","",IF($B392="","missing date",IF($C392="","missing worker",IF($I392="?","unknown worker - was the name changed on Workers?",IF($D392="","missing type",IF(N($E392)=0,"missing amount",IF(AND($E392&lt;0,$D392&lt;&gt;"Correction"),"negative amount - use a Correction to undo",IF(OR($B392&lt;Weeks!$A$6,$B392&gt;Weeks!$B$58),"date outside this workbook's year",IF(AND($D392="Advance",N($L392)&lt;0),"Warning: more than earned so far - worker now owes "&amp;ROUND(-$L392,0),"")))))))))</f>
        <v/>
      </c>
    </row>
    <row r="393" customFormat="false" ht="15" hidden="false" customHeight="false" outlineLevel="0" collapsed="false">
      <c r="A393" s="24" t="str">
        <f aca="false">IF($B393="","",ROW()-5)</f>
        <v/>
      </c>
      <c r="B393" s="25"/>
      <c r="C393" s="20"/>
      <c r="D393" s="26"/>
      <c r="E393" s="27"/>
      <c r="F393" s="20"/>
      <c r="G393" s="20"/>
      <c r="H393" s="26"/>
      <c r="I393" s="24" t="str">
        <f aca="false">IF($C393="","",IFERROR(INDEX(WorkerIDs,MATCH($C393,WorkerNames,0)),"?"))</f>
        <v/>
      </c>
      <c r="J393" s="18" t="str">
        <f aca="false">IF($B393="","",$B393-WEEKDAY($B393,2)+1)</f>
        <v/>
      </c>
      <c r="K393" s="28" t="str">
        <f aca="false">IF(OR($I393="",$I393="?",$D393&lt;&gt;"Advance",$B393=""),"",$I393&amp;"|"&amp;$J393&amp;"|"&amp;COUNTIFS($I$6:$I393,$I393,$J$6:$J393,$J393,$D$6:$D393,"Advance"))</f>
        <v/>
      </c>
      <c r="L393" s="29" t="str">
        <f aca="false">IF(OR($I393="",$I393="?",$B393=""),"",SUMPRODUCT((Weeks!$A$6:$A$58&lt;=$J393)*(Weeks!$Z$4:$AK$4=$I393)*Weeks!$Z$6:$AK$58)-SUMIFS($E$6:$E$1005,$I$6:$I$1005,$I393,$B$6:$B$1005,"&lt;="&amp;$B393))</f>
        <v/>
      </c>
      <c r="M393" s="19" t="str">
        <f aca="false">IF($B393&amp;$C393&amp;$D393&amp;$E393="","",IF($B393="","missing date",IF($C393="","missing worker",IF($I393="?","unknown worker - was the name changed on Workers?",IF($D393="","missing type",IF(N($E393)=0,"missing amount",IF(AND($E393&lt;0,$D393&lt;&gt;"Correction"),"negative amount - use a Correction to undo",IF(OR($B393&lt;Weeks!$A$6,$B393&gt;Weeks!$B$58),"date outside this workbook's year",IF(AND($D393="Advance",N($L393)&lt;0),"Warning: more than earned so far - worker now owes "&amp;ROUND(-$L393,0),"")))))))))</f>
        <v/>
      </c>
    </row>
    <row r="394" customFormat="false" ht="15" hidden="false" customHeight="false" outlineLevel="0" collapsed="false">
      <c r="A394" s="24" t="str">
        <f aca="false">IF($B394="","",ROW()-5)</f>
        <v/>
      </c>
      <c r="B394" s="25"/>
      <c r="C394" s="20"/>
      <c r="D394" s="26"/>
      <c r="E394" s="27"/>
      <c r="F394" s="20"/>
      <c r="G394" s="20"/>
      <c r="H394" s="26"/>
      <c r="I394" s="24" t="str">
        <f aca="false">IF($C394="","",IFERROR(INDEX(WorkerIDs,MATCH($C394,WorkerNames,0)),"?"))</f>
        <v/>
      </c>
      <c r="J394" s="18" t="str">
        <f aca="false">IF($B394="","",$B394-WEEKDAY($B394,2)+1)</f>
        <v/>
      </c>
      <c r="K394" s="28" t="str">
        <f aca="false">IF(OR($I394="",$I394="?",$D394&lt;&gt;"Advance",$B394=""),"",$I394&amp;"|"&amp;$J394&amp;"|"&amp;COUNTIFS($I$6:$I394,$I394,$J$6:$J394,$J394,$D$6:$D394,"Advance"))</f>
        <v/>
      </c>
      <c r="L394" s="29" t="str">
        <f aca="false">IF(OR($I394="",$I394="?",$B394=""),"",SUMPRODUCT((Weeks!$A$6:$A$58&lt;=$J394)*(Weeks!$Z$4:$AK$4=$I394)*Weeks!$Z$6:$AK$58)-SUMIFS($E$6:$E$1005,$I$6:$I$1005,$I394,$B$6:$B$1005,"&lt;="&amp;$B394))</f>
        <v/>
      </c>
      <c r="M394" s="19" t="str">
        <f aca="false">IF($B394&amp;$C394&amp;$D394&amp;$E394="","",IF($B394="","missing date",IF($C394="","missing worker",IF($I394="?","unknown worker - was the name changed on Workers?",IF($D394="","missing type",IF(N($E394)=0,"missing amount",IF(AND($E394&lt;0,$D394&lt;&gt;"Correction"),"negative amount - use a Correction to undo",IF(OR($B394&lt;Weeks!$A$6,$B394&gt;Weeks!$B$58),"date outside this workbook's year",IF(AND($D394="Advance",N($L394)&lt;0),"Warning: more than earned so far - worker now owes "&amp;ROUND(-$L394,0),"")))))))))</f>
        <v/>
      </c>
    </row>
    <row r="395" customFormat="false" ht="15" hidden="false" customHeight="false" outlineLevel="0" collapsed="false">
      <c r="A395" s="24" t="str">
        <f aca="false">IF($B395="","",ROW()-5)</f>
        <v/>
      </c>
      <c r="B395" s="25"/>
      <c r="C395" s="20"/>
      <c r="D395" s="26"/>
      <c r="E395" s="27"/>
      <c r="F395" s="20"/>
      <c r="G395" s="20"/>
      <c r="H395" s="26"/>
      <c r="I395" s="24" t="str">
        <f aca="false">IF($C395="","",IFERROR(INDEX(WorkerIDs,MATCH($C395,WorkerNames,0)),"?"))</f>
        <v/>
      </c>
      <c r="J395" s="18" t="str">
        <f aca="false">IF($B395="","",$B395-WEEKDAY($B395,2)+1)</f>
        <v/>
      </c>
      <c r="K395" s="28" t="str">
        <f aca="false">IF(OR($I395="",$I395="?",$D395&lt;&gt;"Advance",$B395=""),"",$I395&amp;"|"&amp;$J395&amp;"|"&amp;COUNTIFS($I$6:$I395,$I395,$J$6:$J395,$J395,$D$6:$D395,"Advance"))</f>
        <v/>
      </c>
      <c r="L395" s="29" t="str">
        <f aca="false">IF(OR($I395="",$I395="?",$B395=""),"",SUMPRODUCT((Weeks!$A$6:$A$58&lt;=$J395)*(Weeks!$Z$4:$AK$4=$I395)*Weeks!$Z$6:$AK$58)-SUMIFS($E$6:$E$1005,$I$6:$I$1005,$I395,$B$6:$B$1005,"&lt;="&amp;$B395))</f>
        <v/>
      </c>
      <c r="M395" s="19" t="str">
        <f aca="false">IF($B395&amp;$C395&amp;$D395&amp;$E395="","",IF($B395="","missing date",IF($C395="","missing worker",IF($I395="?","unknown worker - was the name changed on Workers?",IF($D395="","missing type",IF(N($E395)=0,"missing amount",IF(AND($E395&lt;0,$D395&lt;&gt;"Correction"),"negative amount - use a Correction to undo",IF(OR($B395&lt;Weeks!$A$6,$B395&gt;Weeks!$B$58),"date outside this workbook's year",IF(AND($D395="Advance",N($L395)&lt;0),"Warning: more than earned so far - worker now owes "&amp;ROUND(-$L395,0),"")))))))))</f>
        <v/>
      </c>
    </row>
    <row r="396" customFormat="false" ht="15" hidden="false" customHeight="false" outlineLevel="0" collapsed="false">
      <c r="A396" s="24" t="str">
        <f aca="false">IF($B396="","",ROW()-5)</f>
        <v/>
      </c>
      <c r="B396" s="25"/>
      <c r="C396" s="20"/>
      <c r="D396" s="26"/>
      <c r="E396" s="27"/>
      <c r="F396" s="20"/>
      <c r="G396" s="20"/>
      <c r="H396" s="26"/>
      <c r="I396" s="24" t="str">
        <f aca="false">IF($C396="","",IFERROR(INDEX(WorkerIDs,MATCH($C396,WorkerNames,0)),"?"))</f>
        <v/>
      </c>
      <c r="J396" s="18" t="str">
        <f aca="false">IF($B396="","",$B396-WEEKDAY($B396,2)+1)</f>
        <v/>
      </c>
      <c r="K396" s="28" t="str">
        <f aca="false">IF(OR($I396="",$I396="?",$D396&lt;&gt;"Advance",$B396=""),"",$I396&amp;"|"&amp;$J396&amp;"|"&amp;COUNTIFS($I$6:$I396,$I396,$J$6:$J396,$J396,$D$6:$D396,"Advance"))</f>
        <v/>
      </c>
      <c r="L396" s="29" t="str">
        <f aca="false">IF(OR($I396="",$I396="?",$B396=""),"",SUMPRODUCT((Weeks!$A$6:$A$58&lt;=$J396)*(Weeks!$Z$4:$AK$4=$I396)*Weeks!$Z$6:$AK$58)-SUMIFS($E$6:$E$1005,$I$6:$I$1005,$I396,$B$6:$B$1005,"&lt;="&amp;$B396))</f>
        <v/>
      </c>
      <c r="M396" s="19" t="str">
        <f aca="false">IF($B396&amp;$C396&amp;$D396&amp;$E396="","",IF($B396="","missing date",IF($C396="","missing worker",IF($I396="?","unknown worker - was the name changed on Workers?",IF($D396="","missing type",IF(N($E396)=0,"missing amount",IF(AND($E396&lt;0,$D396&lt;&gt;"Correction"),"negative amount - use a Correction to undo",IF(OR($B396&lt;Weeks!$A$6,$B396&gt;Weeks!$B$58),"date outside this workbook's year",IF(AND($D396="Advance",N($L396)&lt;0),"Warning: more than earned so far - worker now owes "&amp;ROUND(-$L396,0),"")))))))))</f>
        <v/>
      </c>
    </row>
    <row r="397" customFormat="false" ht="15" hidden="false" customHeight="false" outlineLevel="0" collapsed="false">
      <c r="A397" s="24" t="str">
        <f aca="false">IF($B397="","",ROW()-5)</f>
        <v/>
      </c>
      <c r="B397" s="25"/>
      <c r="C397" s="20"/>
      <c r="D397" s="26"/>
      <c r="E397" s="27"/>
      <c r="F397" s="20"/>
      <c r="G397" s="20"/>
      <c r="H397" s="26"/>
      <c r="I397" s="24" t="str">
        <f aca="false">IF($C397="","",IFERROR(INDEX(WorkerIDs,MATCH($C397,WorkerNames,0)),"?"))</f>
        <v/>
      </c>
      <c r="J397" s="18" t="str">
        <f aca="false">IF($B397="","",$B397-WEEKDAY($B397,2)+1)</f>
        <v/>
      </c>
      <c r="K397" s="28" t="str">
        <f aca="false">IF(OR($I397="",$I397="?",$D397&lt;&gt;"Advance",$B397=""),"",$I397&amp;"|"&amp;$J397&amp;"|"&amp;COUNTIFS($I$6:$I397,$I397,$J$6:$J397,$J397,$D$6:$D397,"Advance"))</f>
        <v/>
      </c>
      <c r="L397" s="29" t="str">
        <f aca="false">IF(OR($I397="",$I397="?",$B397=""),"",SUMPRODUCT((Weeks!$A$6:$A$58&lt;=$J397)*(Weeks!$Z$4:$AK$4=$I397)*Weeks!$Z$6:$AK$58)-SUMIFS($E$6:$E$1005,$I$6:$I$1005,$I397,$B$6:$B$1005,"&lt;="&amp;$B397))</f>
        <v/>
      </c>
      <c r="M397" s="19" t="str">
        <f aca="false">IF($B397&amp;$C397&amp;$D397&amp;$E397="","",IF($B397="","missing date",IF($C397="","missing worker",IF($I397="?","unknown worker - was the name changed on Workers?",IF($D397="","missing type",IF(N($E397)=0,"missing amount",IF(AND($E397&lt;0,$D397&lt;&gt;"Correction"),"negative amount - use a Correction to undo",IF(OR($B397&lt;Weeks!$A$6,$B397&gt;Weeks!$B$58),"date outside this workbook's year",IF(AND($D397="Advance",N($L397)&lt;0),"Warning: more than earned so far - worker now owes "&amp;ROUND(-$L397,0),"")))))))))</f>
        <v/>
      </c>
    </row>
    <row r="398" customFormat="false" ht="15" hidden="false" customHeight="false" outlineLevel="0" collapsed="false">
      <c r="A398" s="24" t="str">
        <f aca="false">IF($B398="","",ROW()-5)</f>
        <v/>
      </c>
      <c r="B398" s="25"/>
      <c r="C398" s="20"/>
      <c r="D398" s="26"/>
      <c r="E398" s="27"/>
      <c r="F398" s="20"/>
      <c r="G398" s="20"/>
      <c r="H398" s="26"/>
      <c r="I398" s="24" t="str">
        <f aca="false">IF($C398="","",IFERROR(INDEX(WorkerIDs,MATCH($C398,WorkerNames,0)),"?"))</f>
        <v/>
      </c>
      <c r="J398" s="18" t="str">
        <f aca="false">IF($B398="","",$B398-WEEKDAY($B398,2)+1)</f>
        <v/>
      </c>
      <c r="K398" s="28" t="str">
        <f aca="false">IF(OR($I398="",$I398="?",$D398&lt;&gt;"Advance",$B398=""),"",$I398&amp;"|"&amp;$J398&amp;"|"&amp;COUNTIFS($I$6:$I398,$I398,$J$6:$J398,$J398,$D$6:$D398,"Advance"))</f>
        <v/>
      </c>
      <c r="L398" s="29" t="str">
        <f aca="false">IF(OR($I398="",$I398="?",$B398=""),"",SUMPRODUCT((Weeks!$A$6:$A$58&lt;=$J398)*(Weeks!$Z$4:$AK$4=$I398)*Weeks!$Z$6:$AK$58)-SUMIFS($E$6:$E$1005,$I$6:$I$1005,$I398,$B$6:$B$1005,"&lt;="&amp;$B398))</f>
        <v/>
      </c>
      <c r="M398" s="19" t="str">
        <f aca="false">IF($B398&amp;$C398&amp;$D398&amp;$E398="","",IF($B398="","missing date",IF($C398="","missing worker",IF($I398="?","unknown worker - was the name changed on Workers?",IF($D398="","missing type",IF(N($E398)=0,"missing amount",IF(AND($E398&lt;0,$D398&lt;&gt;"Correction"),"negative amount - use a Correction to undo",IF(OR($B398&lt;Weeks!$A$6,$B398&gt;Weeks!$B$58),"date outside this workbook's year",IF(AND($D398="Advance",N($L398)&lt;0),"Warning: more than earned so far - worker now owes "&amp;ROUND(-$L398,0),"")))))))))</f>
        <v/>
      </c>
    </row>
    <row r="399" customFormat="false" ht="15" hidden="false" customHeight="false" outlineLevel="0" collapsed="false">
      <c r="A399" s="24" t="str">
        <f aca="false">IF($B399="","",ROW()-5)</f>
        <v/>
      </c>
      <c r="B399" s="25"/>
      <c r="C399" s="20"/>
      <c r="D399" s="26"/>
      <c r="E399" s="27"/>
      <c r="F399" s="20"/>
      <c r="G399" s="20"/>
      <c r="H399" s="26"/>
      <c r="I399" s="24" t="str">
        <f aca="false">IF($C399="","",IFERROR(INDEX(WorkerIDs,MATCH($C399,WorkerNames,0)),"?"))</f>
        <v/>
      </c>
      <c r="J399" s="18" t="str">
        <f aca="false">IF($B399="","",$B399-WEEKDAY($B399,2)+1)</f>
        <v/>
      </c>
      <c r="K399" s="28" t="str">
        <f aca="false">IF(OR($I399="",$I399="?",$D399&lt;&gt;"Advance",$B399=""),"",$I399&amp;"|"&amp;$J399&amp;"|"&amp;COUNTIFS($I$6:$I399,$I399,$J$6:$J399,$J399,$D$6:$D399,"Advance"))</f>
        <v/>
      </c>
      <c r="L399" s="29" t="str">
        <f aca="false">IF(OR($I399="",$I399="?",$B399=""),"",SUMPRODUCT((Weeks!$A$6:$A$58&lt;=$J399)*(Weeks!$Z$4:$AK$4=$I399)*Weeks!$Z$6:$AK$58)-SUMIFS($E$6:$E$1005,$I$6:$I$1005,$I399,$B$6:$B$1005,"&lt;="&amp;$B399))</f>
        <v/>
      </c>
      <c r="M399" s="19" t="str">
        <f aca="false">IF($B399&amp;$C399&amp;$D399&amp;$E399="","",IF($B399="","missing date",IF($C399="","missing worker",IF($I399="?","unknown worker - was the name changed on Workers?",IF($D399="","missing type",IF(N($E399)=0,"missing amount",IF(AND($E399&lt;0,$D399&lt;&gt;"Correction"),"negative amount - use a Correction to undo",IF(OR($B399&lt;Weeks!$A$6,$B399&gt;Weeks!$B$58),"date outside this workbook's year",IF(AND($D399="Advance",N($L399)&lt;0),"Warning: more than earned so far - worker now owes "&amp;ROUND(-$L399,0),"")))))))))</f>
        <v/>
      </c>
    </row>
    <row r="400" customFormat="false" ht="15" hidden="false" customHeight="false" outlineLevel="0" collapsed="false">
      <c r="A400" s="24" t="str">
        <f aca="false">IF($B400="","",ROW()-5)</f>
        <v/>
      </c>
      <c r="B400" s="25"/>
      <c r="C400" s="20"/>
      <c r="D400" s="26"/>
      <c r="E400" s="27"/>
      <c r="F400" s="20"/>
      <c r="G400" s="20"/>
      <c r="H400" s="26"/>
      <c r="I400" s="24" t="str">
        <f aca="false">IF($C400="","",IFERROR(INDEX(WorkerIDs,MATCH($C400,WorkerNames,0)),"?"))</f>
        <v/>
      </c>
      <c r="J400" s="18" t="str">
        <f aca="false">IF($B400="","",$B400-WEEKDAY($B400,2)+1)</f>
        <v/>
      </c>
      <c r="K400" s="28" t="str">
        <f aca="false">IF(OR($I400="",$I400="?",$D400&lt;&gt;"Advance",$B400=""),"",$I400&amp;"|"&amp;$J400&amp;"|"&amp;COUNTIFS($I$6:$I400,$I400,$J$6:$J400,$J400,$D$6:$D400,"Advance"))</f>
        <v/>
      </c>
      <c r="L400" s="29" t="str">
        <f aca="false">IF(OR($I400="",$I400="?",$B400=""),"",SUMPRODUCT((Weeks!$A$6:$A$58&lt;=$J400)*(Weeks!$Z$4:$AK$4=$I400)*Weeks!$Z$6:$AK$58)-SUMIFS($E$6:$E$1005,$I$6:$I$1005,$I400,$B$6:$B$1005,"&lt;="&amp;$B400))</f>
        <v/>
      </c>
      <c r="M400" s="19" t="str">
        <f aca="false">IF($B400&amp;$C400&amp;$D400&amp;$E400="","",IF($B400="","missing date",IF($C400="","missing worker",IF($I400="?","unknown worker - was the name changed on Workers?",IF($D400="","missing type",IF(N($E400)=0,"missing amount",IF(AND($E400&lt;0,$D400&lt;&gt;"Correction"),"negative amount - use a Correction to undo",IF(OR($B400&lt;Weeks!$A$6,$B400&gt;Weeks!$B$58),"date outside this workbook's year",IF(AND($D400="Advance",N($L400)&lt;0),"Warning: more than earned so far - worker now owes "&amp;ROUND(-$L400,0),"")))))))))</f>
        <v/>
      </c>
    </row>
    <row r="401" customFormat="false" ht="15" hidden="false" customHeight="false" outlineLevel="0" collapsed="false">
      <c r="A401" s="24" t="str">
        <f aca="false">IF($B401="","",ROW()-5)</f>
        <v/>
      </c>
      <c r="B401" s="25"/>
      <c r="C401" s="20"/>
      <c r="D401" s="26"/>
      <c r="E401" s="27"/>
      <c r="F401" s="20"/>
      <c r="G401" s="20"/>
      <c r="H401" s="26"/>
      <c r="I401" s="24" t="str">
        <f aca="false">IF($C401="","",IFERROR(INDEX(WorkerIDs,MATCH($C401,WorkerNames,0)),"?"))</f>
        <v/>
      </c>
      <c r="J401" s="18" t="str">
        <f aca="false">IF($B401="","",$B401-WEEKDAY($B401,2)+1)</f>
        <v/>
      </c>
      <c r="K401" s="28" t="str">
        <f aca="false">IF(OR($I401="",$I401="?",$D401&lt;&gt;"Advance",$B401=""),"",$I401&amp;"|"&amp;$J401&amp;"|"&amp;COUNTIFS($I$6:$I401,$I401,$J$6:$J401,$J401,$D$6:$D401,"Advance"))</f>
        <v/>
      </c>
      <c r="L401" s="29" t="str">
        <f aca="false">IF(OR($I401="",$I401="?",$B401=""),"",SUMPRODUCT((Weeks!$A$6:$A$58&lt;=$J401)*(Weeks!$Z$4:$AK$4=$I401)*Weeks!$Z$6:$AK$58)-SUMIFS($E$6:$E$1005,$I$6:$I$1005,$I401,$B$6:$B$1005,"&lt;="&amp;$B401))</f>
        <v/>
      </c>
      <c r="M401" s="19" t="str">
        <f aca="false">IF($B401&amp;$C401&amp;$D401&amp;$E401="","",IF($B401="","missing date",IF($C401="","missing worker",IF($I401="?","unknown worker - was the name changed on Workers?",IF($D401="","missing type",IF(N($E401)=0,"missing amount",IF(AND($E401&lt;0,$D401&lt;&gt;"Correction"),"negative amount - use a Correction to undo",IF(OR($B401&lt;Weeks!$A$6,$B401&gt;Weeks!$B$58),"date outside this workbook's year",IF(AND($D401="Advance",N($L401)&lt;0),"Warning: more than earned so far - worker now owes "&amp;ROUND(-$L401,0),"")))))))))</f>
        <v/>
      </c>
    </row>
    <row r="402" customFormat="false" ht="15" hidden="false" customHeight="false" outlineLevel="0" collapsed="false">
      <c r="A402" s="24" t="str">
        <f aca="false">IF($B402="","",ROW()-5)</f>
        <v/>
      </c>
      <c r="B402" s="25"/>
      <c r="C402" s="20"/>
      <c r="D402" s="26"/>
      <c r="E402" s="27"/>
      <c r="F402" s="20"/>
      <c r="G402" s="20"/>
      <c r="H402" s="26"/>
      <c r="I402" s="24" t="str">
        <f aca="false">IF($C402="","",IFERROR(INDEX(WorkerIDs,MATCH($C402,WorkerNames,0)),"?"))</f>
        <v/>
      </c>
      <c r="J402" s="18" t="str">
        <f aca="false">IF($B402="","",$B402-WEEKDAY($B402,2)+1)</f>
        <v/>
      </c>
      <c r="K402" s="28" t="str">
        <f aca="false">IF(OR($I402="",$I402="?",$D402&lt;&gt;"Advance",$B402=""),"",$I402&amp;"|"&amp;$J402&amp;"|"&amp;COUNTIFS($I$6:$I402,$I402,$J$6:$J402,$J402,$D$6:$D402,"Advance"))</f>
        <v/>
      </c>
      <c r="L402" s="29" t="str">
        <f aca="false">IF(OR($I402="",$I402="?",$B402=""),"",SUMPRODUCT((Weeks!$A$6:$A$58&lt;=$J402)*(Weeks!$Z$4:$AK$4=$I402)*Weeks!$Z$6:$AK$58)-SUMIFS($E$6:$E$1005,$I$6:$I$1005,$I402,$B$6:$B$1005,"&lt;="&amp;$B402))</f>
        <v/>
      </c>
      <c r="M402" s="19" t="str">
        <f aca="false">IF($B402&amp;$C402&amp;$D402&amp;$E402="","",IF($B402="","missing date",IF($C402="","missing worker",IF($I402="?","unknown worker - was the name changed on Workers?",IF($D402="","missing type",IF(N($E402)=0,"missing amount",IF(AND($E402&lt;0,$D402&lt;&gt;"Correction"),"negative amount - use a Correction to undo",IF(OR($B402&lt;Weeks!$A$6,$B402&gt;Weeks!$B$58),"date outside this workbook's year",IF(AND($D402="Advance",N($L402)&lt;0),"Warning: more than earned so far - worker now owes "&amp;ROUND(-$L402,0),"")))))))))</f>
        <v/>
      </c>
    </row>
    <row r="403" customFormat="false" ht="15" hidden="false" customHeight="false" outlineLevel="0" collapsed="false">
      <c r="A403" s="24" t="str">
        <f aca="false">IF($B403="","",ROW()-5)</f>
        <v/>
      </c>
      <c r="B403" s="25"/>
      <c r="C403" s="20"/>
      <c r="D403" s="26"/>
      <c r="E403" s="27"/>
      <c r="F403" s="20"/>
      <c r="G403" s="20"/>
      <c r="H403" s="26"/>
      <c r="I403" s="24" t="str">
        <f aca="false">IF($C403="","",IFERROR(INDEX(WorkerIDs,MATCH($C403,WorkerNames,0)),"?"))</f>
        <v/>
      </c>
      <c r="J403" s="18" t="str">
        <f aca="false">IF($B403="","",$B403-WEEKDAY($B403,2)+1)</f>
        <v/>
      </c>
      <c r="K403" s="28" t="str">
        <f aca="false">IF(OR($I403="",$I403="?",$D403&lt;&gt;"Advance",$B403=""),"",$I403&amp;"|"&amp;$J403&amp;"|"&amp;COUNTIFS($I$6:$I403,$I403,$J$6:$J403,$J403,$D$6:$D403,"Advance"))</f>
        <v/>
      </c>
      <c r="L403" s="29" t="str">
        <f aca="false">IF(OR($I403="",$I403="?",$B403=""),"",SUMPRODUCT((Weeks!$A$6:$A$58&lt;=$J403)*(Weeks!$Z$4:$AK$4=$I403)*Weeks!$Z$6:$AK$58)-SUMIFS($E$6:$E$1005,$I$6:$I$1005,$I403,$B$6:$B$1005,"&lt;="&amp;$B403))</f>
        <v/>
      </c>
      <c r="M403" s="19" t="str">
        <f aca="false">IF($B403&amp;$C403&amp;$D403&amp;$E403="","",IF($B403="","missing date",IF($C403="","missing worker",IF($I403="?","unknown worker - was the name changed on Workers?",IF($D403="","missing type",IF(N($E403)=0,"missing amount",IF(AND($E403&lt;0,$D403&lt;&gt;"Correction"),"negative amount - use a Correction to undo",IF(OR($B403&lt;Weeks!$A$6,$B403&gt;Weeks!$B$58),"date outside this workbook's year",IF(AND($D403="Advance",N($L403)&lt;0),"Warning: more than earned so far - worker now owes "&amp;ROUND(-$L403,0),"")))))))))</f>
        <v/>
      </c>
    </row>
    <row r="404" customFormat="false" ht="15" hidden="false" customHeight="false" outlineLevel="0" collapsed="false">
      <c r="A404" s="24" t="str">
        <f aca="false">IF($B404="","",ROW()-5)</f>
        <v/>
      </c>
      <c r="B404" s="25"/>
      <c r="C404" s="20"/>
      <c r="D404" s="26"/>
      <c r="E404" s="27"/>
      <c r="F404" s="20"/>
      <c r="G404" s="20"/>
      <c r="H404" s="26"/>
      <c r="I404" s="24" t="str">
        <f aca="false">IF($C404="","",IFERROR(INDEX(WorkerIDs,MATCH($C404,WorkerNames,0)),"?"))</f>
        <v/>
      </c>
      <c r="J404" s="18" t="str">
        <f aca="false">IF($B404="","",$B404-WEEKDAY($B404,2)+1)</f>
        <v/>
      </c>
      <c r="K404" s="28" t="str">
        <f aca="false">IF(OR($I404="",$I404="?",$D404&lt;&gt;"Advance",$B404=""),"",$I404&amp;"|"&amp;$J404&amp;"|"&amp;COUNTIFS($I$6:$I404,$I404,$J$6:$J404,$J404,$D$6:$D404,"Advance"))</f>
        <v/>
      </c>
      <c r="L404" s="29" t="str">
        <f aca="false">IF(OR($I404="",$I404="?",$B404=""),"",SUMPRODUCT((Weeks!$A$6:$A$58&lt;=$J404)*(Weeks!$Z$4:$AK$4=$I404)*Weeks!$Z$6:$AK$58)-SUMIFS($E$6:$E$1005,$I$6:$I$1005,$I404,$B$6:$B$1005,"&lt;="&amp;$B404))</f>
        <v/>
      </c>
      <c r="M404" s="19" t="str">
        <f aca="false">IF($B404&amp;$C404&amp;$D404&amp;$E404="","",IF($B404="","missing date",IF($C404="","missing worker",IF($I404="?","unknown worker - was the name changed on Workers?",IF($D404="","missing type",IF(N($E404)=0,"missing amount",IF(AND($E404&lt;0,$D404&lt;&gt;"Correction"),"negative amount - use a Correction to undo",IF(OR($B404&lt;Weeks!$A$6,$B404&gt;Weeks!$B$58),"date outside this workbook's year",IF(AND($D404="Advance",N($L404)&lt;0),"Warning: more than earned so far - worker now owes "&amp;ROUND(-$L404,0),"")))))))))</f>
        <v/>
      </c>
    </row>
    <row r="405" customFormat="false" ht="15" hidden="false" customHeight="false" outlineLevel="0" collapsed="false">
      <c r="A405" s="24" t="str">
        <f aca="false">IF($B405="","",ROW()-5)</f>
        <v/>
      </c>
      <c r="B405" s="25"/>
      <c r="C405" s="20"/>
      <c r="D405" s="26"/>
      <c r="E405" s="27"/>
      <c r="F405" s="20"/>
      <c r="G405" s="20"/>
      <c r="H405" s="26"/>
      <c r="I405" s="24" t="str">
        <f aca="false">IF($C405="","",IFERROR(INDEX(WorkerIDs,MATCH($C405,WorkerNames,0)),"?"))</f>
        <v/>
      </c>
      <c r="J405" s="18" t="str">
        <f aca="false">IF($B405="","",$B405-WEEKDAY($B405,2)+1)</f>
        <v/>
      </c>
      <c r="K405" s="28" t="str">
        <f aca="false">IF(OR($I405="",$I405="?",$D405&lt;&gt;"Advance",$B405=""),"",$I405&amp;"|"&amp;$J405&amp;"|"&amp;COUNTIFS($I$6:$I405,$I405,$J$6:$J405,$J405,$D$6:$D405,"Advance"))</f>
        <v/>
      </c>
      <c r="L405" s="29" t="str">
        <f aca="false">IF(OR($I405="",$I405="?",$B405=""),"",SUMPRODUCT((Weeks!$A$6:$A$58&lt;=$J405)*(Weeks!$Z$4:$AK$4=$I405)*Weeks!$Z$6:$AK$58)-SUMIFS($E$6:$E$1005,$I$6:$I$1005,$I405,$B$6:$B$1005,"&lt;="&amp;$B405))</f>
        <v/>
      </c>
      <c r="M405" s="19" t="str">
        <f aca="false">IF($B405&amp;$C405&amp;$D405&amp;$E405="","",IF($B405="","missing date",IF($C405="","missing worker",IF($I405="?","unknown worker - was the name changed on Workers?",IF($D405="","missing type",IF(N($E405)=0,"missing amount",IF(AND($E405&lt;0,$D405&lt;&gt;"Correction"),"negative amount - use a Correction to undo",IF(OR($B405&lt;Weeks!$A$6,$B405&gt;Weeks!$B$58),"date outside this workbook's year",IF(AND($D405="Advance",N($L405)&lt;0),"Warning: more than earned so far - worker now owes "&amp;ROUND(-$L405,0),"")))))))))</f>
        <v/>
      </c>
    </row>
    <row r="406" customFormat="false" ht="15" hidden="false" customHeight="false" outlineLevel="0" collapsed="false">
      <c r="A406" s="24" t="str">
        <f aca="false">IF($B406="","",ROW()-5)</f>
        <v/>
      </c>
      <c r="B406" s="25"/>
      <c r="C406" s="20"/>
      <c r="D406" s="26"/>
      <c r="E406" s="27"/>
      <c r="F406" s="20"/>
      <c r="G406" s="20"/>
      <c r="H406" s="26"/>
      <c r="I406" s="24" t="str">
        <f aca="false">IF($C406="","",IFERROR(INDEX(WorkerIDs,MATCH($C406,WorkerNames,0)),"?"))</f>
        <v/>
      </c>
      <c r="J406" s="18" t="str">
        <f aca="false">IF($B406="","",$B406-WEEKDAY($B406,2)+1)</f>
        <v/>
      </c>
      <c r="K406" s="28" t="str">
        <f aca="false">IF(OR($I406="",$I406="?",$D406&lt;&gt;"Advance",$B406=""),"",$I406&amp;"|"&amp;$J406&amp;"|"&amp;COUNTIFS($I$6:$I406,$I406,$J$6:$J406,$J406,$D$6:$D406,"Advance"))</f>
        <v/>
      </c>
      <c r="L406" s="29" t="str">
        <f aca="false">IF(OR($I406="",$I406="?",$B406=""),"",SUMPRODUCT((Weeks!$A$6:$A$58&lt;=$J406)*(Weeks!$Z$4:$AK$4=$I406)*Weeks!$Z$6:$AK$58)-SUMIFS($E$6:$E$1005,$I$6:$I$1005,$I406,$B$6:$B$1005,"&lt;="&amp;$B406))</f>
        <v/>
      </c>
      <c r="M406" s="19" t="str">
        <f aca="false">IF($B406&amp;$C406&amp;$D406&amp;$E406="","",IF($B406="","missing date",IF($C406="","missing worker",IF($I406="?","unknown worker - was the name changed on Workers?",IF($D406="","missing type",IF(N($E406)=0,"missing amount",IF(AND($E406&lt;0,$D406&lt;&gt;"Correction"),"negative amount - use a Correction to undo",IF(OR($B406&lt;Weeks!$A$6,$B406&gt;Weeks!$B$58),"date outside this workbook's year",IF(AND($D406="Advance",N($L406)&lt;0),"Warning: more than earned so far - worker now owes "&amp;ROUND(-$L406,0),"")))))))))</f>
        <v/>
      </c>
    </row>
    <row r="407" customFormat="false" ht="15" hidden="false" customHeight="false" outlineLevel="0" collapsed="false">
      <c r="A407" s="24" t="str">
        <f aca="false">IF($B407="","",ROW()-5)</f>
        <v/>
      </c>
      <c r="B407" s="25"/>
      <c r="C407" s="20"/>
      <c r="D407" s="26"/>
      <c r="E407" s="27"/>
      <c r="F407" s="20"/>
      <c r="G407" s="20"/>
      <c r="H407" s="26"/>
      <c r="I407" s="24" t="str">
        <f aca="false">IF($C407="","",IFERROR(INDEX(WorkerIDs,MATCH($C407,WorkerNames,0)),"?"))</f>
        <v/>
      </c>
      <c r="J407" s="18" t="str">
        <f aca="false">IF($B407="","",$B407-WEEKDAY($B407,2)+1)</f>
        <v/>
      </c>
      <c r="K407" s="28" t="str">
        <f aca="false">IF(OR($I407="",$I407="?",$D407&lt;&gt;"Advance",$B407=""),"",$I407&amp;"|"&amp;$J407&amp;"|"&amp;COUNTIFS($I$6:$I407,$I407,$J$6:$J407,$J407,$D$6:$D407,"Advance"))</f>
        <v/>
      </c>
      <c r="L407" s="29" t="str">
        <f aca="false">IF(OR($I407="",$I407="?",$B407=""),"",SUMPRODUCT((Weeks!$A$6:$A$58&lt;=$J407)*(Weeks!$Z$4:$AK$4=$I407)*Weeks!$Z$6:$AK$58)-SUMIFS($E$6:$E$1005,$I$6:$I$1005,$I407,$B$6:$B$1005,"&lt;="&amp;$B407))</f>
        <v/>
      </c>
      <c r="M407" s="19" t="str">
        <f aca="false">IF($B407&amp;$C407&amp;$D407&amp;$E407="","",IF($B407="","missing date",IF($C407="","missing worker",IF($I407="?","unknown worker - was the name changed on Workers?",IF($D407="","missing type",IF(N($E407)=0,"missing amount",IF(AND($E407&lt;0,$D407&lt;&gt;"Correction"),"negative amount - use a Correction to undo",IF(OR($B407&lt;Weeks!$A$6,$B407&gt;Weeks!$B$58),"date outside this workbook's year",IF(AND($D407="Advance",N($L407)&lt;0),"Warning: more than earned so far - worker now owes "&amp;ROUND(-$L407,0),"")))))))))</f>
        <v/>
      </c>
    </row>
    <row r="408" customFormat="false" ht="15" hidden="false" customHeight="false" outlineLevel="0" collapsed="false">
      <c r="A408" s="24" t="str">
        <f aca="false">IF($B408="","",ROW()-5)</f>
        <v/>
      </c>
      <c r="B408" s="25"/>
      <c r="C408" s="20"/>
      <c r="D408" s="26"/>
      <c r="E408" s="27"/>
      <c r="F408" s="20"/>
      <c r="G408" s="20"/>
      <c r="H408" s="26"/>
      <c r="I408" s="24" t="str">
        <f aca="false">IF($C408="","",IFERROR(INDEX(WorkerIDs,MATCH($C408,WorkerNames,0)),"?"))</f>
        <v/>
      </c>
      <c r="J408" s="18" t="str">
        <f aca="false">IF($B408="","",$B408-WEEKDAY($B408,2)+1)</f>
        <v/>
      </c>
      <c r="K408" s="28" t="str">
        <f aca="false">IF(OR($I408="",$I408="?",$D408&lt;&gt;"Advance",$B408=""),"",$I408&amp;"|"&amp;$J408&amp;"|"&amp;COUNTIFS($I$6:$I408,$I408,$J$6:$J408,$J408,$D$6:$D408,"Advance"))</f>
        <v/>
      </c>
      <c r="L408" s="29" t="str">
        <f aca="false">IF(OR($I408="",$I408="?",$B408=""),"",SUMPRODUCT((Weeks!$A$6:$A$58&lt;=$J408)*(Weeks!$Z$4:$AK$4=$I408)*Weeks!$Z$6:$AK$58)-SUMIFS($E$6:$E$1005,$I$6:$I$1005,$I408,$B$6:$B$1005,"&lt;="&amp;$B408))</f>
        <v/>
      </c>
      <c r="M408" s="19" t="str">
        <f aca="false">IF($B408&amp;$C408&amp;$D408&amp;$E408="","",IF($B408="","missing date",IF($C408="","missing worker",IF($I408="?","unknown worker - was the name changed on Workers?",IF($D408="","missing type",IF(N($E408)=0,"missing amount",IF(AND($E408&lt;0,$D408&lt;&gt;"Correction"),"negative amount - use a Correction to undo",IF(OR($B408&lt;Weeks!$A$6,$B408&gt;Weeks!$B$58),"date outside this workbook's year",IF(AND($D408="Advance",N($L408)&lt;0),"Warning: more than earned so far - worker now owes "&amp;ROUND(-$L408,0),"")))))))))</f>
        <v/>
      </c>
    </row>
    <row r="409" customFormat="false" ht="15" hidden="false" customHeight="false" outlineLevel="0" collapsed="false">
      <c r="A409" s="24" t="str">
        <f aca="false">IF($B409="","",ROW()-5)</f>
        <v/>
      </c>
      <c r="B409" s="25"/>
      <c r="C409" s="20"/>
      <c r="D409" s="26"/>
      <c r="E409" s="27"/>
      <c r="F409" s="20"/>
      <c r="G409" s="20"/>
      <c r="H409" s="26"/>
      <c r="I409" s="24" t="str">
        <f aca="false">IF($C409="","",IFERROR(INDEX(WorkerIDs,MATCH($C409,WorkerNames,0)),"?"))</f>
        <v/>
      </c>
      <c r="J409" s="18" t="str">
        <f aca="false">IF($B409="","",$B409-WEEKDAY($B409,2)+1)</f>
        <v/>
      </c>
      <c r="K409" s="28" t="str">
        <f aca="false">IF(OR($I409="",$I409="?",$D409&lt;&gt;"Advance",$B409=""),"",$I409&amp;"|"&amp;$J409&amp;"|"&amp;COUNTIFS($I$6:$I409,$I409,$J$6:$J409,$J409,$D$6:$D409,"Advance"))</f>
        <v/>
      </c>
      <c r="L409" s="29" t="str">
        <f aca="false">IF(OR($I409="",$I409="?",$B409=""),"",SUMPRODUCT((Weeks!$A$6:$A$58&lt;=$J409)*(Weeks!$Z$4:$AK$4=$I409)*Weeks!$Z$6:$AK$58)-SUMIFS($E$6:$E$1005,$I$6:$I$1005,$I409,$B$6:$B$1005,"&lt;="&amp;$B409))</f>
        <v/>
      </c>
      <c r="M409" s="19" t="str">
        <f aca="false">IF($B409&amp;$C409&amp;$D409&amp;$E409="","",IF($B409="","missing date",IF($C409="","missing worker",IF($I409="?","unknown worker - was the name changed on Workers?",IF($D409="","missing type",IF(N($E409)=0,"missing amount",IF(AND($E409&lt;0,$D409&lt;&gt;"Correction"),"negative amount - use a Correction to undo",IF(OR($B409&lt;Weeks!$A$6,$B409&gt;Weeks!$B$58),"date outside this workbook's year",IF(AND($D409="Advance",N($L409)&lt;0),"Warning: more than earned so far - worker now owes "&amp;ROUND(-$L409,0),"")))))))))</f>
        <v/>
      </c>
    </row>
    <row r="410" customFormat="false" ht="15" hidden="false" customHeight="false" outlineLevel="0" collapsed="false">
      <c r="A410" s="24" t="str">
        <f aca="false">IF($B410="","",ROW()-5)</f>
        <v/>
      </c>
      <c r="B410" s="25"/>
      <c r="C410" s="20"/>
      <c r="D410" s="26"/>
      <c r="E410" s="27"/>
      <c r="F410" s="20"/>
      <c r="G410" s="20"/>
      <c r="H410" s="26"/>
      <c r="I410" s="24" t="str">
        <f aca="false">IF($C410="","",IFERROR(INDEX(WorkerIDs,MATCH($C410,WorkerNames,0)),"?"))</f>
        <v/>
      </c>
      <c r="J410" s="18" t="str">
        <f aca="false">IF($B410="","",$B410-WEEKDAY($B410,2)+1)</f>
        <v/>
      </c>
      <c r="K410" s="28" t="str">
        <f aca="false">IF(OR($I410="",$I410="?",$D410&lt;&gt;"Advance",$B410=""),"",$I410&amp;"|"&amp;$J410&amp;"|"&amp;COUNTIFS($I$6:$I410,$I410,$J$6:$J410,$J410,$D$6:$D410,"Advance"))</f>
        <v/>
      </c>
      <c r="L410" s="29" t="str">
        <f aca="false">IF(OR($I410="",$I410="?",$B410=""),"",SUMPRODUCT((Weeks!$A$6:$A$58&lt;=$J410)*(Weeks!$Z$4:$AK$4=$I410)*Weeks!$Z$6:$AK$58)-SUMIFS($E$6:$E$1005,$I$6:$I$1005,$I410,$B$6:$B$1005,"&lt;="&amp;$B410))</f>
        <v/>
      </c>
      <c r="M410" s="19" t="str">
        <f aca="false">IF($B410&amp;$C410&amp;$D410&amp;$E410="","",IF($B410="","missing date",IF($C410="","missing worker",IF($I410="?","unknown worker - was the name changed on Workers?",IF($D410="","missing type",IF(N($E410)=0,"missing amount",IF(AND($E410&lt;0,$D410&lt;&gt;"Correction"),"negative amount - use a Correction to undo",IF(OR($B410&lt;Weeks!$A$6,$B410&gt;Weeks!$B$58),"date outside this workbook's year",IF(AND($D410="Advance",N($L410)&lt;0),"Warning: more than earned so far - worker now owes "&amp;ROUND(-$L410,0),"")))))))))</f>
        <v/>
      </c>
    </row>
    <row r="411" customFormat="false" ht="15" hidden="false" customHeight="false" outlineLevel="0" collapsed="false">
      <c r="A411" s="24" t="str">
        <f aca="false">IF($B411="","",ROW()-5)</f>
        <v/>
      </c>
      <c r="B411" s="25"/>
      <c r="C411" s="20"/>
      <c r="D411" s="26"/>
      <c r="E411" s="27"/>
      <c r="F411" s="20"/>
      <c r="G411" s="20"/>
      <c r="H411" s="26"/>
      <c r="I411" s="24" t="str">
        <f aca="false">IF($C411="","",IFERROR(INDEX(WorkerIDs,MATCH($C411,WorkerNames,0)),"?"))</f>
        <v/>
      </c>
      <c r="J411" s="18" t="str">
        <f aca="false">IF($B411="","",$B411-WEEKDAY($B411,2)+1)</f>
        <v/>
      </c>
      <c r="K411" s="28" t="str">
        <f aca="false">IF(OR($I411="",$I411="?",$D411&lt;&gt;"Advance",$B411=""),"",$I411&amp;"|"&amp;$J411&amp;"|"&amp;COUNTIFS($I$6:$I411,$I411,$J$6:$J411,$J411,$D$6:$D411,"Advance"))</f>
        <v/>
      </c>
      <c r="L411" s="29" t="str">
        <f aca="false">IF(OR($I411="",$I411="?",$B411=""),"",SUMPRODUCT((Weeks!$A$6:$A$58&lt;=$J411)*(Weeks!$Z$4:$AK$4=$I411)*Weeks!$Z$6:$AK$58)-SUMIFS($E$6:$E$1005,$I$6:$I$1005,$I411,$B$6:$B$1005,"&lt;="&amp;$B411))</f>
        <v/>
      </c>
      <c r="M411" s="19" t="str">
        <f aca="false">IF($B411&amp;$C411&amp;$D411&amp;$E411="","",IF($B411="","missing date",IF($C411="","missing worker",IF($I411="?","unknown worker - was the name changed on Workers?",IF($D411="","missing type",IF(N($E411)=0,"missing amount",IF(AND($E411&lt;0,$D411&lt;&gt;"Correction"),"negative amount - use a Correction to undo",IF(OR($B411&lt;Weeks!$A$6,$B411&gt;Weeks!$B$58),"date outside this workbook's year",IF(AND($D411="Advance",N($L411)&lt;0),"Warning: more than earned so far - worker now owes "&amp;ROUND(-$L411,0),"")))))))))</f>
        <v/>
      </c>
    </row>
    <row r="412" customFormat="false" ht="15" hidden="false" customHeight="false" outlineLevel="0" collapsed="false">
      <c r="A412" s="24" t="str">
        <f aca="false">IF($B412="","",ROW()-5)</f>
        <v/>
      </c>
      <c r="B412" s="25"/>
      <c r="C412" s="20"/>
      <c r="D412" s="26"/>
      <c r="E412" s="27"/>
      <c r="F412" s="20"/>
      <c r="G412" s="20"/>
      <c r="H412" s="26"/>
      <c r="I412" s="24" t="str">
        <f aca="false">IF($C412="","",IFERROR(INDEX(WorkerIDs,MATCH($C412,WorkerNames,0)),"?"))</f>
        <v/>
      </c>
      <c r="J412" s="18" t="str">
        <f aca="false">IF($B412="","",$B412-WEEKDAY($B412,2)+1)</f>
        <v/>
      </c>
      <c r="K412" s="28" t="str">
        <f aca="false">IF(OR($I412="",$I412="?",$D412&lt;&gt;"Advance",$B412=""),"",$I412&amp;"|"&amp;$J412&amp;"|"&amp;COUNTIFS($I$6:$I412,$I412,$J$6:$J412,$J412,$D$6:$D412,"Advance"))</f>
        <v/>
      </c>
      <c r="L412" s="29" t="str">
        <f aca="false">IF(OR($I412="",$I412="?",$B412=""),"",SUMPRODUCT((Weeks!$A$6:$A$58&lt;=$J412)*(Weeks!$Z$4:$AK$4=$I412)*Weeks!$Z$6:$AK$58)-SUMIFS($E$6:$E$1005,$I$6:$I$1005,$I412,$B$6:$B$1005,"&lt;="&amp;$B412))</f>
        <v/>
      </c>
      <c r="M412" s="19" t="str">
        <f aca="false">IF($B412&amp;$C412&amp;$D412&amp;$E412="","",IF($B412="","missing date",IF($C412="","missing worker",IF($I412="?","unknown worker - was the name changed on Workers?",IF($D412="","missing type",IF(N($E412)=0,"missing amount",IF(AND($E412&lt;0,$D412&lt;&gt;"Correction"),"negative amount - use a Correction to undo",IF(OR($B412&lt;Weeks!$A$6,$B412&gt;Weeks!$B$58),"date outside this workbook's year",IF(AND($D412="Advance",N($L412)&lt;0),"Warning: more than earned so far - worker now owes "&amp;ROUND(-$L412,0),"")))))))))</f>
        <v/>
      </c>
    </row>
    <row r="413" customFormat="false" ht="15" hidden="false" customHeight="false" outlineLevel="0" collapsed="false">
      <c r="A413" s="24" t="str">
        <f aca="false">IF($B413="","",ROW()-5)</f>
        <v/>
      </c>
      <c r="B413" s="25"/>
      <c r="C413" s="20"/>
      <c r="D413" s="26"/>
      <c r="E413" s="27"/>
      <c r="F413" s="20"/>
      <c r="G413" s="20"/>
      <c r="H413" s="26"/>
      <c r="I413" s="24" t="str">
        <f aca="false">IF($C413="","",IFERROR(INDEX(WorkerIDs,MATCH($C413,WorkerNames,0)),"?"))</f>
        <v/>
      </c>
      <c r="J413" s="18" t="str">
        <f aca="false">IF($B413="","",$B413-WEEKDAY($B413,2)+1)</f>
        <v/>
      </c>
      <c r="K413" s="28" t="str">
        <f aca="false">IF(OR($I413="",$I413="?",$D413&lt;&gt;"Advance",$B413=""),"",$I413&amp;"|"&amp;$J413&amp;"|"&amp;COUNTIFS($I$6:$I413,$I413,$J$6:$J413,$J413,$D$6:$D413,"Advance"))</f>
        <v/>
      </c>
      <c r="L413" s="29" t="str">
        <f aca="false">IF(OR($I413="",$I413="?",$B413=""),"",SUMPRODUCT((Weeks!$A$6:$A$58&lt;=$J413)*(Weeks!$Z$4:$AK$4=$I413)*Weeks!$Z$6:$AK$58)-SUMIFS($E$6:$E$1005,$I$6:$I$1005,$I413,$B$6:$B$1005,"&lt;="&amp;$B413))</f>
        <v/>
      </c>
      <c r="M413" s="19" t="str">
        <f aca="false">IF($B413&amp;$C413&amp;$D413&amp;$E413="","",IF($B413="","missing date",IF($C413="","missing worker",IF($I413="?","unknown worker - was the name changed on Workers?",IF($D413="","missing type",IF(N($E413)=0,"missing amount",IF(AND($E413&lt;0,$D413&lt;&gt;"Correction"),"negative amount - use a Correction to undo",IF(OR($B413&lt;Weeks!$A$6,$B413&gt;Weeks!$B$58),"date outside this workbook's year",IF(AND($D413="Advance",N($L413)&lt;0),"Warning: more than earned so far - worker now owes "&amp;ROUND(-$L413,0),"")))))))))</f>
        <v/>
      </c>
    </row>
    <row r="414" customFormat="false" ht="15" hidden="false" customHeight="false" outlineLevel="0" collapsed="false">
      <c r="A414" s="24" t="str">
        <f aca="false">IF($B414="","",ROW()-5)</f>
        <v/>
      </c>
      <c r="B414" s="25"/>
      <c r="C414" s="20"/>
      <c r="D414" s="26"/>
      <c r="E414" s="27"/>
      <c r="F414" s="20"/>
      <c r="G414" s="20"/>
      <c r="H414" s="26"/>
      <c r="I414" s="24" t="str">
        <f aca="false">IF($C414="","",IFERROR(INDEX(WorkerIDs,MATCH($C414,WorkerNames,0)),"?"))</f>
        <v/>
      </c>
      <c r="J414" s="18" t="str">
        <f aca="false">IF($B414="","",$B414-WEEKDAY($B414,2)+1)</f>
        <v/>
      </c>
      <c r="K414" s="28" t="str">
        <f aca="false">IF(OR($I414="",$I414="?",$D414&lt;&gt;"Advance",$B414=""),"",$I414&amp;"|"&amp;$J414&amp;"|"&amp;COUNTIFS($I$6:$I414,$I414,$J$6:$J414,$J414,$D$6:$D414,"Advance"))</f>
        <v/>
      </c>
      <c r="L414" s="29" t="str">
        <f aca="false">IF(OR($I414="",$I414="?",$B414=""),"",SUMPRODUCT((Weeks!$A$6:$A$58&lt;=$J414)*(Weeks!$Z$4:$AK$4=$I414)*Weeks!$Z$6:$AK$58)-SUMIFS($E$6:$E$1005,$I$6:$I$1005,$I414,$B$6:$B$1005,"&lt;="&amp;$B414))</f>
        <v/>
      </c>
      <c r="M414" s="19" t="str">
        <f aca="false">IF($B414&amp;$C414&amp;$D414&amp;$E414="","",IF($B414="","missing date",IF($C414="","missing worker",IF($I414="?","unknown worker - was the name changed on Workers?",IF($D414="","missing type",IF(N($E414)=0,"missing amount",IF(AND($E414&lt;0,$D414&lt;&gt;"Correction"),"negative amount - use a Correction to undo",IF(OR($B414&lt;Weeks!$A$6,$B414&gt;Weeks!$B$58),"date outside this workbook's year",IF(AND($D414="Advance",N($L414)&lt;0),"Warning: more than earned so far - worker now owes "&amp;ROUND(-$L414,0),"")))))))))</f>
        <v/>
      </c>
    </row>
    <row r="415" customFormat="false" ht="15" hidden="false" customHeight="false" outlineLevel="0" collapsed="false">
      <c r="A415" s="24" t="str">
        <f aca="false">IF($B415="","",ROW()-5)</f>
        <v/>
      </c>
      <c r="B415" s="25"/>
      <c r="C415" s="20"/>
      <c r="D415" s="26"/>
      <c r="E415" s="27"/>
      <c r="F415" s="20"/>
      <c r="G415" s="20"/>
      <c r="H415" s="26"/>
      <c r="I415" s="24" t="str">
        <f aca="false">IF($C415="","",IFERROR(INDEX(WorkerIDs,MATCH($C415,WorkerNames,0)),"?"))</f>
        <v/>
      </c>
      <c r="J415" s="18" t="str">
        <f aca="false">IF($B415="","",$B415-WEEKDAY($B415,2)+1)</f>
        <v/>
      </c>
      <c r="K415" s="28" t="str">
        <f aca="false">IF(OR($I415="",$I415="?",$D415&lt;&gt;"Advance",$B415=""),"",$I415&amp;"|"&amp;$J415&amp;"|"&amp;COUNTIFS($I$6:$I415,$I415,$J$6:$J415,$J415,$D$6:$D415,"Advance"))</f>
        <v/>
      </c>
      <c r="L415" s="29" t="str">
        <f aca="false">IF(OR($I415="",$I415="?",$B415=""),"",SUMPRODUCT((Weeks!$A$6:$A$58&lt;=$J415)*(Weeks!$Z$4:$AK$4=$I415)*Weeks!$Z$6:$AK$58)-SUMIFS($E$6:$E$1005,$I$6:$I$1005,$I415,$B$6:$B$1005,"&lt;="&amp;$B415))</f>
        <v/>
      </c>
      <c r="M415" s="19" t="str">
        <f aca="false">IF($B415&amp;$C415&amp;$D415&amp;$E415="","",IF($B415="","missing date",IF($C415="","missing worker",IF($I415="?","unknown worker - was the name changed on Workers?",IF($D415="","missing type",IF(N($E415)=0,"missing amount",IF(AND($E415&lt;0,$D415&lt;&gt;"Correction"),"negative amount - use a Correction to undo",IF(OR($B415&lt;Weeks!$A$6,$B415&gt;Weeks!$B$58),"date outside this workbook's year",IF(AND($D415="Advance",N($L415)&lt;0),"Warning: more than earned so far - worker now owes "&amp;ROUND(-$L415,0),"")))))))))</f>
        <v/>
      </c>
    </row>
    <row r="416" customFormat="false" ht="15" hidden="false" customHeight="false" outlineLevel="0" collapsed="false">
      <c r="A416" s="24" t="str">
        <f aca="false">IF($B416="","",ROW()-5)</f>
        <v/>
      </c>
      <c r="B416" s="25"/>
      <c r="C416" s="20"/>
      <c r="D416" s="26"/>
      <c r="E416" s="27"/>
      <c r="F416" s="20"/>
      <c r="G416" s="20"/>
      <c r="H416" s="26"/>
      <c r="I416" s="24" t="str">
        <f aca="false">IF($C416="","",IFERROR(INDEX(WorkerIDs,MATCH($C416,WorkerNames,0)),"?"))</f>
        <v/>
      </c>
      <c r="J416" s="18" t="str">
        <f aca="false">IF($B416="","",$B416-WEEKDAY($B416,2)+1)</f>
        <v/>
      </c>
      <c r="K416" s="28" t="str">
        <f aca="false">IF(OR($I416="",$I416="?",$D416&lt;&gt;"Advance",$B416=""),"",$I416&amp;"|"&amp;$J416&amp;"|"&amp;COUNTIFS($I$6:$I416,$I416,$J$6:$J416,$J416,$D$6:$D416,"Advance"))</f>
        <v/>
      </c>
      <c r="L416" s="29" t="str">
        <f aca="false">IF(OR($I416="",$I416="?",$B416=""),"",SUMPRODUCT((Weeks!$A$6:$A$58&lt;=$J416)*(Weeks!$Z$4:$AK$4=$I416)*Weeks!$Z$6:$AK$58)-SUMIFS($E$6:$E$1005,$I$6:$I$1005,$I416,$B$6:$B$1005,"&lt;="&amp;$B416))</f>
        <v/>
      </c>
      <c r="M416" s="19" t="str">
        <f aca="false">IF($B416&amp;$C416&amp;$D416&amp;$E416="","",IF($B416="","missing date",IF($C416="","missing worker",IF($I416="?","unknown worker - was the name changed on Workers?",IF($D416="","missing type",IF(N($E416)=0,"missing amount",IF(AND($E416&lt;0,$D416&lt;&gt;"Correction"),"negative amount - use a Correction to undo",IF(OR($B416&lt;Weeks!$A$6,$B416&gt;Weeks!$B$58),"date outside this workbook's year",IF(AND($D416="Advance",N($L416)&lt;0),"Warning: more than earned so far - worker now owes "&amp;ROUND(-$L416,0),"")))))))))</f>
        <v/>
      </c>
    </row>
    <row r="417" customFormat="false" ht="15" hidden="false" customHeight="false" outlineLevel="0" collapsed="false">
      <c r="A417" s="24" t="str">
        <f aca="false">IF($B417="","",ROW()-5)</f>
        <v/>
      </c>
      <c r="B417" s="25"/>
      <c r="C417" s="20"/>
      <c r="D417" s="26"/>
      <c r="E417" s="27"/>
      <c r="F417" s="20"/>
      <c r="G417" s="20"/>
      <c r="H417" s="26"/>
      <c r="I417" s="24" t="str">
        <f aca="false">IF($C417="","",IFERROR(INDEX(WorkerIDs,MATCH($C417,WorkerNames,0)),"?"))</f>
        <v/>
      </c>
      <c r="J417" s="18" t="str">
        <f aca="false">IF($B417="","",$B417-WEEKDAY($B417,2)+1)</f>
        <v/>
      </c>
      <c r="K417" s="28" t="str">
        <f aca="false">IF(OR($I417="",$I417="?",$D417&lt;&gt;"Advance",$B417=""),"",$I417&amp;"|"&amp;$J417&amp;"|"&amp;COUNTIFS($I$6:$I417,$I417,$J$6:$J417,$J417,$D$6:$D417,"Advance"))</f>
        <v/>
      </c>
      <c r="L417" s="29" t="str">
        <f aca="false">IF(OR($I417="",$I417="?",$B417=""),"",SUMPRODUCT((Weeks!$A$6:$A$58&lt;=$J417)*(Weeks!$Z$4:$AK$4=$I417)*Weeks!$Z$6:$AK$58)-SUMIFS($E$6:$E$1005,$I$6:$I$1005,$I417,$B$6:$B$1005,"&lt;="&amp;$B417))</f>
        <v/>
      </c>
      <c r="M417" s="19" t="str">
        <f aca="false">IF($B417&amp;$C417&amp;$D417&amp;$E417="","",IF($B417="","missing date",IF($C417="","missing worker",IF($I417="?","unknown worker - was the name changed on Workers?",IF($D417="","missing type",IF(N($E417)=0,"missing amount",IF(AND($E417&lt;0,$D417&lt;&gt;"Correction"),"negative amount - use a Correction to undo",IF(OR($B417&lt;Weeks!$A$6,$B417&gt;Weeks!$B$58),"date outside this workbook's year",IF(AND($D417="Advance",N($L417)&lt;0),"Warning: more than earned so far - worker now owes "&amp;ROUND(-$L417,0),"")))))))))</f>
        <v/>
      </c>
    </row>
    <row r="418" customFormat="false" ht="15" hidden="false" customHeight="false" outlineLevel="0" collapsed="false">
      <c r="A418" s="24" t="str">
        <f aca="false">IF($B418="","",ROW()-5)</f>
        <v/>
      </c>
      <c r="B418" s="25"/>
      <c r="C418" s="20"/>
      <c r="D418" s="26"/>
      <c r="E418" s="27"/>
      <c r="F418" s="20"/>
      <c r="G418" s="20"/>
      <c r="H418" s="26"/>
      <c r="I418" s="24" t="str">
        <f aca="false">IF($C418="","",IFERROR(INDEX(WorkerIDs,MATCH($C418,WorkerNames,0)),"?"))</f>
        <v/>
      </c>
      <c r="J418" s="18" t="str">
        <f aca="false">IF($B418="","",$B418-WEEKDAY($B418,2)+1)</f>
        <v/>
      </c>
      <c r="K418" s="28" t="str">
        <f aca="false">IF(OR($I418="",$I418="?",$D418&lt;&gt;"Advance",$B418=""),"",$I418&amp;"|"&amp;$J418&amp;"|"&amp;COUNTIFS($I$6:$I418,$I418,$J$6:$J418,$J418,$D$6:$D418,"Advance"))</f>
        <v/>
      </c>
      <c r="L418" s="29" t="str">
        <f aca="false">IF(OR($I418="",$I418="?",$B418=""),"",SUMPRODUCT((Weeks!$A$6:$A$58&lt;=$J418)*(Weeks!$Z$4:$AK$4=$I418)*Weeks!$Z$6:$AK$58)-SUMIFS($E$6:$E$1005,$I$6:$I$1005,$I418,$B$6:$B$1005,"&lt;="&amp;$B418))</f>
        <v/>
      </c>
      <c r="M418" s="19" t="str">
        <f aca="false">IF($B418&amp;$C418&amp;$D418&amp;$E418="","",IF($B418="","missing date",IF($C418="","missing worker",IF($I418="?","unknown worker - was the name changed on Workers?",IF($D418="","missing type",IF(N($E418)=0,"missing amount",IF(AND($E418&lt;0,$D418&lt;&gt;"Correction"),"negative amount - use a Correction to undo",IF(OR($B418&lt;Weeks!$A$6,$B418&gt;Weeks!$B$58),"date outside this workbook's year",IF(AND($D418="Advance",N($L418)&lt;0),"Warning: more than earned so far - worker now owes "&amp;ROUND(-$L418,0),"")))))))))</f>
        <v/>
      </c>
    </row>
    <row r="419" customFormat="false" ht="15" hidden="false" customHeight="false" outlineLevel="0" collapsed="false">
      <c r="A419" s="24" t="str">
        <f aca="false">IF($B419="","",ROW()-5)</f>
        <v/>
      </c>
      <c r="B419" s="25"/>
      <c r="C419" s="20"/>
      <c r="D419" s="26"/>
      <c r="E419" s="27"/>
      <c r="F419" s="20"/>
      <c r="G419" s="20"/>
      <c r="H419" s="26"/>
      <c r="I419" s="24" t="str">
        <f aca="false">IF($C419="","",IFERROR(INDEX(WorkerIDs,MATCH($C419,WorkerNames,0)),"?"))</f>
        <v/>
      </c>
      <c r="J419" s="18" t="str">
        <f aca="false">IF($B419="","",$B419-WEEKDAY($B419,2)+1)</f>
        <v/>
      </c>
      <c r="K419" s="28" t="str">
        <f aca="false">IF(OR($I419="",$I419="?",$D419&lt;&gt;"Advance",$B419=""),"",$I419&amp;"|"&amp;$J419&amp;"|"&amp;COUNTIFS($I$6:$I419,$I419,$J$6:$J419,$J419,$D$6:$D419,"Advance"))</f>
        <v/>
      </c>
      <c r="L419" s="29" t="str">
        <f aca="false">IF(OR($I419="",$I419="?",$B419=""),"",SUMPRODUCT((Weeks!$A$6:$A$58&lt;=$J419)*(Weeks!$Z$4:$AK$4=$I419)*Weeks!$Z$6:$AK$58)-SUMIFS($E$6:$E$1005,$I$6:$I$1005,$I419,$B$6:$B$1005,"&lt;="&amp;$B419))</f>
        <v/>
      </c>
      <c r="M419" s="19" t="str">
        <f aca="false">IF($B419&amp;$C419&amp;$D419&amp;$E419="","",IF($B419="","missing date",IF($C419="","missing worker",IF($I419="?","unknown worker - was the name changed on Workers?",IF($D419="","missing type",IF(N($E419)=0,"missing amount",IF(AND($E419&lt;0,$D419&lt;&gt;"Correction"),"negative amount - use a Correction to undo",IF(OR($B419&lt;Weeks!$A$6,$B419&gt;Weeks!$B$58),"date outside this workbook's year",IF(AND($D419="Advance",N($L419)&lt;0),"Warning: more than earned so far - worker now owes "&amp;ROUND(-$L419,0),"")))))))))</f>
        <v/>
      </c>
    </row>
    <row r="420" customFormat="false" ht="15" hidden="false" customHeight="false" outlineLevel="0" collapsed="false">
      <c r="A420" s="24" t="str">
        <f aca="false">IF($B420="","",ROW()-5)</f>
        <v/>
      </c>
      <c r="B420" s="25"/>
      <c r="C420" s="20"/>
      <c r="D420" s="26"/>
      <c r="E420" s="27"/>
      <c r="F420" s="20"/>
      <c r="G420" s="20"/>
      <c r="H420" s="26"/>
      <c r="I420" s="24" t="str">
        <f aca="false">IF($C420="","",IFERROR(INDEX(WorkerIDs,MATCH($C420,WorkerNames,0)),"?"))</f>
        <v/>
      </c>
      <c r="J420" s="18" t="str">
        <f aca="false">IF($B420="","",$B420-WEEKDAY($B420,2)+1)</f>
        <v/>
      </c>
      <c r="K420" s="28" t="str">
        <f aca="false">IF(OR($I420="",$I420="?",$D420&lt;&gt;"Advance",$B420=""),"",$I420&amp;"|"&amp;$J420&amp;"|"&amp;COUNTIFS($I$6:$I420,$I420,$J$6:$J420,$J420,$D$6:$D420,"Advance"))</f>
        <v/>
      </c>
      <c r="L420" s="29" t="str">
        <f aca="false">IF(OR($I420="",$I420="?",$B420=""),"",SUMPRODUCT((Weeks!$A$6:$A$58&lt;=$J420)*(Weeks!$Z$4:$AK$4=$I420)*Weeks!$Z$6:$AK$58)-SUMIFS($E$6:$E$1005,$I$6:$I$1005,$I420,$B$6:$B$1005,"&lt;="&amp;$B420))</f>
        <v/>
      </c>
      <c r="M420" s="19" t="str">
        <f aca="false">IF($B420&amp;$C420&amp;$D420&amp;$E420="","",IF($B420="","missing date",IF($C420="","missing worker",IF($I420="?","unknown worker - was the name changed on Workers?",IF($D420="","missing type",IF(N($E420)=0,"missing amount",IF(AND($E420&lt;0,$D420&lt;&gt;"Correction"),"negative amount - use a Correction to undo",IF(OR($B420&lt;Weeks!$A$6,$B420&gt;Weeks!$B$58),"date outside this workbook's year",IF(AND($D420="Advance",N($L420)&lt;0),"Warning: more than earned so far - worker now owes "&amp;ROUND(-$L420,0),"")))))))))</f>
        <v/>
      </c>
    </row>
    <row r="421" customFormat="false" ht="15" hidden="false" customHeight="false" outlineLevel="0" collapsed="false">
      <c r="A421" s="24" t="str">
        <f aca="false">IF($B421="","",ROW()-5)</f>
        <v/>
      </c>
      <c r="B421" s="25"/>
      <c r="C421" s="20"/>
      <c r="D421" s="26"/>
      <c r="E421" s="27"/>
      <c r="F421" s="20"/>
      <c r="G421" s="20"/>
      <c r="H421" s="26"/>
      <c r="I421" s="24" t="str">
        <f aca="false">IF($C421="","",IFERROR(INDEX(WorkerIDs,MATCH($C421,WorkerNames,0)),"?"))</f>
        <v/>
      </c>
      <c r="J421" s="18" t="str">
        <f aca="false">IF($B421="","",$B421-WEEKDAY($B421,2)+1)</f>
        <v/>
      </c>
      <c r="K421" s="28" t="str">
        <f aca="false">IF(OR($I421="",$I421="?",$D421&lt;&gt;"Advance",$B421=""),"",$I421&amp;"|"&amp;$J421&amp;"|"&amp;COUNTIFS($I$6:$I421,$I421,$J$6:$J421,$J421,$D$6:$D421,"Advance"))</f>
        <v/>
      </c>
      <c r="L421" s="29" t="str">
        <f aca="false">IF(OR($I421="",$I421="?",$B421=""),"",SUMPRODUCT((Weeks!$A$6:$A$58&lt;=$J421)*(Weeks!$Z$4:$AK$4=$I421)*Weeks!$Z$6:$AK$58)-SUMIFS($E$6:$E$1005,$I$6:$I$1005,$I421,$B$6:$B$1005,"&lt;="&amp;$B421))</f>
        <v/>
      </c>
      <c r="M421" s="19" t="str">
        <f aca="false">IF($B421&amp;$C421&amp;$D421&amp;$E421="","",IF($B421="","missing date",IF($C421="","missing worker",IF($I421="?","unknown worker - was the name changed on Workers?",IF($D421="","missing type",IF(N($E421)=0,"missing amount",IF(AND($E421&lt;0,$D421&lt;&gt;"Correction"),"negative amount - use a Correction to undo",IF(OR($B421&lt;Weeks!$A$6,$B421&gt;Weeks!$B$58),"date outside this workbook's year",IF(AND($D421="Advance",N($L421)&lt;0),"Warning: more than earned so far - worker now owes "&amp;ROUND(-$L421,0),"")))))))))</f>
        <v/>
      </c>
    </row>
    <row r="422" customFormat="false" ht="15" hidden="false" customHeight="false" outlineLevel="0" collapsed="false">
      <c r="A422" s="24" t="str">
        <f aca="false">IF($B422="","",ROW()-5)</f>
        <v/>
      </c>
      <c r="B422" s="25"/>
      <c r="C422" s="20"/>
      <c r="D422" s="26"/>
      <c r="E422" s="27"/>
      <c r="F422" s="20"/>
      <c r="G422" s="20"/>
      <c r="H422" s="26"/>
      <c r="I422" s="24" t="str">
        <f aca="false">IF($C422="","",IFERROR(INDEX(WorkerIDs,MATCH($C422,WorkerNames,0)),"?"))</f>
        <v/>
      </c>
      <c r="J422" s="18" t="str">
        <f aca="false">IF($B422="","",$B422-WEEKDAY($B422,2)+1)</f>
        <v/>
      </c>
      <c r="K422" s="28" t="str">
        <f aca="false">IF(OR($I422="",$I422="?",$D422&lt;&gt;"Advance",$B422=""),"",$I422&amp;"|"&amp;$J422&amp;"|"&amp;COUNTIFS($I$6:$I422,$I422,$J$6:$J422,$J422,$D$6:$D422,"Advance"))</f>
        <v/>
      </c>
      <c r="L422" s="29" t="str">
        <f aca="false">IF(OR($I422="",$I422="?",$B422=""),"",SUMPRODUCT((Weeks!$A$6:$A$58&lt;=$J422)*(Weeks!$Z$4:$AK$4=$I422)*Weeks!$Z$6:$AK$58)-SUMIFS($E$6:$E$1005,$I$6:$I$1005,$I422,$B$6:$B$1005,"&lt;="&amp;$B422))</f>
        <v/>
      </c>
      <c r="M422" s="19" t="str">
        <f aca="false">IF($B422&amp;$C422&amp;$D422&amp;$E422="","",IF($B422="","missing date",IF($C422="","missing worker",IF($I422="?","unknown worker - was the name changed on Workers?",IF($D422="","missing type",IF(N($E422)=0,"missing amount",IF(AND($E422&lt;0,$D422&lt;&gt;"Correction"),"negative amount - use a Correction to undo",IF(OR($B422&lt;Weeks!$A$6,$B422&gt;Weeks!$B$58),"date outside this workbook's year",IF(AND($D422="Advance",N($L422)&lt;0),"Warning: more than earned so far - worker now owes "&amp;ROUND(-$L422,0),"")))))))))</f>
        <v/>
      </c>
    </row>
    <row r="423" customFormat="false" ht="15" hidden="false" customHeight="false" outlineLevel="0" collapsed="false">
      <c r="A423" s="24" t="str">
        <f aca="false">IF($B423="","",ROW()-5)</f>
        <v/>
      </c>
      <c r="B423" s="25"/>
      <c r="C423" s="20"/>
      <c r="D423" s="26"/>
      <c r="E423" s="27"/>
      <c r="F423" s="20"/>
      <c r="G423" s="20"/>
      <c r="H423" s="26"/>
      <c r="I423" s="24" t="str">
        <f aca="false">IF($C423="","",IFERROR(INDEX(WorkerIDs,MATCH($C423,WorkerNames,0)),"?"))</f>
        <v/>
      </c>
      <c r="J423" s="18" t="str">
        <f aca="false">IF($B423="","",$B423-WEEKDAY($B423,2)+1)</f>
        <v/>
      </c>
      <c r="K423" s="28" t="str">
        <f aca="false">IF(OR($I423="",$I423="?",$D423&lt;&gt;"Advance",$B423=""),"",$I423&amp;"|"&amp;$J423&amp;"|"&amp;COUNTIFS($I$6:$I423,$I423,$J$6:$J423,$J423,$D$6:$D423,"Advance"))</f>
        <v/>
      </c>
      <c r="L423" s="29" t="str">
        <f aca="false">IF(OR($I423="",$I423="?",$B423=""),"",SUMPRODUCT((Weeks!$A$6:$A$58&lt;=$J423)*(Weeks!$Z$4:$AK$4=$I423)*Weeks!$Z$6:$AK$58)-SUMIFS($E$6:$E$1005,$I$6:$I$1005,$I423,$B$6:$B$1005,"&lt;="&amp;$B423))</f>
        <v/>
      </c>
      <c r="M423" s="19" t="str">
        <f aca="false">IF($B423&amp;$C423&amp;$D423&amp;$E423="","",IF($B423="","missing date",IF($C423="","missing worker",IF($I423="?","unknown worker - was the name changed on Workers?",IF($D423="","missing type",IF(N($E423)=0,"missing amount",IF(AND($E423&lt;0,$D423&lt;&gt;"Correction"),"negative amount - use a Correction to undo",IF(OR($B423&lt;Weeks!$A$6,$B423&gt;Weeks!$B$58),"date outside this workbook's year",IF(AND($D423="Advance",N($L423)&lt;0),"Warning: more than earned so far - worker now owes "&amp;ROUND(-$L423,0),"")))))))))</f>
        <v/>
      </c>
    </row>
    <row r="424" customFormat="false" ht="15" hidden="false" customHeight="false" outlineLevel="0" collapsed="false">
      <c r="A424" s="24" t="str">
        <f aca="false">IF($B424="","",ROW()-5)</f>
        <v/>
      </c>
      <c r="B424" s="25"/>
      <c r="C424" s="20"/>
      <c r="D424" s="26"/>
      <c r="E424" s="27"/>
      <c r="F424" s="20"/>
      <c r="G424" s="20"/>
      <c r="H424" s="26"/>
      <c r="I424" s="24" t="str">
        <f aca="false">IF($C424="","",IFERROR(INDEX(WorkerIDs,MATCH($C424,WorkerNames,0)),"?"))</f>
        <v/>
      </c>
      <c r="J424" s="18" t="str">
        <f aca="false">IF($B424="","",$B424-WEEKDAY($B424,2)+1)</f>
        <v/>
      </c>
      <c r="K424" s="28" t="str">
        <f aca="false">IF(OR($I424="",$I424="?",$D424&lt;&gt;"Advance",$B424=""),"",$I424&amp;"|"&amp;$J424&amp;"|"&amp;COUNTIFS($I$6:$I424,$I424,$J$6:$J424,$J424,$D$6:$D424,"Advance"))</f>
        <v/>
      </c>
      <c r="L424" s="29" t="str">
        <f aca="false">IF(OR($I424="",$I424="?",$B424=""),"",SUMPRODUCT((Weeks!$A$6:$A$58&lt;=$J424)*(Weeks!$Z$4:$AK$4=$I424)*Weeks!$Z$6:$AK$58)-SUMIFS($E$6:$E$1005,$I$6:$I$1005,$I424,$B$6:$B$1005,"&lt;="&amp;$B424))</f>
        <v/>
      </c>
      <c r="M424" s="19" t="str">
        <f aca="false">IF($B424&amp;$C424&amp;$D424&amp;$E424="","",IF($B424="","missing date",IF($C424="","missing worker",IF($I424="?","unknown worker - was the name changed on Workers?",IF($D424="","missing type",IF(N($E424)=0,"missing amount",IF(AND($E424&lt;0,$D424&lt;&gt;"Correction"),"negative amount - use a Correction to undo",IF(OR($B424&lt;Weeks!$A$6,$B424&gt;Weeks!$B$58),"date outside this workbook's year",IF(AND($D424="Advance",N($L424)&lt;0),"Warning: more than earned so far - worker now owes "&amp;ROUND(-$L424,0),"")))))))))</f>
        <v/>
      </c>
    </row>
    <row r="425" customFormat="false" ht="15" hidden="false" customHeight="false" outlineLevel="0" collapsed="false">
      <c r="A425" s="24" t="str">
        <f aca="false">IF($B425="","",ROW()-5)</f>
        <v/>
      </c>
      <c r="B425" s="25"/>
      <c r="C425" s="20"/>
      <c r="D425" s="26"/>
      <c r="E425" s="27"/>
      <c r="F425" s="20"/>
      <c r="G425" s="20"/>
      <c r="H425" s="26"/>
      <c r="I425" s="24" t="str">
        <f aca="false">IF($C425="","",IFERROR(INDEX(WorkerIDs,MATCH($C425,WorkerNames,0)),"?"))</f>
        <v/>
      </c>
      <c r="J425" s="18" t="str">
        <f aca="false">IF($B425="","",$B425-WEEKDAY($B425,2)+1)</f>
        <v/>
      </c>
      <c r="K425" s="28" t="str">
        <f aca="false">IF(OR($I425="",$I425="?",$D425&lt;&gt;"Advance",$B425=""),"",$I425&amp;"|"&amp;$J425&amp;"|"&amp;COUNTIFS($I$6:$I425,$I425,$J$6:$J425,$J425,$D$6:$D425,"Advance"))</f>
        <v/>
      </c>
      <c r="L425" s="29" t="str">
        <f aca="false">IF(OR($I425="",$I425="?",$B425=""),"",SUMPRODUCT((Weeks!$A$6:$A$58&lt;=$J425)*(Weeks!$Z$4:$AK$4=$I425)*Weeks!$Z$6:$AK$58)-SUMIFS($E$6:$E$1005,$I$6:$I$1005,$I425,$B$6:$B$1005,"&lt;="&amp;$B425))</f>
        <v/>
      </c>
      <c r="M425" s="19" t="str">
        <f aca="false">IF($B425&amp;$C425&amp;$D425&amp;$E425="","",IF($B425="","missing date",IF($C425="","missing worker",IF($I425="?","unknown worker - was the name changed on Workers?",IF($D425="","missing type",IF(N($E425)=0,"missing amount",IF(AND($E425&lt;0,$D425&lt;&gt;"Correction"),"negative amount - use a Correction to undo",IF(OR($B425&lt;Weeks!$A$6,$B425&gt;Weeks!$B$58),"date outside this workbook's year",IF(AND($D425="Advance",N($L425)&lt;0),"Warning: more than earned so far - worker now owes "&amp;ROUND(-$L425,0),"")))))))))</f>
        <v/>
      </c>
    </row>
    <row r="426" customFormat="false" ht="15" hidden="false" customHeight="false" outlineLevel="0" collapsed="false">
      <c r="A426" s="24" t="str">
        <f aca="false">IF($B426="","",ROW()-5)</f>
        <v/>
      </c>
      <c r="B426" s="25"/>
      <c r="C426" s="20"/>
      <c r="D426" s="26"/>
      <c r="E426" s="27"/>
      <c r="F426" s="20"/>
      <c r="G426" s="20"/>
      <c r="H426" s="26"/>
      <c r="I426" s="24" t="str">
        <f aca="false">IF($C426="","",IFERROR(INDEX(WorkerIDs,MATCH($C426,WorkerNames,0)),"?"))</f>
        <v/>
      </c>
      <c r="J426" s="18" t="str">
        <f aca="false">IF($B426="","",$B426-WEEKDAY($B426,2)+1)</f>
        <v/>
      </c>
      <c r="K426" s="28" t="str">
        <f aca="false">IF(OR($I426="",$I426="?",$D426&lt;&gt;"Advance",$B426=""),"",$I426&amp;"|"&amp;$J426&amp;"|"&amp;COUNTIFS($I$6:$I426,$I426,$J$6:$J426,$J426,$D$6:$D426,"Advance"))</f>
        <v/>
      </c>
      <c r="L426" s="29" t="str">
        <f aca="false">IF(OR($I426="",$I426="?",$B426=""),"",SUMPRODUCT((Weeks!$A$6:$A$58&lt;=$J426)*(Weeks!$Z$4:$AK$4=$I426)*Weeks!$Z$6:$AK$58)-SUMIFS($E$6:$E$1005,$I$6:$I$1005,$I426,$B$6:$B$1005,"&lt;="&amp;$B426))</f>
        <v/>
      </c>
      <c r="M426" s="19" t="str">
        <f aca="false">IF($B426&amp;$C426&amp;$D426&amp;$E426="","",IF($B426="","missing date",IF($C426="","missing worker",IF($I426="?","unknown worker - was the name changed on Workers?",IF($D426="","missing type",IF(N($E426)=0,"missing amount",IF(AND($E426&lt;0,$D426&lt;&gt;"Correction"),"negative amount - use a Correction to undo",IF(OR($B426&lt;Weeks!$A$6,$B426&gt;Weeks!$B$58),"date outside this workbook's year",IF(AND($D426="Advance",N($L426)&lt;0),"Warning: more than earned so far - worker now owes "&amp;ROUND(-$L426,0),"")))))))))</f>
        <v/>
      </c>
    </row>
    <row r="427" customFormat="false" ht="15" hidden="false" customHeight="false" outlineLevel="0" collapsed="false">
      <c r="A427" s="24" t="str">
        <f aca="false">IF($B427="","",ROW()-5)</f>
        <v/>
      </c>
      <c r="B427" s="25"/>
      <c r="C427" s="20"/>
      <c r="D427" s="26"/>
      <c r="E427" s="27"/>
      <c r="F427" s="20"/>
      <c r="G427" s="20"/>
      <c r="H427" s="26"/>
      <c r="I427" s="24" t="str">
        <f aca="false">IF($C427="","",IFERROR(INDEX(WorkerIDs,MATCH($C427,WorkerNames,0)),"?"))</f>
        <v/>
      </c>
      <c r="J427" s="18" t="str">
        <f aca="false">IF($B427="","",$B427-WEEKDAY($B427,2)+1)</f>
        <v/>
      </c>
      <c r="K427" s="28" t="str">
        <f aca="false">IF(OR($I427="",$I427="?",$D427&lt;&gt;"Advance",$B427=""),"",$I427&amp;"|"&amp;$J427&amp;"|"&amp;COUNTIFS($I$6:$I427,$I427,$J$6:$J427,$J427,$D$6:$D427,"Advance"))</f>
        <v/>
      </c>
      <c r="L427" s="29" t="str">
        <f aca="false">IF(OR($I427="",$I427="?",$B427=""),"",SUMPRODUCT((Weeks!$A$6:$A$58&lt;=$J427)*(Weeks!$Z$4:$AK$4=$I427)*Weeks!$Z$6:$AK$58)-SUMIFS($E$6:$E$1005,$I$6:$I$1005,$I427,$B$6:$B$1005,"&lt;="&amp;$B427))</f>
        <v/>
      </c>
      <c r="M427" s="19" t="str">
        <f aca="false">IF($B427&amp;$C427&amp;$D427&amp;$E427="","",IF($B427="","missing date",IF($C427="","missing worker",IF($I427="?","unknown worker - was the name changed on Workers?",IF($D427="","missing type",IF(N($E427)=0,"missing amount",IF(AND($E427&lt;0,$D427&lt;&gt;"Correction"),"negative amount - use a Correction to undo",IF(OR($B427&lt;Weeks!$A$6,$B427&gt;Weeks!$B$58),"date outside this workbook's year",IF(AND($D427="Advance",N($L427)&lt;0),"Warning: more than earned so far - worker now owes "&amp;ROUND(-$L427,0),"")))))))))</f>
        <v/>
      </c>
    </row>
    <row r="428" customFormat="false" ht="15" hidden="false" customHeight="false" outlineLevel="0" collapsed="false">
      <c r="A428" s="24" t="str">
        <f aca="false">IF($B428="","",ROW()-5)</f>
        <v/>
      </c>
      <c r="B428" s="25"/>
      <c r="C428" s="20"/>
      <c r="D428" s="26"/>
      <c r="E428" s="27"/>
      <c r="F428" s="20"/>
      <c r="G428" s="20"/>
      <c r="H428" s="26"/>
      <c r="I428" s="24" t="str">
        <f aca="false">IF($C428="","",IFERROR(INDEX(WorkerIDs,MATCH($C428,WorkerNames,0)),"?"))</f>
        <v/>
      </c>
      <c r="J428" s="18" t="str">
        <f aca="false">IF($B428="","",$B428-WEEKDAY($B428,2)+1)</f>
        <v/>
      </c>
      <c r="K428" s="28" t="str">
        <f aca="false">IF(OR($I428="",$I428="?",$D428&lt;&gt;"Advance",$B428=""),"",$I428&amp;"|"&amp;$J428&amp;"|"&amp;COUNTIFS($I$6:$I428,$I428,$J$6:$J428,$J428,$D$6:$D428,"Advance"))</f>
        <v/>
      </c>
      <c r="L428" s="29" t="str">
        <f aca="false">IF(OR($I428="",$I428="?",$B428=""),"",SUMPRODUCT((Weeks!$A$6:$A$58&lt;=$J428)*(Weeks!$Z$4:$AK$4=$I428)*Weeks!$Z$6:$AK$58)-SUMIFS($E$6:$E$1005,$I$6:$I$1005,$I428,$B$6:$B$1005,"&lt;="&amp;$B428))</f>
        <v/>
      </c>
      <c r="M428" s="19" t="str">
        <f aca="false">IF($B428&amp;$C428&amp;$D428&amp;$E428="","",IF($B428="","missing date",IF($C428="","missing worker",IF($I428="?","unknown worker - was the name changed on Workers?",IF($D428="","missing type",IF(N($E428)=0,"missing amount",IF(AND($E428&lt;0,$D428&lt;&gt;"Correction"),"negative amount - use a Correction to undo",IF(OR($B428&lt;Weeks!$A$6,$B428&gt;Weeks!$B$58),"date outside this workbook's year",IF(AND($D428="Advance",N($L428)&lt;0),"Warning: more than earned so far - worker now owes "&amp;ROUND(-$L428,0),"")))))))))</f>
        <v/>
      </c>
    </row>
    <row r="429" customFormat="false" ht="15" hidden="false" customHeight="false" outlineLevel="0" collapsed="false">
      <c r="A429" s="24" t="str">
        <f aca="false">IF($B429="","",ROW()-5)</f>
        <v/>
      </c>
      <c r="B429" s="25"/>
      <c r="C429" s="20"/>
      <c r="D429" s="26"/>
      <c r="E429" s="27"/>
      <c r="F429" s="20"/>
      <c r="G429" s="20"/>
      <c r="H429" s="26"/>
      <c r="I429" s="24" t="str">
        <f aca="false">IF($C429="","",IFERROR(INDEX(WorkerIDs,MATCH($C429,WorkerNames,0)),"?"))</f>
        <v/>
      </c>
      <c r="J429" s="18" t="str">
        <f aca="false">IF($B429="","",$B429-WEEKDAY($B429,2)+1)</f>
        <v/>
      </c>
      <c r="K429" s="28" t="str">
        <f aca="false">IF(OR($I429="",$I429="?",$D429&lt;&gt;"Advance",$B429=""),"",$I429&amp;"|"&amp;$J429&amp;"|"&amp;COUNTIFS($I$6:$I429,$I429,$J$6:$J429,$J429,$D$6:$D429,"Advance"))</f>
        <v/>
      </c>
      <c r="L429" s="29" t="str">
        <f aca="false">IF(OR($I429="",$I429="?",$B429=""),"",SUMPRODUCT((Weeks!$A$6:$A$58&lt;=$J429)*(Weeks!$Z$4:$AK$4=$I429)*Weeks!$Z$6:$AK$58)-SUMIFS($E$6:$E$1005,$I$6:$I$1005,$I429,$B$6:$B$1005,"&lt;="&amp;$B429))</f>
        <v/>
      </c>
      <c r="M429" s="19" t="str">
        <f aca="false">IF($B429&amp;$C429&amp;$D429&amp;$E429="","",IF($B429="","missing date",IF($C429="","missing worker",IF($I429="?","unknown worker - was the name changed on Workers?",IF($D429="","missing type",IF(N($E429)=0,"missing amount",IF(AND($E429&lt;0,$D429&lt;&gt;"Correction"),"negative amount - use a Correction to undo",IF(OR($B429&lt;Weeks!$A$6,$B429&gt;Weeks!$B$58),"date outside this workbook's year",IF(AND($D429="Advance",N($L429)&lt;0),"Warning: more than earned so far - worker now owes "&amp;ROUND(-$L429,0),"")))))))))</f>
        <v/>
      </c>
    </row>
    <row r="430" customFormat="false" ht="15" hidden="false" customHeight="false" outlineLevel="0" collapsed="false">
      <c r="A430" s="24" t="str">
        <f aca="false">IF($B430="","",ROW()-5)</f>
        <v/>
      </c>
      <c r="B430" s="25"/>
      <c r="C430" s="20"/>
      <c r="D430" s="26"/>
      <c r="E430" s="27"/>
      <c r="F430" s="20"/>
      <c r="G430" s="20"/>
      <c r="H430" s="26"/>
      <c r="I430" s="24" t="str">
        <f aca="false">IF($C430="","",IFERROR(INDEX(WorkerIDs,MATCH($C430,WorkerNames,0)),"?"))</f>
        <v/>
      </c>
      <c r="J430" s="18" t="str">
        <f aca="false">IF($B430="","",$B430-WEEKDAY($B430,2)+1)</f>
        <v/>
      </c>
      <c r="K430" s="28" t="str">
        <f aca="false">IF(OR($I430="",$I430="?",$D430&lt;&gt;"Advance",$B430=""),"",$I430&amp;"|"&amp;$J430&amp;"|"&amp;COUNTIFS($I$6:$I430,$I430,$J$6:$J430,$J430,$D$6:$D430,"Advance"))</f>
        <v/>
      </c>
      <c r="L430" s="29" t="str">
        <f aca="false">IF(OR($I430="",$I430="?",$B430=""),"",SUMPRODUCT((Weeks!$A$6:$A$58&lt;=$J430)*(Weeks!$Z$4:$AK$4=$I430)*Weeks!$Z$6:$AK$58)-SUMIFS($E$6:$E$1005,$I$6:$I$1005,$I430,$B$6:$B$1005,"&lt;="&amp;$B430))</f>
        <v/>
      </c>
      <c r="M430" s="19" t="str">
        <f aca="false">IF($B430&amp;$C430&amp;$D430&amp;$E430="","",IF($B430="","missing date",IF($C430="","missing worker",IF($I430="?","unknown worker - was the name changed on Workers?",IF($D430="","missing type",IF(N($E430)=0,"missing amount",IF(AND($E430&lt;0,$D430&lt;&gt;"Correction"),"negative amount - use a Correction to undo",IF(OR($B430&lt;Weeks!$A$6,$B430&gt;Weeks!$B$58),"date outside this workbook's year",IF(AND($D430="Advance",N($L430)&lt;0),"Warning: more than earned so far - worker now owes "&amp;ROUND(-$L430,0),"")))))))))</f>
        <v/>
      </c>
    </row>
    <row r="431" customFormat="false" ht="15" hidden="false" customHeight="false" outlineLevel="0" collapsed="false">
      <c r="A431" s="24" t="str">
        <f aca="false">IF($B431="","",ROW()-5)</f>
        <v/>
      </c>
      <c r="B431" s="25"/>
      <c r="C431" s="20"/>
      <c r="D431" s="26"/>
      <c r="E431" s="27"/>
      <c r="F431" s="20"/>
      <c r="G431" s="20"/>
      <c r="H431" s="26"/>
      <c r="I431" s="24" t="str">
        <f aca="false">IF($C431="","",IFERROR(INDEX(WorkerIDs,MATCH($C431,WorkerNames,0)),"?"))</f>
        <v/>
      </c>
      <c r="J431" s="18" t="str">
        <f aca="false">IF($B431="","",$B431-WEEKDAY($B431,2)+1)</f>
        <v/>
      </c>
      <c r="K431" s="28" t="str">
        <f aca="false">IF(OR($I431="",$I431="?",$D431&lt;&gt;"Advance",$B431=""),"",$I431&amp;"|"&amp;$J431&amp;"|"&amp;COUNTIFS($I$6:$I431,$I431,$J$6:$J431,$J431,$D$6:$D431,"Advance"))</f>
        <v/>
      </c>
      <c r="L431" s="29" t="str">
        <f aca="false">IF(OR($I431="",$I431="?",$B431=""),"",SUMPRODUCT((Weeks!$A$6:$A$58&lt;=$J431)*(Weeks!$Z$4:$AK$4=$I431)*Weeks!$Z$6:$AK$58)-SUMIFS($E$6:$E$1005,$I$6:$I$1005,$I431,$B$6:$B$1005,"&lt;="&amp;$B431))</f>
        <v/>
      </c>
      <c r="M431" s="19" t="str">
        <f aca="false">IF($B431&amp;$C431&amp;$D431&amp;$E431="","",IF($B431="","missing date",IF($C431="","missing worker",IF($I431="?","unknown worker - was the name changed on Workers?",IF($D431="","missing type",IF(N($E431)=0,"missing amount",IF(AND($E431&lt;0,$D431&lt;&gt;"Correction"),"negative amount - use a Correction to undo",IF(OR($B431&lt;Weeks!$A$6,$B431&gt;Weeks!$B$58),"date outside this workbook's year",IF(AND($D431="Advance",N($L431)&lt;0),"Warning: more than earned so far - worker now owes "&amp;ROUND(-$L431,0),"")))))))))</f>
        <v/>
      </c>
    </row>
    <row r="432" customFormat="false" ht="15" hidden="false" customHeight="false" outlineLevel="0" collapsed="false">
      <c r="A432" s="24" t="str">
        <f aca="false">IF($B432="","",ROW()-5)</f>
        <v/>
      </c>
      <c r="B432" s="25"/>
      <c r="C432" s="20"/>
      <c r="D432" s="26"/>
      <c r="E432" s="27"/>
      <c r="F432" s="20"/>
      <c r="G432" s="20"/>
      <c r="H432" s="26"/>
      <c r="I432" s="24" t="str">
        <f aca="false">IF($C432="","",IFERROR(INDEX(WorkerIDs,MATCH($C432,WorkerNames,0)),"?"))</f>
        <v/>
      </c>
      <c r="J432" s="18" t="str">
        <f aca="false">IF($B432="","",$B432-WEEKDAY($B432,2)+1)</f>
        <v/>
      </c>
      <c r="K432" s="28" t="str">
        <f aca="false">IF(OR($I432="",$I432="?",$D432&lt;&gt;"Advance",$B432=""),"",$I432&amp;"|"&amp;$J432&amp;"|"&amp;COUNTIFS($I$6:$I432,$I432,$J$6:$J432,$J432,$D$6:$D432,"Advance"))</f>
        <v/>
      </c>
      <c r="L432" s="29" t="str">
        <f aca="false">IF(OR($I432="",$I432="?",$B432=""),"",SUMPRODUCT((Weeks!$A$6:$A$58&lt;=$J432)*(Weeks!$Z$4:$AK$4=$I432)*Weeks!$Z$6:$AK$58)-SUMIFS($E$6:$E$1005,$I$6:$I$1005,$I432,$B$6:$B$1005,"&lt;="&amp;$B432))</f>
        <v/>
      </c>
      <c r="M432" s="19" t="str">
        <f aca="false">IF($B432&amp;$C432&amp;$D432&amp;$E432="","",IF($B432="","missing date",IF($C432="","missing worker",IF($I432="?","unknown worker - was the name changed on Workers?",IF($D432="","missing type",IF(N($E432)=0,"missing amount",IF(AND($E432&lt;0,$D432&lt;&gt;"Correction"),"negative amount - use a Correction to undo",IF(OR($B432&lt;Weeks!$A$6,$B432&gt;Weeks!$B$58),"date outside this workbook's year",IF(AND($D432="Advance",N($L432)&lt;0),"Warning: more than earned so far - worker now owes "&amp;ROUND(-$L432,0),"")))))))))</f>
        <v/>
      </c>
    </row>
    <row r="433" customFormat="false" ht="15" hidden="false" customHeight="false" outlineLevel="0" collapsed="false">
      <c r="A433" s="24" t="str">
        <f aca="false">IF($B433="","",ROW()-5)</f>
        <v/>
      </c>
      <c r="B433" s="25"/>
      <c r="C433" s="20"/>
      <c r="D433" s="26"/>
      <c r="E433" s="27"/>
      <c r="F433" s="20"/>
      <c r="G433" s="20"/>
      <c r="H433" s="26"/>
      <c r="I433" s="24" t="str">
        <f aca="false">IF($C433="","",IFERROR(INDEX(WorkerIDs,MATCH($C433,WorkerNames,0)),"?"))</f>
        <v/>
      </c>
      <c r="J433" s="18" t="str">
        <f aca="false">IF($B433="","",$B433-WEEKDAY($B433,2)+1)</f>
        <v/>
      </c>
      <c r="K433" s="28" t="str">
        <f aca="false">IF(OR($I433="",$I433="?",$D433&lt;&gt;"Advance",$B433=""),"",$I433&amp;"|"&amp;$J433&amp;"|"&amp;COUNTIFS($I$6:$I433,$I433,$J$6:$J433,$J433,$D$6:$D433,"Advance"))</f>
        <v/>
      </c>
      <c r="L433" s="29" t="str">
        <f aca="false">IF(OR($I433="",$I433="?",$B433=""),"",SUMPRODUCT((Weeks!$A$6:$A$58&lt;=$J433)*(Weeks!$Z$4:$AK$4=$I433)*Weeks!$Z$6:$AK$58)-SUMIFS($E$6:$E$1005,$I$6:$I$1005,$I433,$B$6:$B$1005,"&lt;="&amp;$B433))</f>
        <v/>
      </c>
      <c r="M433" s="19" t="str">
        <f aca="false">IF($B433&amp;$C433&amp;$D433&amp;$E433="","",IF($B433="","missing date",IF($C433="","missing worker",IF($I433="?","unknown worker - was the name changed on Workers?",IF($D433="","missing type",IF(N($E433)=0,"missing amount",IF(AND($E433&lt;0,$D433&lt;&gt;"Correction"),"negative amount - use a Correction to undo",IF(OR($B433&lt;Weeks!$A$6,$B433&gt;Weeks!$B$58),"date outside this workbook's year",IF(AND($D433="Advance",N($L433)&lt;0),"Warning: more than earned so far - worker now owes "&amp;ROUND(-$L433,0),"")))))))))</f>
        <v/>
      </c>
    </row>
    <row r="434" customFormat="false" ht="15" hidden="false" customHeight="false" outlineLevel="0" collapsed="false">
      <c r="A434" s="24" t="str">
        <f aca="false">IF($B434="","",ROW()-5)</f>
        <v/>
      </c>
      <c r="B434" s="25"/>
      <c r="C434" s="20"/>
      <c r="D434" s="26"/>
      <c r="E434" s="27"/>
      <c r="F434" s="20"/>
      <c r="G434" s="20"/>
      <c r="H434" s="26"/>
      <c r="I434" s="24" t="str">
        <f aca="false">IF($C434="","",IFERROR(INDEX(WorkerIDs,MATCH($C434,WorkerNames,0)),"?"))</f>
        <v/>
      </c>
      <c r="J434" s="18" t="str">
        <f aca="false">IF($B434="","",$B434-WEEKDAY($B434,2)+1)</f>
        <v/>
      </c>
      <c r="K434" s="28" t="str">
        <f aca="false">IF(OR($I434="",$I434="?",$D434&lt;&gt;"Advance",$B434=""),"",$I434&amp;"|"&amp;$J434&amp;"|"&amp;COUNTIFS($I$6:$I434,$I434,$J$6:$J434,$J434,$D$6:$D434,"Advance"))</f>
        <v/>
      </c>
      <c r="L434" s="29" t="str">
        <f aca="false">IF(OR($I434="",$I434="?",$B434=""),"",SUMPRODUCT((Weeks!$A$6:$A$58&lt;=$J434)*(Weeks!$Z$4:$AK$4=$I434)*Weeks!$Z$6:$AK$58)-SUMIFS($E$6:$E$1005,$I$6:$I$1005,$I434,$B$6:$B$1005,"&lt;="&amp;$B434))</f>
        <v/>
      </c>
      <c r="M434" s="19" t="str">
        <f aca="false">IF($B434&amp;$C434&amp;$D434&amp;$E434="","",IF($B434="","missing date",IF($C434="","missing worker",IF($I434="?","unknown worker - was the name changed on Workers?",IF($D434="","missing type",IF(N($E434)=0,"missing amount",IF(AND($E434&lt;0,$D434&lt;&gt;"Correction"),"negative amount - use a Correction to undo",IF(OR($B434&lt;Weeks!$A$6,$B434&gt;Weeks!$B$58),"date outside this workbook's year",IF(AND($D434="Advance",N($L434)&lt;0),"Warning: more than earned so far - worker now owes "&amp;ROUND(-$L434,0),"")))))))))</f>
        <v/>
      </c>
    </row>
    <row r="435" customFormat="false" ht="15" hidden="false" customHeight="false" outlineLevel="0" collapsed="false">
      <c r="A435" s="24" t="str">
        <f aca="false">IF($B435="","",ROW()-5)</f>
        <v/>
      </c>
      <c r="B435" s="25"/>
      <c r="C435" s="20"/>
      <c r="D435" s="26"/>
      <c r="E435" s="27"/>
      <c r="F435" s="20"/>
      <c r="G435" s="20"/>
      <c r="H435" s="26"/>
      <c r="I435" s="24" t="str">
        <f aca="false">IF($C435="","",IFERROR(INDEX(WorkerIDs,MATCH($C435,WorkerNames,0)),"?"))</f>
        <v/>
      </c>
      <c r="J435" s="18" t="str">
        <f aca="false">IF($B435="","",$B435-WEEKDAY($B435,2)+1)</f>
        <v/>
      </c>
      <c r="K435" s="28" t="str">
        <f aca="false">IF(OR($I435="",$I435="?",$D435&lt;&gt;"Advance",$B435=""),"",$I435&amp;"|"&amp;$J435&amp;"|"&amp;COUNTIFS($I$6:$I435,$I435,$J$6:$J435,$J435,$D$6:$D435,"Advance"))</f>
        <v/>
      </c>
      <c r="L435" s="29" t="str">
        <f aca="false">IF(OR($I435="",$I435="?",$B435=""),"",SUMPRODUCT((Weeks!$A$6:$A$58&lt;=$J435)*(Weeks!$Z$4:$AK$4=$I435)*Weeks!$Z$6:$AK$58)-SUMIFS($E$6:$E$1005,$I$6:$I$1005,$I435,$B$6:$B$1005,"&lt;="&amp;$B435))</f>
        <v/>
      </c>
      <c r="M435" s="19" t="str">
        <f aca="false">IF($B435&amp;$C435&amp;$D435&amp;$E435="","",IF($B435="","missing date",IF($C435="","missing worker",IF($I435="?","unknown worker - was the name changed on Workers?",IF($D435="","missing type",IF(N($E435)=0,"missing amount",IF(AND($E435&lt;0,$D435&lt;&gt;"Correction"),"negative amount - use a Correction to undo",IF(OR($B435&lt;Weeks!$A$6,$B435&gt;Weeks!$B$58),"date outside this workbook's year",IF(AND($D435="Advance",N($L435)&lt;0),"Warning: more than earned so far - worker now owes "&amp;ROUND(-$L435,0),"")))))))))</f>
        <v/>
      </c>
    </row>
    <row r="436" customFormat="false" ht="15" hidden="false" customHeight="false" outlineLevel="0" collapsed="false">
      <c r="A436" s="24" t="str">
        <f aca="false">IF($B436="","",ROW()-5)</f>
        <v/>
      </c>
      <c r="B436" s="25"/>
      <c r="C436" s="20"/>
      <c r="D436" s="26"/>
      <c r="E436" s="27"/>
      <c r="F436" s="20"/>
      <c r="G436" s="20"/>
      <c r="H436" s="26"/>
      <c r="I436" s="24" t="str">
        <f aca="false">IF($C436="","",IFERROR(INDEX(WorkerIDs,MATCH($C436,WorkerNames,0)),"?"))</f>
        <v/>
      </c>
      <c r="J436" s="18" t="str">
        <f aca="false">IF($B436="","",$B436-WEEKDAY($B436,2)+1)</f>
        <v/>
      </c>
      <c r="K436" s="28" t="str">
        <f aca="false">IF(OR($I436="",$I436="?",$D436&lt;&gt;"Advance",$B436=""),"",$I436&amp;"|"&amp;$J436&amp;"|"&amp;COUNTIFS($I$6:$I436,$I436,$J$6:$J436,$J436,$D$6:$D436,"Advance"))</f>
        <v/>
      </c>
      <c r="L436" s="29" t="str">
        <f aca="false">IF(OR($I436="",$I436="?",$B436=""),"",SUMPRODUCT((Weeks!$A$6:$A$58&lt;=$J436)*(Weeks!$Z$4:$AK$4=$I436)*Weeks!$Z$6:$AK$58)-SUMIFS($E$6:$E$1005,$I$6:$I$1005,$I436,$B$6:$B$1005,"&lt;="&amp;$B436))</f>
        <v/>
      </c>
      <c r="M436" s="19" t="str">
        <f aca="false">IF($B436&amp;$C436&amp;$D436&amp;$E436="","",IF($B436="","missing date",IF($C436="","missing worker",IF($I436="?","unknown worker - was the name changed on Workers?",IF($D436="","missing type",IF(N($E436)=0,"missing amount",IF(AND($E436&lt;0,$D436&lt;&gt;"Correction"),"negative amount - use a Correction to undo",IF(OR($B436&lt;Weeks!$A$6,$B436&gt;Weeks!$B$58),"date outside this workbook's year",IF(AND($D436="Advance",N($L436)&lt;0),"Warning: more than earned so far - worker now owes "&amp;ROUND(-$L436,0),"")))))))))</f>
        <v/>
      </c>
    </row>
    <row r="437" customFormat="false" ht="15" hidden="false" customHeight="false" outlineLevel="0" collapsed="false">
      <c r="A437" s="24" t="str">
        <f aca="false">IF($B437="","",ROW()-5)</f>
        <v/>
      </c>
      <c r="B437" s="25"/>
      <c r="C437" s="20"/>
      <c r="D437" s="26"/>
      <c r="E437" s="27"/>
      <c r="F437" s="20"/>
      <c r="G437" s="20"/>
      <c r="H437" s="26"/>
      <c r="I437" s="24" t="str">
        <f aca="false">IF($C437="","",IFERROR(INDEX(WorkerIDs,MATCH($C437,WorkerNames,0)),"?"))</f>
        <v/>
      </c>
      <c r="J437" s="18" t="str">
        <f aca="false">IF($B437="","",$B437-WEEKDAY($B437,2)+1)</f>
        <v/>
      </c>
      <c r="K437" s="28" t="str">
        <f aca="false">IF(OR($I437="",$I437="?",$D437&lt;&gt;"Advance",$B437=""),"",$I437&amp;"|"&amp;$J437&amp;"|"&amp;COUNTIFS($I$6:$I437,$I437,$J$6:$J437,$J437,$D$6:$D437,"Advance"))</f>
        <v/>
      </c>
      <c r="L437" s="29" t="str">
        <f aca="false">IF(OR($I437="",$I437="?",$B437=""),"",SUMPRODUCT((Weeks!$A$6:$A$58&lt;=$J437)*(Weeks!$Z$4:$AK$4=$I437)*Weeks!$Z$6:$AK$58)-SUMIFS($E$6:$E$1005,$I$6:$I$1005,$I437,$B$6:$B$1005,"&lt;="&amp;$B437))</f>
        <v/>
      </c>
      <c r="M437" s="19" t="str">
        <f aca="false">IF($B437&amp;$C437&amp;$D437&amp;$E437="","",IF($B437="","missing date",IF($C437="","missing worker",IF($I437="?","unknown worker - was the name changed on Workers?",IF($D437="","missing type",IF(N($E437)=0,"missing amount",IF(AND($E437&lt;0,$D437&lt;&gt;"Correction"),"negative amount - use a Correction to undo",IF(OR($B437&lt;Weeks!$A$6,$B437&gt;Weeks!$B$58),"date outside this workbook's year",IF(AND($D437="Advance",N($L437)&lt;0),"Warning: more than earned so far - worker now owes "&amp;ROUND(-$L437,0),"")))))))))</f>
        <v/>
      </c>
    </row>
    <row r="438" customFormat="false" ht="15" hidden="false" customHeight="false" outlineLevel="0" collapsed="false">
      <c r="A438" s="24" t="str">
        <f aca="false">IF($B438="","",ROW()-5)</f>
        <v/>
      </c>
      <c r="B438" s="25"/>
      <c r="C438" s="20"/>
      <c r="D438" s="26"/>
      <c r="E438" s="27"/>
      <c r="F438" s="20"/>
      <c r="G438" s="20"/>
      <c r="H438" s="26"/>
      <c r="I438" s="24" t="str">
        <f aca="false">IF($C438="","",IFERROR(INDEX(WorkerIDs,MATCH($C438,WorkerNames,0)),"?"))</f>
        <v/>
      </c>
      <c r="J438" s="18" t="str">
        <f aca="false">IF($B438="","",$B438-WEEKDAY($B438,2)+1)</f>
        <v/>
      </c>
      <c r="K438" s="28" t="str">
        <f aca="false">IF(OR($I438="",$I438="?",$D438&lt;&gt;"Advance",$B438=""),"",$I438&amp;"|"&amp;$J438&amp;"|"&amp;COUNTIFS($I$6:$I438,$I438,$J$6:$J438,$J438,$D$6:$D438,"Advance"))</f>
        <v/>
      </c>
      <c r="L438" s="29" t="str">
        <f aca="false">IF(OR($I438="",$I438="?",$B438=""),"",SUMPRODUCT((Weeks!$A$6:$A$58&lt;=$J438)*(Weeks!$Z$4:$AK$4=$I438)*Weeks!$Z$6:$AK$58)-SUMIFS($E$6:$E$1005,$I$6:$I$1005,$I438,$B$6:$B$1005,"&lt;="&amp;$B438))</f>
        <v/>
      </c>
      <c r="M438" s="19" t="str">
        <f aca="false">IF($B438&amp;$C438&amp;$D438&amp;$E438="","",IF($B438="","missing date",IF($C438="","missing worker",IF($I438="?","unknown worker - was the name changed on Workers?",IF($D438="","missing type",IF(N($E438)=0,"missing amount",IF(AND($E438&lt;0,$D438&lt;&gt;"Correction"),"negative amount - use a Correction to undo",IF(OR($B438&lt;Weeks!$A$6,$B438&gt;Weeks!$B$58),"date outside this workbook's year",IF(AND($D438="Advance",N($L438)&lt;0),"Warning: more than earned so far - worker now owes "&amp;ROUND(-$L438,0),"")))))))))</f>
        <v/>
      </c>
    </row>
    <row r="439" customFormat="false" ht="15" hidden="false" customHeight="false" outlineLevel="0" collapsed="false">
      <c r="A439" s="24" t="str">
        <f aca="false">IF($B439="","",ROW()-5)</f>
        <v/>
      </c>
      <c r="B439" s="25"/>
      <c r="C439" s="20"/>
      <c r="D439" s="26"/>
      <c r="E439" s="27"/>
      <c r="F439" s="20"/>
      <c r="G439" s="20"/>
      <c r="H439" s="26"/>
      <c r="I439" s="24" t="str">
        <f aca="false">IF($C439="","",IFERROR(INDEX(WorkerIDs,MATCH($C439,WorkerNames,0)),"?"))</f>
        <v/>
      </c>
      <c r="J439" s="18" t="str">
        <f aca="false">IF($B439="","",$B439-WEEKDAY($B439,2)+1)</f>
        <v/>
      </c>
      <c r="K439" s="28" t="str">
        <f aca="false">IF(OR($I439="",$I439="?",$D439&lt;&gt;"Advance",$B439=""),"",$I439&amp;"|"&amp;$J439&amp;"|"&amp;COUNTIFS($I$6:$I439,$I439,$J$6:$J439,$J439,$D$6:$D439,"Advance"))</f>
        <v/>
      </c>
      <c r="L439" s="29" t="str">
        <f aca="false">IF(OR($I439="",$I439="?",$B439=""),"",SUMPRODUCT((Weeks!$A$6:$A$58&lt;=$J439)*(Weeks!$Z$4:$AK$4=$I439)*Weeks!$Z$6:$AK$58)-SUMIFS($E$6:$E$1005,$I$6:$I$1005,$I439,$B$6:$B$1005,"&lt;="&amp;$B439))</f>
        <v/>
      </c>
      <c r="M439" s="19" t="str">
        <f aca="false">IF($B439&amp;$C439&amp;$D439&amp;$E439="","",IF($B439="","missing date",IF($C439="","missing worker",IF($I439="?","unknown worker - was the name changed on Workers?",IF($D439="","missing type",IF(N($E439)=0,"missing amount",IF(AND($E439&lt;0,$D439&lt;&gt;"Correction"),"negative amount - use a Correction to undo",IF(OR($B439&lt;Weeks!$A$6,$B439&gt;Weeks!$B$58),"date outside this workbook's year",IF(AND($D439="Advance",N($L439)&lt;0),"Warning: more than earned so far - worker now owes "&amp;ROUND(-$L439,0),"")))))))))</f>
        <v/>
      </c>
    </row>
    <row r="440" customFormat="false" ht="15" hidden="false" customHeight="false" outlineLevel="0" collapsed="false">
      <c r="A440" s="24" t="str">
        <f aca="false">IF($B440="","",ROW()-5)</f>
        <v/>
      </c>
      <c r="B440" s="25"/>
      <c r="C440" s="20"/>
      <c r="D440" s="26"/>
      <c r="E440" s="27"/>
      <c r="F440" s="20"/>
      <c r="G440" s="20"/>
      <c r="H440" s="26"/>
      <c r="I440" s="24" t="str">
        <f aca="false">IF($C440="","",IFERROR(INDEX(WorkerIDs,MATCH($C440,WorkerNames,0)),"?"))</f>
        <v/>
      </c>
      <c r="J440" s="18" t="str">
        <f aca="false">IF($B440="","",$B440-WEEKDAY($B440,2)+1)</f>
        <v/>
      </c>
      <c r="K440" s="28" t="str">
        <f aca="false">IF(OR($I440="",$I440="?",$D440&lt;&gt;"Advance",$B440=""),"",$I440&amp;"|"&amp;$J440&amp;"|"&amp;COUNTIFS($I$6:$I440,$I440,$J$6:$J440,$J440,$D$6:$D440,"Advance"))</f>
        <v/>
      </c>
      <c r="L440" s="29" t="str">
        <f aca="false">IF(OR($I440="",$I440="?",$B440=""),"",SUMPRODUCT((Weeks!$A$6:$A$58&lt;=$J440)*(Weeks!$Z$4:$AK$4=$I440)*Weeks!$Z$6:$AK$58)-SUMIFS($E$6:$E$1005,$I$6:$I$1005,$I440,$B$6:$B$1005,"&lt;="&amp;$B440))</f>
        <v/>
      </c>
      <c r="M440" s="19" t="str">
        <f aca="false">IF($B440&amp;$C440&amp;$D440&amp;$E440="","",IF($B440="","missing date",IF($C440="","missing worker",IF($I440="?","unknown worker - was the name changed on Workers?",IF($D440="","missing type",IF(N($E440)=0,"missing amount",IF(AND($E440&lt;0,$D440&lt;&gt;"Correction"),"negative amount - use a Correction to undo",IF(OR($B440&lt;Weeks!$A$6,$B440&gt;Weeks!$B$58),"date outside this workbook's year",IF(AND($D440="Advance",N($L440)&lt;0),"Warning: more than earned so far - worker now owes "&amp;ROUND(-$L440,0),"")))))))))</f>
        <v/>
      </c>
    </row>
    <row r="441" customFormat="false" ht="15" hidden="false" customHeight="false" outlineLevel="0" collapsed="false">
      <c r="A441" s="24" t="str">
        <f aca="false">IF($B441="","",ROW()-5)</f>
        <v/>
      </c>
      <c r="B441" s="25"/>
      <c r="C441" s="20"/>
      <c r="D441" s="26"/>
      <c r="E441" s="27"/>
      <c r="F441" s="20"/>
      <c r="G441" s="20"/>
      <c r="H441" s="26"/>
      <c r="I441" s="24" t="str">
        <f aca="false">IF($C441="","",IFERROR(INDEX(WorkerIDs,MATCH($C441,WorkerNames,0)),"?"))</f>
        <v/>
      </c>
      <c r="J441" s="18" t="str">
        <f aca="false">IF($B441="","",$B441-WEEKDAY($B441,2)+1)</f>
        <v/>
      </c>
      <c r="K441" s="28" t="str">
        <f aca="false">IF(OR($I441="",$I441="?",$D441&lt;&gt;"Advance",$B441=""),"",$I441&amp;"|"&amp;$J441&amp;"|"&amp;COUNTIFS($I$6:$I441,$I441,$J$6:$J441,$J441,$D$6:$D441,"Advance"))</f>
        <v/>
      </c>
      <c r="L441" s="29" t="str">
        <f aca="false">IF(OR($I441="",$I441="?",$B441=""),"",SUMPRODUCT((Weeks!$A$6:$A$58&lt;=$J441)*(Weeks!$Z$4:$AK$4=$I441)*Weeks!$Z$6:$AK$58)-SUMIFS($E$6:$E$1005,$I$6:$I$1005,$I441,$B$6:$B$1005,"&lt;="&amp;$B441))</f>
        <v/>
      </c>
      <c r="M441" s="19" t="str">
        <f aca="false">IF($B441&amp;$C441&amp;$D441&amp;$E441="","",IF($B441="","missing date",IF($C441="","missing worker",IF($I441="?","unknown worker - was the name changed on Workers?",IF($D441="","missing type",IF(N($E441)=0,"missing amount",IF(AND($E441&lt;0,$D441&lt;&gt;"Correction"),"negative amount - use a Correction to undo",IF(OR($B441&lt;Weeks!$A$6,$B441&gt;Weeks!$B$58),"date outside this workbook's year",IF(AND($D441="Advance",N($L441)&lt;0),"Warning: more than earned so far - worker now owes "&amp;ROUND(-$L441,0),"")))))))))</f>
        <v/>
      </c>
    </row>
    <row r="442" customFormat="false" ht="15" hidden="false" customHeight="false" outlineLevel="0" collapsed="false">
      <c r="A442" s="24" t="str">
        <f aca="false">IF($B442="","",ROW()-5)</f>
        <v/>
      </c>
      <c r="B442" s="25"/>
      <c r="C442" s="20"/>
      <c r="D442" s="26"/>
      <c r="E442" s="27"/>
      <c r="F442" s="20"/>
      <c r="G442" s="20"/>
      <c r="H442" s="26"/>
      <c r="I442" s="24" t="str">
        <f aca="false">IF($C442="","",IFERROR(INDEX(WorkerIDs,MATCH($C442,WorkerNames,0)),"?"))</f>
        <v/>
      </c>
      <c r="J442" s="18" t="str">
        <f aca="false">IF($B442="","",$B442-WEEKDAY($B442,2)+1)</f>
        <v/>
      </c>
      <c r="K442" s="28" t="str">
        <f aca="false">IF(OR($I442="",$I442="?",$D442&lt;&gt;"Advance",$B442=""),"",$I442&amp;"|"&amp;$J442&amp;"|"&amp;COUNTIFS($I$6:$I442,$I442,$J$6:$J442,$J442,$D$6:$D442,"Advance"))</f>
        <v/>
      </c>
      <c r="L442" s="29" t="str">
        <f aca="false">IF(OR($I442="",$I442="?",$B442=""),"",SUMPRODUCT((Weeks!$A$6:$A$58&lt;=$J442)*(Weeks!$Z$4:$AK$4=$I442)*Weeks!$Z$6:$AK$58)-SUMIFS($E$6:$E$1005,$I$6:$I$1005,$I442,$B$6:$B$1005,"&lt;="&amp;$B442))</f>
        <v/>
      </c>
      <c r="M442" s="19" t="str">
        <f aca="false">IF($B442&amp;$C442&amp;$D442&amp;$E442="","",IF($B442="","missing date",IF($C442="","missing worker",IF($I442="?","unknown worker - was the name changed on Workers?",IF($D442="","missing type",IF(N($E442)=0,"missing amount",IF(AND($E442&lt;0,$D442&lt;&gt;"Correction"),"negative amount - use a Correction to undo",IF(OR($B442&lt;Weeks!$A$6,$B442&gt;Weeks!$B$58),"date outside this workbook's year",IF(AND($D442="Advance",N($L442)&lt;0),"Warning: more than earned so far - worker now owes "&amp;ROUND(-$L442,0),"")))))))))</f>
        <v/>
      </c>
    </row>
    <row r="443" customFormat="false" ht="15" hidden="false" customHeight="false" outlineLevel="0" collapsed="false">
      <c r="A443" s="24" t="str">
        <f aca="false">IF($B443="","",ROW()-5)</f>
        <v/>
      </c>
      <c r="B443" s="25"/>
      <c r="C443" s="20"/>
      <c r="D443" s="26"/>
      <c r="E443" s="27"/>
      <c r="F443" s="20"/>
      <c r="G443" s="20"/>
      <c r="H443" s="26"/>
      <c r="I443" s="24" t="str">
        <f aca="false">IF($C443="","",IFERROR(INDEX(WorkerIDs,MATCH($C443,WorkerNames,0)),"?"))</f>
        <v/>
      </c>
      <c r="J443" s="18" t="str">
        <f aca="false">IF($B443="","",$B443-WEEKDAY($B443,2)+1)</f>
        <v/>
      </c>
      <c r="K443" s="28" t="str">
        <f aca="false">IF(OR($I443="",$I443="?",$D443&lt;&gt;"Advance",$B443=""),"",$I443&amp;"|"&amp;$J443&amp;"|"&amp;COUNTIFS($I$6:$I443,$I443,$J$6:$J443,$J443,$D$6:$D443,"Advance"))</f>
        <v/>
      </c>
      <c r="L443" s="29" t="str">
        <f aca="false">IF(OR($I443="",$I443="?",$B443=""),"",SUMPRODUCT((Weeks!$A$6:$A$58&lt;=$J443)*(Weeks!$Z$4:$AK$4=$I443)*Weeks!$Z$6:$AK$58)-SUMIFS($E$6:$E$1005,$I$6:$I$1005,$I443,$B$6:$B$1005,"&lt;="&amp;$B443))</f>
        <v/>
      </c>
      <c r="M443" s="19" t="str">
        <f aca="false">IF($B443&amp;$C443&amp;$D443&amp;$E443="","",IF($B443="","missing date",IF($C443="","missing worker",IF($I443="?","unknown worker - was the name changed on Workers?",IF($D443="","missing type",IF(N($E443)=0,"missing amount",IF(AND($E443&lt;0,$D443&lt;&gt;"Correction"),"negative amount - use a Correction to undo",IF(OR($B443&lt;Weeks!$A$6,$B443&gt;Weeks!$B$58),"date outside this workbook's year",IF(AND($D443="Advance",N($L443)&lt;0),"Warning: more than earned so far - worker now owes "&amp;ROUND(-$L443,0),"")))))))))</f>
        <v/>
      </c>
    </row>
    <row r="444" customFormat="false" ht="15" hidden="false" customHeight="false" outlineLevel="0" collapsed="false">
      <c r="A444" s="24" t="str">
        <f aca="false">IF($B444="","",ROW()-5)</f>
        <v/>
      </c>
      <c r="B444" s="25"/>
      <c r="C444" s="20"/>
      <c r="D444" s="26"/>
      <c r="E444" s="27"/>
      <c r="F444" s="20"/>
      <c r="G444" s="20"/>
      <c r="H444" s="26"/>
      <c r="I444" s="24" t="str">
        <f aca="false">IF($C444="","",IFERROR(INDEX(WorkerIDs,MATCH($C444,WorkerNames,0)),"?"))</f>
        <v/>
      </c>
      <c r="J444" s="18" t="str">
        <f aca="false">IF($B444="","",$B444-WEEKDAY($B444,2)+1)</f>
        <v/>
      </c>
      <c r="K444" s="28" t="str">
        <f aca="false">IF(OR($I444="",$I444="?",$D444&lt;&gt;"Advance",$B444=""),"",$I444&amp;"|"&amp;$J444&amp;"|"&amp;COUNTIFS($I$6:$I444,$I444,$J$6:$J444,$J444,$D$6:$D444,"Advance"))</f>
        <v/>
      </c>
      <c r="L444" s="29" t="str">
        <f aca="false">IF(OR($I444="",$I444="?",$B444=""),"",SUMPRODUCT((Weeks!$A$6:$A$58&lt;=$J444)*(Weeks!$Z$4:$AK$4=$I444)*Weeks!$Z$6:$AK$58)-SUMIFS($E$6:$E$1005,$I$6:$I$1005,$I444,$B$6:$B$1005,"&lt;="&amp;$B444))</f>
        <v/>
      </c>
      <c r="M444" s="19" t="str">
        <f aca="false">IF($B444&amp;$C444&amp;$D444&amp;$E444="","",IF($B444="","missing date",IF($C444="","missing worker",IF($I444="?","unknown worker - was the name changed on Workers?",IF($D444="","missing type",IF(N($E444)=0,"missing amount",IF(AND($E444&lt;0,$D444&lt;&gt;"Correction"),"negative amount - use a Correction to undo",IF(OR($B444&lt;Weeks!$A$6,$B444&gt;Weeks!$B$58),"date outside this workbook's year",IF(AND($D444="Advance",N($L444)&lt;0),"Warning: more than earned so far - worker now owes "&amp;ROUND(-$L444,0),"")))))))))</f>
        <v/>
      </c>
    </row>
    <row r="445" customFormat="false" ht="15" hidden="false" customHeight="false" outlineLevel="0" collapsed="false">
      <c r="A445" s="24" t="str">
        <f aca="false">IF($B445="","",ROW()-5)</f>
        <v/>
      </c>
      <c r="B445" s="25"/>
      <c r="C445" s="20"/>
      <c r="D445" s="26"/>
      <c r="E445" s="27"/>
      <c r="F445" s="20"/>
      <c r="G445" s="20"/>
      <c r="H445" s="26"/>
      <c r="I445" s="24" t="str">
        <f aca="false">IF($C445="","",IFERROR(INDEX(WorkerIDs,MATCH($C445,WorkerNames,0)),"?"))</f>
        <v/>
      </c>
      <c r="J445" s="18" t="str">
        <f aca="false">IF($B445="","",$B445-WEEKDAY($B445,2)+1)</f>
        <v/>
      </c>
      <c r="K445" s="28" t="str">
        <f aca="false">IF(OR($I445="",$I445="?",$D445&lt;&gt;"Advance",$B445=""),"",$I445&amp;"|"&amp;$J445&amp;"|"&amp;COUNTIFS($I$6:$I445,$I445,$J$6:$J445,$J445,$D$6:$D445,"Advance"))</f>
        <v/>
      </c>
      <c r="L445" s="29" t="str">
        <f aca="false">IF(OR($I445="",$I445="?",$B445=""),"",SUMPRODUCT((Weeks!$A$6:$A$58&lt;=$J445)*(Weeks!$Z$4:$AK$4=$I445)*Weeks!$Z$6:$AK$58)-SUMIFS($E$6:$E$1005,$I$6:$I$1005,$I445,$B$6:$B$1005,"&lt;="&amp;$B445))</f>
        <v/>
      </c>
      <c r="M445" s="19" t="str">
        <f aca="false">IF($B445&amp;$C445&amp;$D445&amp;$E445="","",IF($B445="","missing date",IF($C445="","missing worker",IF($I445="?","unknown worker - was the name changed on Workers?",IF($D445="","missing type",IF(N($E445)=0,"missing amount",IF(AND($E445&lt;0,$D445&lt;&gt;"Correction"),"negative amount - use a Correction to undo",IF(OR($B445&lt;Weeks!$A$6,$B445&gt;Weeks!$B$58),"date outside this workbook's year",IF(AND($D445="Advance",N($L445)&lt;0),"Warning: more than earned so far - worker now owes "&amp;ROUND(-$L445,0),"")))))))))</f>
        <v/>
      </c>
    </row>
    <row r="446" customFormat="false" ht="15" hidden="false" customHeight="false" outlineLevel="0" collapsed="false">
      <c r="A446" s="24" t="str">
        <f aca="false">IF($B446="","",ROW()-5)</f>
        <v/>
      </c>
      <c r="B446" s="25"/>
      <c r="C446" s="20"/>
      <c r="D446" s="26"/>
      <c r="E446" s="27"/>
      <c r="F446" s="20"/>
      <c r="G446" s="20"/>
      <c r="H446" s="26"/>
      <c r="I446" s="24" t="str">
        <f aca="false">IF($C446="","",IFERROR(INDEX(WorkerIDs,MATCH($C446,WorkerNames,0)),"?"))</f>
        <v/>
      </c>
      <c r="J446" s="18" t="str">
        <f aca="false">IF($B446="","",$B446-WEEKDAY($B446,2)+1)</f>
        <v/>
      </c>
      <c r="K446" s="28" t="str">
        <f aca="false">IF(OR($I446="",$I446="?",$D446&lt;&gt;"Advance",$B446=""),"",$I446&amp;"|"&amp;$J446&amp;"|"&amp;COUNTIFS($I$6:$I446,$I446,$J$6:$J446,$J446,$D$6:$D446,"Advance"))</f>
        <v/>
      </c>
      <c r="L446" s="29" t="str">
        <f aca="false">IF(OR($I446="",$I446="?",$B446=""),"",SUMPRODUCT((Weeks!$A$6:$A$58&lt;=$J446)*(Weeks!$Z$4:$AK$4=$I446)*Weeks!$Z$6:$AK$58)-SUMIFS($E$6:$E$1005,$I$6:$I$1005,$I446,$B$6:$B$1005,"&lt;="&amp;$B446))</f>
        <v/>
      </c>
      <c r="M446" s="19" t="str">
        <f aca="false">IF($B446&amp;$C446&amp;$D446&amp;$E446="","",IF($B446="","missing date",IF($C446="","missing worker",IF($I446="?","unknown worker - was the name changed on Workers?",IF($D446="","missing type",IF(N($E446)=0,"missing amount",IF(AND($E446&lt;0,$D446&lt;&gt;"Correction"),"negative amount - use a Correction to undo",IF(OR($B446&lt;Weeks!$A$6,$B446&gt;Weeks!$B$58),"date outside this workbook's year",IF(AND($D446="Advance",N($L446)&lt;0),"Warning: more than earned so far - worker now owes "&amp;ROUND(-$L446,0),"")))))))))</f>
        <v/>
      </c>
    </row>
    <row r="447" customFormat="false" ht="15" hidden="false" customHeight="false" outlineLevel="0" collapsed="false">
      <c r="A447" s="24" t="str">
        <f aca="false">IF($B447="","",ROW()-5)</f>
        <v/>
      </c>
      <c r="B447" s="25"/>
      <c r="C447" s="20"/>
      <c r="D447" s="26"/>
      <c r="E447" s="27"/>
      <c r="F447" s="20"/>
      <c r="G447" s="20"/>
      <c r="H447" s="26"/>
      <c r="I447" s="24" t="str">
        <f aca="false">IF($C447="","",IFERROR(INDEX(WorkerIDs,MATCH($C447,WorkerNames,0)),"?"))</f>
        <v/>
      </c>
      <c r="J447" s="18" t="str">
        <f aca="false">IF($B447="","",$B447-WEEKDAY($B447,2)+1)</f>
        <v/>
      </c>
      <c r="K447" s="28" t="str">
        <f aca="false">IF(OR($I447="",$I447="?",$D447&lt;&gt;"Advance",$B447=""),"",$I447&amp;"|"&amp;$J447&amp;"|"&amp;COUNTIFS($I$6:$I447,$I447,$J$6:$J447,$J447,$D$6:$D447,"Advance"))</f>
        <v/>
      </c>
      <c r="L447" s="29" t="str">
        <f aca="false">IF(OR($I447="",$I447="?",$B447=""),"",SUMPRODUCT((Weeks!$A$6:$A$58&lt;=$J447)*(Weeks!$Z$4:$AK$4=$I447)*Weeks!$Z$6:$AK$58)-SUMIFS($E$6:$E$1005,$I$6:$I$1005,$I447,$B$6:$B$1005,"&lt;="&amp;$B447))</f>
        <v/>
      </c>
      <c r="M447" s="19" t="str">
        <f aca="false">IF($B447&amp;$C447&amp;$D447&amp;$E447="","",IF($B447="","missing date",IF($C447="","missing worker",IF($I447="?","unknown worker - was the name changed on Workers?",IF($D447="","missing type",IF(N($E447)=0,"missing amount",IF(AND($E447&lt;0,$D447&lt;&gt;"Correction"),"negative amount - use a Correction to undo",IF(OR($B447&lt;Weeks!$A$6,$B447&gt;Weeks!$B$58),"date outside this workbook's year",IF(AND($D447="Advance",N($L447)&lt;0),"Warning: more than earned so far - worker now owes "&amp;ROUND(-$L447,0),"")))))))))</f>
        <v/>
      </c>
    </row>
    <row r="448" customFormat="false" ht="15" hidden="false" customHeight="false" outlineLevel="0" collapsed="false">
      <c r="A448" s="24" t="str">
        <f aca="false">IF($B448="","",ROW()-5)</f>
        <v/>
      </c>
      <c r="B448" s="25"/>
      <c r="C448" s="20"/>
      <c r="D448" s="26"/>
      <c r="E448" s="27"/>
      <c r="F448" s="20"/>
      <c r="G448" s="20"/>
      <c r="H448" s="26"/>
      <c r="I448" s="24" t="str">
        <f aca="false">IF($C448="","",IFERROR(INDEX(WorkerIDs,MATCH($C448,WorkerNames,0)),"?"))</f>
        <v/>
      </c>
      <c r="J448" s="18" t="str">
        <f aca="false">IF($B448="","",$B448-WEEKDAY($B448,2)+1)</f>
        <v/>
      </c>
      <c r="K448" s="28" t="str">
        <f aca="false">IF(OR($I448="",$I448="?",$D448&lt;&gt;"Advance",$B448=""),"",$I448&amp;"|"&amp;$J448&amp;"|"&amp;COUNTIFS($I$6:$I448,$I448,$J$6:$J448,$J448,$D$6:$D448,"Advance"))</f>
        <v/>
      </c>
      <c r="L448" s="29" t="str">
        <f aca="false">IF(OR($I448="",$I448="?",$B448=""),"",SUMPRODUCT((Weeks!$A$6:$A$58&lt;=$J448)*(Weeks!$Z$4:$AK$4=$I448)*Weeks!$Z$6:$AK$58)-SUMIFS($E$6:$E$1005,$I$6:$I$1005,$I448,$B$6:$B$1005,"&lt;="&amp;$B448))</f>
        <v/>
      </c>
      <c r="M448" s="19" t="str">
        <f aca="false">IF($B448&amp;$C448&amp;$D448&amp;$E448="","",IF($B448="","missing date",IF($C448="","missing worker",IF($I448="?","unknown worker - was the name changed on Workers?",IF($D448="","missing type",IF(N($E448)=0,"missing amount",IF(AND($E448&lt;0,$D448&lt;&gt;"Correction"),"negative amount - use a Correction to undo",IF(OR($B448&lt;Weeks!$A$6,$B448&gt;Weeks!$B$58),"date outside this workbook's year",IF(AND($D448="Advance",N($L448)&lt;0),"Warning: more than earned so far - worker now owes "&amp;ROUND(-$L448,0),"")))))))))</f>
        <v/>
      </c>
    </row>
    <row r="449" customFormat="false" ht="15" hidden="false" customHeight="false" outlineLevel="0" collapsed="false">
      <c r="A449" s="24" t="str">
        <f aca="false">IF($B449="","",ROW()-5)</f>
        <v/>
      </c>
      <c r="B449" s="25"/>
      <c r="C449" s="20"/>
      <c r="D449" s="26"/>
      <c r="E449" s="27"/>
      <c r="F449" s="20"/>
      <c r="G449" s="20"/>
      <c r="H449" s="26"/>
      <c r="I449" s="24" t="str">
        <f aca="false">IF($C449="","",IFERROR(INDEX(WorkerIDs,MATCH($C449,WorkerNames,0)),"?"))</f>
        <v/>
      </c>
      <c r="J449" s="18" t="str">
        <f aca="false">IF($B449="","",$B449-WEEKDAY($B449,2)+1)</f>
        <v/>
      </c>
      <c r="K449" s="28" t="str">
        <f aca="false">IF(OR($I449="",$I449="?",$D449&lt;&gt;"Advance",$B449=""),"",$I449&amp;"|"&amp;$J449&amp;"|"&amp;COUNTIFS($I$6:$I449,$I449,$J$6:$J449,$J449,$D$6:$D449,"Advance"))</f>
        <v/>
      </c>
      <c r="L449" s="29" t="str">
        <f aca="false">IF(OR($I449="",$I449="?",$B449=""),"",SUMPRODUCT((Weeks!$A$6:$A$58&lt;=$J449)*(Weeks!$Z$4:$AK$4=$I449)*Weeks!$Z$6:$AK$58)-SUMIFS($E$6:$E$1005,$I$6:$I$1005,$I449,$B$6:$B$1005,"&lt;="&amp;$B449))</f>
        <v/>
      </c>
      <c r="M449" s="19" t="str">
        <f aca="false">IF($B449&amp;$C449&amp;$D449&amp;$E449="","",IF($B449="","missing date",IF($C449="","missing worker",IF($I449="?","unknown worker - was the name changed on Workers?",IF($D449="","missing type",IF(N($E449)=0,"missing amount",IF(AND($E449&lt;0,$D449&lt;&gt;"Correction"),"negative amount - use a Correction to undo",IF(OR($B449&lt;Weeks!$A$6,$B449&gt;Weeks!$B$58),"date outside this workbook's year",IF(AND($D449="Advance",N($L449)&lt;0),"Warning: more than earned so far - worker now owes "&amp;ROUND(-$L449,0),"")))))))))</f>
        <v/>
      </c>
    </row>
    <row r="450" customFormat="false" ht="15" hidden="false" customHeight="false" outlineLevel="0" collapsed="false">
      <c r="A450" s="24" t="str">
        <f aca="false">IF($B450="","",ROW()-5)</f>
        <v/>
      </c>
      <c r="B450" s="25"/>
      <c r="C450" s="20"/>
      <c r="D450" s="26"/>
      <c r="E450" s="27"/>
      <c r="F450" s="20"/>
      <c r="G450" s="20"/>
      <c r="H450" s="26"/>
      <c r="I450" s="24" t="str">
        <f aca="false">IF($C450="","",IFERROR(INDEX(WorkerIDs,MATCH($C450,WorkerNames,0)),"?"))</f>
        <v/>
      </c>
      <c r="J450" s="18" t="str">
        <f aca="false">IF($B450="","",$B450-WEEKDAY($B450,2)+1)</f>
        <v/>
      </c>
      <c r="K450" s="28" t="str">
        <f aca="false">IF(OR($I450="",$I450="?",$D450&lt;&gt;"Advance",$B450=""),"",$I450&amp;"|"&amp;$J450&amp;"|"&amp;COUNTIFS($I$6:$I450,$I450,$J$6:$J450,$J450,$D$6:$D450,"Advance"))</f>
        <v/>
      </c>
      <c r="L450" s="29" t="str">
        <f aca="false">IF(OR($I450="",$I450="?",$B450=""),"",SUMPRODUCT((Weeks!$A$6:$A$58&lt;=$J450)*(Weeks!$Z$4:$AK$4=$I450)*Weeks!$Z$6:$AK$58)-SUMIFS($E$6:$E$1005,$I$6:$I$1005,$I450,$B$6:$B$1005,"&lt;="&amp;$B450))</f>
        <v/>
      </c>
      <c r="M450" s="19" t="str">
        <f aca="false">IF($B450&amp;$C450&amp;$D450&amp;$E450="","",IF($B450="","missing date",IF($C450="","missing worker",IF($I450="?","unknown worker - was the name changed on Workers?",IF($D450="","missing type",IF(N($E450)=0,"missing amount",IF(AND($E450&lt;0,$D450&lt;&gt;"Correction"),"negative amount - use a Correction to undo",IF(OR($B450&lt;Weeks!$A$6,$B450&gt;Weeks!$B$58),"date outside this workbook's year",IF(AND($D450="Advance",N($L450)&lt;0),"Warning: more than earned so far - worker now owes "&amp;ROUND(-$L450,0),"")))))))))</f>
        <v/>
      </c>
    </row>
    <row r="451" customFormat="false" ht="15" hidden="false" customHeight="false" outlineLevel="0" collapsed="false">
      <c r="A451" s="24" t="str">
        <f aca="false">IF($B451="","",ROW()-5)</f>
        <v/>
      </c>
      <c r="B451" s="25"/>
      <c r="C451" s="20"/>
      <c r="D451" s="26"/>
      <c r="E451" s="27"/>
      <c r="F451" s="20"/>
      <c r="G451" s="20"/>
      <c r="H451" s="26"/>
      <c r="I451" s="24" t="str">
        <f aca="false">IF($C451="","",IFERROR(INDEX(WorkerIDs,MATCH($C451,WorkerNames,0)),"?"))</f>
        <v/>
      </c>
      <c r="J451" s="18" t="str">
        <f aca="false">IF($B451="","",$B451-WEEKDAY($B451,2)+1)</f>
        <v/>
      </c>
      <c r="K451" s="28" t="str">
        <f aca="false">IF(OR($I451="",$I451="?",$D451&lt;&gt;"Advance",$B451=""),"",$I451&amp;"|"&amp;$J451&amp;"|"&amp;COUNTIFS($I$6:$I451,$I451,$J$6:$J451,$J451,$D$6:$D451,"Advance"))</f>
        <v/>
      </c>
      <c r="L451" s="29" t="str">
        <f aca="false">IF(OR($I451="",$I451="?",$B451=""),"",SUMPRODUCT((Weeks!$A$6:$A$58&lt;=$J451)*(Weeks!$Z$4:$AK$4=$I451)*Weeks!$Z$6:$AK$58)-SUMIFS($E$6:$E$1005,$I$6:$I$1005,$I451,$B$6:$B$1005,"&lt;="&amp;$B451))</f>
        <v/>
      </c>
      <c r="M451" s="19" t="str">
        <f aca="false">IF($B451&amp;$C451&amp;$D451&amp;$E451="","",IF($B451="","missing date",IF($C451="","missing worker",IF($I451="?","unknown worker - was the name changed on Workers?",IF($D451="","missing type",IF(N($E451)=0,"missing amount",IF(AND($E451&lt;0,$D451&lt;&gt;"Correction"),"negative amount - use a Correction to undo",IF(OR($B451&lt;Weeks!$A$6,$B451&gt;Weeks!$B$58),"date outside this workbook's year",IF(AND($D451="Advance",N($L451)&lt;0),"Warning: more than earned so far - worker now owes "&amp;ROUND(-$L451,0),"")))))))))</f>
        <v/>
      </c>
    </row>
    <row r="452" customFormat="false" ht="15" hidden="false" customHeight="false" outlineLevel="0" collapsed="false">
      <c r="A452" s="24" t="str">
        <f aca="false">IF($B452="","",ROW()-5)</f>
        <v/>
      </c>
      <c r="B452" s="25"/>
      <c r="C452" s="20"/>
      <c r="D452" s="26"/>
      <c r="E452" s="27"/>
      <c r="F452" s="20"/>
      <c r="G452" s="20"/>
      <c r="H452" s="26"/>
      <c r="I452" s="24" t="str">
        <f aca="false">IF($C452="","",IFERROR(INDEX(WorkerIDs,MATCH($C452,WorkerNames,0)),"?"))</f>
        <v/>
      </c>
      <c r="J452" s="18" t="str">
        <f aca="false">IF($B452="","",$B452-WEEKDAY($B452,2)+1)</f>
        <v/>
      </c>
      <c r="K452" s="28" t="str">
        <f aca="false">IF(OR($I452="",$I452="?",$D452&lt;&gt;"Advance",$B452=""),"",$I452&amp;"|"&amp;$J452&amp;"|"&amp;COUNTIFS($I$6:$I452,$I452,$J$6:$J452,$J452,$D$6:$D452,"Advance"))</f>
        <v/>
      </c>
      <c r="L452" s="29" t="str">
        <f aca="false">IF(OR($I452="",$I452="?",$B452=""),"",SUMPRODUCT((Weeks!$A$6:$A$58&lt;=$J452)*(Weeks!$Z$4:$AK$4=$I452)*Weeks!$Z$6:$AK$58)-SUMIFS($E$6:$E$1005,$I$6:$I$1005,$I452,$B$6:$B$1005,"&lt;="&amp;$B452))</f>
        <v/>
      </c>
      <c r="M452" s="19" t="str">
        <f aca="false">IF($B452&amp;$C452&amp;$D452&amp;$E452="","",IF($B452="","missing date",IF($C452="","missing worker",IF($I452="?","unknown worker - was the name changed on Workers?",IF($D452="","missing type",IF(N($E452)=0,"missing amount",IF(AND($E452&lt;0,$D452&lt;&gt;"Correction"),"negative amount - use a Correction to undo",IF(OR($B452&lt;Weeks!$A$6,$B452&gt;Weeks!$B$58),"date outside this workbook's year",IF(AND($D452="Advance",N($L452)&lt;0),"Warning: more than earned so far - worker now owes "&amp;ROUND(-$L452,0),"")))))))))</f>
        <v/>
      </c>
    </row>
    <row r="453" customFormat="false" ht="15" hidden="false" customHeight="false" outlineLevel="0" collapsed="false">
      <c r="A453" s="24" t="str">
        <f aca="false">IF($B453="","",ROW()-5)</f>
        <v/>
      </c>
      <c r="B453" s="25"/>
      <c r="C453" s="20"/>
      <c r="D453" s="26"/>
      <c r="E453" s="27"/>
      <c r="F453" s="20"/>
      <c r="G453" s="20"/>
      <c r="H453" s="26"/>
      <c r="I453" s="24" t="str">
        <f aca="false">IF($C453="","",IFERROR(INDEX(WorkerIDs,MATCH($C453,WorkerNames,0)),"?"))</f>
        <v/>
      </c>
      <c r="J453" s="18" t="str">
        <f aca="false">IF($B453="","",$B453-WEEKDAY($B453,2)+1)</f>
        <v/>
      </c>
      <c r="K453" s="28" t="str">
        <f aca="false">IF(OR($I453="",$I453="?",$D453&lt;&gt;"Advance",$B453=""),"",$I453&amp;"|"&amp;$J453&amp;"|"&amp;COUNTIFS($I$6:$I453,$I453,$J$6:$J453,$J453,$D$6:$D453,"Advance"))</f>
        <v/>
      </c>
      <c r="L453" s="29" t="str">
        <f aca="false">IF(OR($I453="",$I453="?",$B453=""),"",SUMPRODUCT((Weeks!$A$6:$A$58&lt;=$J453)*(Weeks!$Z$4:$AK$4=$I453)*Weeks!$Z$6:$AK$58)-SUMIFS($E$6:$E$1005,$I$6:$I$1005,$I453,$B$6:$B$1005,"&lt;="&amp;$B453))</f>
        <v/>
      </c>
      <c r="M453" s="19" t="str">
        <f aca="false">IF($B453&amp;$C453&amp;$D453&amp;$E453="","",IF($B453="","missing date",IF($C453="","missing worker",IF($I453="?","unknown worker - was the name changed on Workers?",IF($D453="","missing type",IF(N($E453)=0,"missing amount",IF(AND($E453&lt;0,$D453&lt;&gt;"Correction"),"negative amount - use a Correction to undo",IF(OR($B453&lt;Weeks!$A$6,$B453&gt;Weeks!$B$58),"date outside this workbook's year",IF(AND($D453="Advance",N($L453)&lt;0),"Warning: more than earned so far - worker now owes "&amp;ROUND(-$L453,0),"")))))))))</f>
        <v/>
      </c>
    </row>
    <row r="454" customFormat="false" ht="15" hidden="false" customHeight="false" outlineLevel="0" collapsed="false">
      <c r="A454" s="24" t="str">
        <f aca="false">IF($B454="","",ROW()-5)</f>
        <v/>
      </c>
      <c r="B454" s="25"/>
      <c r="C454" s="20"/>
      <c r="D454" s="26"/>
      <c r="E454" s="27"/>
      <c r="F454" s="20"/>
      <c r="G454" s="20"/>
      <c r="H454" s="26"/>
      <c r="I454" s="24" t="str">
        <f aca="false">IF($C454="","",IFERROR(INDEX(WorkerIDs,MATCH($C454,WorkerNames,0)),"?"))</f>
        <v/>
      </c>
      <c r="J454" s="18" t="str">
        <f aca="false">IF($B454="","",$B454-WEEKDAY($B454,2)+1)</f>
        <v/>
      </c>
      <c r="K454" s="28" t="str">
        <f aca="false">IF(OR($I454="",$I454="?",$D454&lt;&gt;"Advance",$B454=""),"",$I454&amp;"|"&amp;$J454&amp;"|"&amp;COUNTIFS($I$6:$I454,$I454,$J$6:$J454,$J454,$D$6:$D454,"Advance"))</f>
        <v/>
      </c>
      <c r="L454" s="29" t="str">
        <f aca="false">IF(OR($I454="",$I454="?",$B454=""),"",SUMPRODUCT((Weeks!$A$6:$A$58&lt;=$J454)*(Weeks!$Z$4:$AK$4=$I454)*Weeks!$Z$6:$AK$58)-SUMIFS($E$6:$E$1005,$I$6:$I$1005,$I454,$B$6:$B$1005,"&lt;="&amp;$B454))</f>
        <v/>
      </c>
      <c r="M454" s="19" t="str">
        <f aca="false">IF($B454&amp;$C454&amp;$D454&amp;$E454="","",IF($B454="","missing date",IF($C454="","missing worker",IF($I454="?","unknown worker - was the name changed on Workers?",IF($D454="","missing type",IF(N($E454)=0,"missing amount",IF(AND($E454&lt;0,$D454&lt;&gt;"Correction"),"negative amount - use a Correction to undo",IF(OR($B454&lt;Weeks!$A$6,$B454&gt;Weeks!$B$58),"date outside this workbook's year",IF(AND($D454="Advance",N($L454)&lt;0),"Warning: more than earned so far - worker now owes "&amp;ROUND(-$L454,0),"")))))))))</f>
        <v/>
      </c>
    </row>
    <row r="455" customFormat="false" ht="15" hidden="false" customHeight="false" outlineLevel="0" collapsed="false">
      <c r="A455" s="24" t="str">
        <f aca="false">IF($B455="","",ROW()-5)</f>
        <v/>
      </c>
      <c r="B455" s="25"/>
      <c r="C455" s="20"/>
      <c r="D455" s="26"/>
      <c r="E455" s="27"/>
      <c r="F455" s="20"/>
      <c r="G455" s="20"/>
      <c r="H455" s="26"/>
      <c r="I455" s="24" t="str">
        <f aca="false">IF($C455="","",IFERROR(INDEX(WorkerIDs,MATCH($C455,WorkerNames,0)),"?"))</f>
        <v/>
      </c>
      <c r="J455" s="18" t="str">
        <f aca="false">IF($B455="","",$B455-WEEKDAY($B455,2)+1)</f>
        <v/>
      </c>
      <c r="K455" s="28" t="str">
        <f aca="false">IF(OR($I455="",$I455="?",$D455&lt;&gt;"Advance",$B455=""),"",$I455&amp;"|"&amp;$J455&amp;"|"&amp;COUNTIFS($I$6:$I455,$I455,$J$6:$J455,$J455,$D$6:$D455,"Advance"))</f>
        <v/>
      </c>
      <c r="L455" s="29" t="str">
        <f aca="false">IF(OR($I455="",$I455="?",$B455=""),"",SUMPRODUCT((Weeks!$A$6:$A$58&lt;=$J455)*(Weeks!$Z$4:$AK$4=$I455)*Weeks!$Z$6:$AK$58)-SUMIFS($E$6:$E$1005,$I$6:$I$1005,$I455,$B$6:$B$1005,"&lt;="&amp;$B455))</f>
        <v/>
      </c>
      <c r="M455" s="19" t="str">
        <f aca="false">IF($B455&amp;$C455&amp;$D455&amp;$E455="","",IF($B455="","missing date",IF($C455="","missing worker",IF($I455="?","unknown worker - was the name changed on Workers?",IF($D455="","missing type",IF(N($E455)=0,"missing amount",IF(AND($E455&lt;0,$D455&lt;&gt;"Correction"),"negative amount - use a Correction to undo",IF(OR($B455&lt;Weeks!$A$6,$B455&gt;Weeks!$B$58),"date outside this workbook's year",IF(AND($D455="Advance",N($L455)&lt;0),"Warning: more than earned so far - worker now owes "&amp;ROUND(-$L455,0),"")))))))))</f>
        <v/>
      </c>
    </row>
    <row r="456" customFormat="false" ht="15" hidden="false" customHeight="false" outlineLevel="0" collapsed="false">
      <c r="A456" s="24" t="str">
        <f aca="false">IF($B456="","",ROW()-5)</f>
        <v/>
      </c>
      <c r="B456" s="25"/>
      <c r="C456" s="20"/>
      <c r="D456" s="26"/>
      <c r="E456" s="27"/>
      <c r="F456" s="20"/>
      <c r="G456" s="20"/>
      <c r="H456" s="26"/>
      <c r="I456" s="24" t="str">
        <f aca="false">IF($C456="","",IFERROR(INDEX(WorkerIDs,MATCH($C456,WorkerNames,0)),"?"))</f>
        <v/>
      </c>
      <c r="J456" s="18" t="str">
        <f aca="false">IF($B456="","",$B456-WEEKDAY($B456,2)+1)</f>
        <v/>
      </c>
      <c r="K456" s="28" t="str">
        <f aca="false">IF(OR($I456="",$I456="?",$D456&lt;&gt;"Advance",$B456=""),"",$I456&amp;"|"&amp;$J456&amp;"|"&amp;COUNTIFS($I$6:$I456,$I456,$J$6:$J456,$J456,$D$6:$D456,"Advance"))</f>
        <v/>
      </c>
      <c r="L456" s="29" t="str">
        <f aca="false">IF(OR($I456="",$I456="?",$B456=""),"",SUMPRODUCT((Weeks!$A$6:$A$58&lt;=$J456)*(Weeks!$Z$4:$AK$4=$I456)*Weeks!$Z$6:$AK$58)-SUMIFS($E$6:$E$1005,$I$6:$I$1005,$I456,$B$6:$B$1005,"&lt;="&amp;$B456))</f>
        <v/>
      </c>
      <c r="M456" s="19" t="str">
        <f aca="false">IF($B456&amp;$C456&amp;$D456&amp;$E456="","",IF($B456="","missing date",IF($C456="","missing worker",IF($I456="?","unknown worker - was the name changed on Workers?",IF($D456="","missing type",IF(N($E456)=0,"missing amount",IF(AND($E456&lt;0,$D456&lt;&gt;"Correction"),"negative amount - use a Correction to undo",IF(OR($B456&lt;Weeks!$A$6,$B456&gt;Weeks!$B$58),"date outside this workbook's year",IF(AND($D456="Advance",N($L456)&lt;0),"Warning: more than earned so far - worker now owes "&amp;ROUND(-$L456,0),"")))))))))</f>
        <v/>
      </c>
    </row>
    <row r="457" customFormat="false" ht="15" hidden="false" customHeight="false" outlineLevel="0" collapsed="false">
      <c r="A457" s="24" t="str">
        <f aca="false">IF($B457="","",ROW()-5)</f>
        <v/>
      </c>
      <c r="B457" s="25"/>
      <c r="C457" s="20"/>
      <c r="D457" s="26"/>
      <c r="E457" s="27"/>
      <c r="F457" s="20"/>
      <c r="G457" s="20"/>
      <c r="H457" s="26"/>
      <c r="I457" s="24" t="str">
        <f aca="false">IF($C457="","",IFERROR(INDEX(WorkerIDs,MATCH($C457,WorkerNames,0)),"?"))</f>
        <v/>
      </c>
      <c r="J457" s="18" t="str">
        <f aca="false">IF($B457="","",$B457-WEEKDAY($B457,2)+1)</f>
        <v/>
      </c>
      <c r="K457" s="28" t="str">
        <f aca="false">IF(OR($I457="",$I457="?",$D457&lt;&gt;"Advance",$B457=""),"",$I457&amp;"|"&amp;$J457&amp;"|"&amp;COUNTIFS($I$6:$I457,$I457,$J$6:$J457,$J457,$D$6:$D457,"Advance"))</f>
        <v/>
      </c>
      <c r="L457" s="29" t="str">
        <f aca="false">IF(OR($I457="",$I457="?",$B457=""),"",SUMPRODUCT((Weeks!$A$6:$A$58&lt;=$J457)*(Weeks!$Z$4:$AK$4=$I457)*Weeks!$Z$6:$AK$58)-SUMIFS($E$6:$E$1005,$I$6:$I$1005,$I457,$B$6:$B$1005,"&lt;="&amp;$B457))</f>
        <v/>
      </c>
      <c r="M457" s="19" t="str">
        <f aca="false">IF($B457&amp;$C457&amp;$D457&amp;$E457="","",IF($B457="","missing date",IF($C457="","missing worker",IF($I457="?","unknown worker - was the name changed on Workers?",IF($D457="","missing type",IF(N($E457)=0,"missing amount",IF(AND($E457&lt;0,$D457&lt;&gt;"Correction"),"negative amount - use a Correction to undo",IF(OR($B457&lt;Weeks!$A$6,$B457&gt;Weeks!$B$58),"date outside this workbook's year",IF(AND($D457="Advance",N($L457)&lt;0),"Warning: more than earned so far - worker now owes "&amp;ROUND(-$L457,0),"")))))))))</f>
        <v/>
      </c>
    </row>
    <row r="458" customFormat="false" ht="15" hidden="false" customHeight="false" outlineLevel="0" collapsed="false">
      <c r="A458" s="24" t="str">
        <f aca="false">IF($B458="","",ROW()-5)</f>
        <v/>
      </c>
      <c r="B458" s="25"/>
      <c r="C458" s="20"/>
      <c r="D458" s="26"/>
      <c r="E458" s="27"/>
      <c r="F458" s="20"/>
      <c r="G458" s="20"/>
      <c r="H458" s="26"/>
      <c r="I458" s="24" t="str">
        <f aca="false">IF($C458="","",IFERROR(INDEX(WorkerIDs,MATCH($C458,WorkerNames,0)),"?"))</f>
        <v/>
      </c>
      <c r="J458" s="18" t="str">
        <f aca="false">IF($B458="","",$B458-WEEKDAY($B458,2)+1)</f>
        <v/>
      </c>
      <c r="K458" s="28" t="str">
        <f aca="false">IF(OR($I458="",$I458="?",$D458&lt;&gt;"Advance",$B458=""),"",$I458&amp;"|"&amp;$J458&amp;"|"&amp;COUNTIFS($I$6:$I458,$I458,$J$6:$J458,$J458,$D$6:$D458,"Advance"))</f>
        <v/>
      </c>
      <c r="L458" s="29" t="str">
        <f aca="false">IF(OR($I458="",$I458="?",$B458=""),"",SUMPRODUCT((Weeks!$A$6:$A$58&lt;=$J458)*(Weeks!$Z$4:$AK$4=$I458)*Weeks!$Z$6:$AK$58)-SUMIFS($E$6:$E$1005,$I$6:$I$1005,$I458,$B$6:$B$1005,"&lt;="&amp;$B458))</f>
        <v/>
      </c>
      <c r="M458" s="19" t="str">
        <f aca="false">IF($B458&amp;$C458&amp;$D458&amp;$E458="","",IF($B458="","missing date",IF($C458="","missing worker",IF($I458="?","unknown worker - was the name changed on Workers?",IF($D458="","missing type",IF(N($E458)=0,"missing amount",IF(AND($E458&lt;0,$D458&lt;&gt;"Correction"),"negative amount - use a Correction to undo",IF(OR($B458&lt;Weeks!$A$6,$B458&gt;Weeks!$B$58),"date outside this workbook's year",IF(AND($D458="Advance",N($L458)&lt;0),"Warning: more than earned so far - worker now owes "&amp;ROUND(-$L458,0),"")))))))))</f>
        <v/>
      </c>
    </row>
    <row r="459" customFormat="false" ht="15" hidden="false" customHeight="false" outlineLevel="0" collapsed="false">
      <c r="A459" s="24" t="str">
        <f aca="false">IF($B459="","",ROW()-5)</f>
        <v/>
      </c>
      <c r="B459" s="25"/>
      <c r="C459" s="20"/>
      <c r="D459" s="26"/>
      <c r="E459" s="27"/>
      <c r="F459" s="20"/>
      <c r="G459" s="20"/>
      <c r="H459" s="26"/>
      <c r="I459" s="24" t="str">
        <f aca="false">IF($C459="","",IFERROR(INDEX(WorkerIDs,MATCH($C459,WorkerNames,0)),"?"))</f>
        <v/>
      </c>
      <c r="J459" s="18" t="str">
        <f aca="false">IF($B459="","",$B459-WEEKDAY($B459,2)+1)</f>
        <v/>
      </c>
      <c r="K459" s="28" t="str">
        <f aca="false">IF(OR($I459="",$I459="?",$D459&lt;&gt;"Advance",$B459=""),"",$I459&amp;"|"&amp;$J459&amp;"|"&amp;COUNTIFS($I$6:$I459,$I459,$J$6:$J459,$J459,$D$6:$D459,"Advance"))</f>
        <v/>
      </c>
      <c r="L459" s="29" t="str">
        <f aca="false">IF(OR($I459="",$I459="?",$B459=""),"",SUMPRODUCT((Weeks!$A$6:$A$58&lt;=$J459)*(Weeks!$Z$4:$AK$4=$I459)*Weeks!$Z$6:$AK$58)-SUMIFS($E$6:$E$1005,$I$6:$I$1005,$I459,$B$6:$B$1005,"&lt;="&amp;$B459))</f>
        <v/>
      </c>
      <c r="M459" s="19" t="str">
        <f aca="false">IF($B459&amp;$C459&amp;$D459&amp;$E459="","",IF($B459="","missing date",IF($C459="","missing worker",IF($I459="?","unknown worker - was the name changed on Workers?",IF($D459="","missing type",IF(N($E459)=0,"missing amount",IF(AND($E459&lt;0,$D459&lt;&gt;"Correction"),"negative amount - use a Correction to undo",IF(OR($B459&lt;Weeks!$A$6,$B459&gt;Weeks!$B$58),"date outside this workbook's year",IF(AND($D459="Advance",N($L459)&lt;0),"Warning: more than earned so far - worker now owes "&amp;ROUND(-$L459,0),"")))))))))</f>
        <v/>
      </c>
    </row>
    <row r="460" customFormat="false" ht="15" hidden="false" customHeight="false" outlineLevel="0" collapsed="false">
      <c r="A460" s="24" t="str">
        <f aca="false">IF($B460="","",ROW()-5)</f>
        <v/>
      </c>
      <c r="B460" s="25"/>
      <c r="C460" s="20"/>
      <c r="D460" s="26"/>
      <c r="E460" s="27"/>
      <c r="F460" s="20"/>
      <c r="G460" s="20"/>
      <c r="H460" s="26"/>
      <c r="I460" s="24" t="str">
        <f aca="false">IF($C460="","",IFERROR(INDEX(WorkerIDs,MATCH($C460,WorkerNames,0)),"?"))</f>
        <v/>
      </c>
      <c r="J460" s="18" t="str">
        <f aca="false">IF($B460="","",$B460-WEEKDAY($B460,2)+1)</f>
        <v/>
      </c>
      <c r="K460" s="28" t="str">
        <f aca="false">IF(OR($I460="",$I460="?",$D460&lt;&gt;"Advance",$B460=""),"",$I460&amp;"|"&amp;$J460&amp;"|"&amp;COUNTIFS($I$6:$I460,$I460,$J$6:$J460,$J460,$D$6:$D460,"Advance"))</f>
        <v/>
      </c>
      <c r="L460" s="29" t="str">
        <f aca="false">IF(OR($I460="",$I460="?",$B460=""),"",SUMPRODUCT((Weeks!$A$6:$A$58&lt;=$J460)*(Weeks!$Z$4:$AK$4=$I460)*Weeks!$Z$6:$AK$58)-SUMIFS($E$6:$E$1005,$I$6:$I$1005,$I460,$B$6:$B$1005,"&lt;="&amp;$B460))</f>
        <v/>
      </c>
      <c r="M460" s="19" t="str">
        <f aca="false">IF($B460&amp;$C460&amp;$D460&amp;$E460="","",IF($B460="","missing date",IF($C460="","missing worker",IF($I460="?","unknown worker - was the name changed on Workers?",IF($D460="","missing type",IF(N($E460)=0,"missing amount",IF(AND($E460&lt;0,$D460&lt;&gt;"Correction"),"negative amount - use a Correction to undo",IF(OR($B460&lt;Weeks!$A$6,$B460&gt;Weeks!$B$58),"date outside this workbook's year",IF(AND($D460="Advance",N($L460)&lt;0),"Warning: more than earned so far - worker now owes "&amp;ROUND(-$L460,0),"")))))))))</f>
        <v/>
      </c>
    </row>
    <row r="461" customFormat="false" ht="15" hidden="false" customHeight="false" outlineLevel="0" collapsed="false">
      <c r="A461" s="24" t="str">
        <f aca="false">IF($B461="","",ROW()-5)</f>
        <v/>
      </c>
      <c r="B461" s="25"/>
      <c r="C461" s="20"/>
      <c r="D461" s="26"/>
      <c r="E461" s="27"/>
      <c r="F461" s="20"/>
      <c r="G461" s="20"/>
      <c r="H461" s="26"/>
      <c r="I461" s="24" t="str">
        <f aca="false">IF($C461="","",IFERROR(INDEX(WorkerIDs,MATCH($C461,WorkerNames,0)),"?"))</f>
        <v/>
      </c>
      <c r="J461" s="18" t="str">
        <f aca="false">IF($B461="","",$B461-WEEKDAY($B461,2)+1)</f>
        <v/>
      </c>
      <c r="K461" s="28" t="str">
        <f aca="false">IF(OR($I461="",$I461="?",$D461&lt;&gt;"Advance",$B461=""),"",$I461&amp;"|"&amp;$J461&amp;"|"&amp;COUNTIFS($I$6:$I461,$I461,$J$6:$J461,$J461,$D$6:$D461,"Advance"))</f>
        <v/>
      </c>
      <c r="L461" s="29" t="str">
        <f aca="false">IF(OR($I461="",$I461="?",$B461=""),"",SUMPRODUCT((Weeks!$A$6:$A$58&lt;=$J461)*(Weeks!$Z$4:$AK$4=$I461)*Weeks!$Z$6:$AK$58)-SUMIFS($E$6:$E$1005,$I$6:$I$1005,$I461,$B$6:$B$1005,"&lt;="&amp;$B461))</f>
        <v/>
      </c>
      <c r="M461" s="19" t="str">
        <f aca="false">IF($B461&amp;$C461&amp;$D461&amp;$E461="","",IF($B461="","missing date",IF($C461="","missing worker",IF($I461="?","unknown worker - was the name changed on Workers?",IF($D461="","missing type",IF(N($E461)=0,"missing amount",IF(AND($E461&lt;0,$D461&lt;&gt;"Correction"),"negative amount - use a Correction to undo",IF(OR($B461&lt;Weeks!$A$6,$B461&gt;Weeks!$B$58),"date outside this workbook's year",IF(AND($D461="Advance",N($L461)&lt;0),"Warning: more than earned so far - worker now owes "&amp;ROUND(-$L461,0),"")))))))))</f>
        <v/>
      </c>
    </row>
    <row r="462" customFormat="false" ht="15" hidden="false" customHeight="false" outlineLevel="0" collapsed="false">
      <c r="A462" s="24" t="str">
        <f aca="false">IF($B462="","",ROW()-5)</f>
        <v/>
      </c>
      <c r="B462" s="25"/>
      <c r="C462" s="20"/>
      <c r="D462" s="26"/>
      <c r="E462" s="27"/>
      <c r="F462" s="20"/>
      <c r="G462" s="20"/>
      <c r="H462" s="26"/>
      <c r="I462" s="24" t="str">
        <f aca="false">IF($C462="","",IFERROR(INDEX(WorkerIDs,MATCH($C462,WorkerNames,0)),"?"))</f>
        <v/>
      </c>
      <c r="J462" s="18" t="str">
        <f aca="false">IF($B462="","",$B462-WEEKDAY($B462,2)+1)</f>
        <v/>
      </c>
      <c r="K462" s="28" t="str">
        <f aca="false">IF(OR($I462="",$I462="?",$D462&lt;&gt;"Advance",$B462=""),"",$I462&amp;"|"&amp;$J462&amp;"|"&amp;COUNTIFS($I$6:$I462,$I462,$J$6:$J462,$J462,$D$6:$D462,"Advance"))</f>
        <v/>
      </c>
      <c r="L462" s="29" t="str">
        <f aca="false">IF(OR($I462="",$I462="?",$B462=""),"",SUMPRODUCT((Weeks!$A$6:$A$58&lt;=$J462)*(Weeks!$Z$4:$AK$4=$I462)*Weeks!$Z$6:$AK$58)-SUMIFS($E$6:$E$1005,$I$6:$I$1005,$I462,$B$6:$B$1005,"&lt;="&amp;$B462))</f>
        <v/>
      </c>
      <c r="M462" s="19" t="str">
        <f aca="false">IF($B462&amp;$C462&amp;$D462&amp;$E462="","",IF($B462="","missing date",IF($C462="","missing worker",IF($I462="?","unknown worker - was the name changed on Workers?",IF($D462="","missing type",IF(N($E462)=0,"missing amount",IF(AND($E462&lt;0,$D462&lt;&gt;"Correction"),"negative amount - use a Correction to undo",IF(OR($B462&lt;Weeks!$A$6,$B462&gt;Weeks!$B$58),"date outside this workbook's year",IF(AND($D462="Advance",N($L462)&lt;0),"Warning: more than earned so far - worker now owes "&amp;ROUND(-$L462,0),"")))))))))</f>
        <v/>
      </c>
    </row>
    <row r="463" customFormat="false" ht="15" hidden="false" customHeight="false" outlineLevel="0" collapsed="false">
      <c r="A463" s="24" t="str">
        <f aca="false">IF($B463="","",ROW()-5)</f>
        <v/>
      </c>
      <c r="B463" s="25"/>
      <c r="C463" s="20"/>
      <c r="D463" s="26"/>
      <c r="E463" s="27"/>
      <c r="F463" s="20"/>
      <c r="G463" s="20"/>
      <c r="H463" s="26"/>
      <c r="I463" s="24" t="str">
        <f aca="false">IF($C463="","",IFERROR(INDEX(WorkerIDs,MATCH($C463,WorkerNames,0)),"?"))</f>
        <v/>
      </c>
      <c r="J463" s="18" t="str">
        <f aca="false">IF($B463="","",$B463-WEEKDAY($B463,2)+1)</f>
        <v/>
      </c>
      <c r="K463" s="28" t="str">
        <f aca="false">IF(OR($I463="",$I463="?",$D463&lt;&gt;"Advance",$B463=""),"",$I463&amp;"|"&amp;$J463&amp;"|"&amp;COUNTIFS($I$6:$I463,$I463,$J$6:$J463,$J463,$D$6:$D463,"Advance"))</f>
        <v/>
      </c>
      <c r="L463" s="29" t="str">
        <f aca="false">IF(OR($I463="",$I463="?",$B463=""),"",SUMPRODUCT((Weeks!$A$6:$A$58&lt;=$J463)*(Weeks!$Z$4:$AK$4=$I463)*Weeks!$Z$6:$AK$58)-SUMIFS($E$6:$E$1005,$I$6:$I$1005,$I463,$B$6:$B$1005,"&lt;="&amp;$B463))</f>
        <v/>
      </c>
      <c r="M463" s="19" t="str">
        <f aca="false">IF($B463&amp;$C463&amp;$D463&amp;$E463="","",IF($B463="","missing date",IF($C463="","missing worker",IF($I463="?","unknown worker - was the name changed on Workers?",IF($D463="","missing type",IF(N($E463)=0,"missing amount",IF(AND($E463&lt;0,$D463&lt;&gt;"Correction"),"negative amount - use a Correction to undo",IF(OR($B463&lt;Weeks!$A$6,$B463&gt;Weeks!$B$58),"date outside this workbook's year",IF(AND($D463="Advance",N($L463)&lt;0),"Warning: more than earned so far - worker now owes "&amp;ROUND(-$L463,0),"")))))))))</f>
        <v/>
      </c>
    </row>
    <row r="464" customFormat="false" ht="15" hidden="false" customHeight="false" outlineLevel="0" collapsed="false">
      <c r="A464" s="24" t="str">
        <f aca="false">IF($B464="","",ROW()-5)</f>
        <v/>
      </c>
      <c r="B464" s="25"/>
      <c r="C464" s="20"/>
      <c r="D464" s="26"/>
      <c r="E464" s="27"/>
      <c r="F464" s="20"/>
      <c r="G464" s="20"/>
      <c r="H464" s="26"/>
      <c r="I464" s="24" t="str">
        <f aca="false">IF($C464="","",IFERROR(INDEX(WorkerIDs,MATCH($C464,WorkerNames,0)),"?"))</f>
        <v/>
      </c>
      <c r="J464" s="18" t="str">
        <f aca="false">IF($B464="","",$B464-WEEKDAY($B464,2)+1)</f>
        <v/>
      </c>
      <c r="K464" s="28" t="str">
        <f aca="false">IF(OR($I464="",$I464="?",$D464&lt;&gt;"Advance",$B464=""),"",$I464&amp;"|"&amp;$J464&amp;"|"&amp;COUNTIFS($I$6:$I464,$I464,$J$6:$J464,$J464,$D$6:$D464,"Advance"))</f>
        <v/>
      </c>
      <c r="L464" s="29" t="str">
        <f aca="false">IF(OR($I464="",$I464="?",$B464=""),"",SUMPRODUCT((Weeks!$A$6:$A$58&lt;=$J464)*(Weeks!$Z$4:$AK$4=$I464)*Weeks!$Z$6:$AK$58)-SUMIFS($E$6:$E$1005,$I$6:$I$1005,$I464,$B$6:$B$1005,"&lt;="&amp;$B464))</f>
        <v/>
      </c>
      <c r="M464" s="19" t="str">
        <f aca="false">IF($B464&amp;$C464&amp;$D464&amp;$E464="","",IF($B464="","missing date",IF($C464="","missing worker",IF($I464="?","unknown worker - was the name changed on Workers?",IF($D464="","missing type",IF(N($E464)=0,"missing amount",IF(AND($E464&lt;0,$D464&lt;&gt;"Correction"),"negative amount - use a Correction to undo",IF(OR($B464&lt;Weeks!$A$6,$B464&gt;Weeks!$B$58),"date outside this workbook's year",IF(AND($D464="Advance",N($L464)&lt;0),"Warning: more than earned so far - worker now owes "&amp;ROUND(-$L464,0),"")))))))))</f>
        <v/>
      </c>
    </row>
    <row r="465" customFormat="false" ht="15" hidden="false" customHeight="false" outlineLevel="0" collapsed="false">
      <c r="A465" s="24" t="str">
        <f aca="false">IF($B465="","",ROW()-5)</f>
        <v/>
      </c>
      <c r="B465" s="25"/>
      <c r="C465" s="20"/>
      <c r="D465" s="26"/>
      <c r="E465" s="27"/>
      <c r="F465" s="20"/>
      <c r="G465" s="20"/>
      <c r="H465" s="26"/>
      <c r="I465" s="24" t="str">
        <f aca="false">IF($C465="","",IFERROR(INDEX(WorkerIDs,MATCH($C465,WorkerNames,0)),"?"))</f>
        <v/>
      </c>
      <c r="J465" s="18" t="str">
        <f aca="false">IF($B465="","",$B465-WEEKDAY($B465,2)+1)</f>
        <v/>
      </c>
      <c r="K465" s="28" t="str">
        <f aca="false">IF(OR($I465="",$I465="?",$D465&lt;&gt;"Advance",$B465=""),"",$I465&amp;"|"&amp;$J465&amp;"|"&amp;COUNTIFS($I$6:$I465,$I465,$J$6:$J465,$J465,$D$6:$D465,"Advance"))</f>
        <v/>
      </c>
      <c r="L465" s="29" t="str">
        <f aca="false">IF(OR($I465="",$I465="?",$B465=""),"",SUMPRODUCT((Weeks!$A$6:$A$58&lt;=$J465)*(Weeks!$Z$4:$AK$4=$I465)*Weeks!$Z$6:$AK$58)-SUMIFS($E$6:$E$1005,$I$6:$I$1005,$I465,$B$6:$B$1005,"&lt;="&amp;$B465))</f>
        <v/>
      </c>
      <c r="M465" s="19" t="str">
        <f aca="false">IF($B465&amp;$C465&amp;$D465&amp;$E465="","",IF($B465="","missing date",IF($C465="","missing worker",IF($I465="?","unknown worker - was the name changed on Workers?",IF($D465="","missing type",IF(N($E465)=0,"missing amount",IF(AND($E465&lt;0,$D465&lt;&gt;"Correction"),"negative amount - use a Correction to undo",IF(OR($B465&lt;Weeks!$A$6,$B465&gt;Weeks!$B$58),"date outside this workbook's year",IF(AND($D465="Advance",N($L465)&lt;0),"Warning: more than earned so far - worker now owes "&amp;ROUND(-$L465,0),"")))))))))</f>
        <v/>
      </c>
    </row>
    <row r="466" customFormat="false" ht="15" hidden="false" customHeight="false" outlineLevel="0" collapsed="false">
      <c r="A466" s="24" t="str">
        <f aca="false">IF($B466="","",ROW()-5)</f>
        <v/>
      </c>
      <c r="B466" s="25"/>
      <c r="C466" s="20"/>
      <c r="D466" s="26"/>
      <c r="E466" s="27"/>
      <c r="F466" s="20"/>
      <c r="G466" s="20"/>
      <c r="H466" s="26"/>
      <c r="I466" s="24" t="str">
        <f aca="false">IF($C466="","",IFERROR(INDEX(WorkerIDs,MATCH($C466,WorkerNames,0)),"?"))</f>
        <v/>
      </c>
      <c r="J466" s="18" t="str">
        <f aca="false">IF($B466="","",$B466-WEEKDAY($B466,2)+1)</f>
        <v/>
      </c>
      <c r="K466" s="28" t="str">
        <f aca="false">IF(OR($I466="",$I466="?",$D466&lt;&gt;"Advance",$B466=""),"",$I466&amp;"|"&amp;$J466&amp;"|"&amp;COUNTIFS($I$6:$I466,$I466,$J$6:$J466,$J466,$D$6:$D466,"Advance"))</f>
        <v/>
      </c>
      <c r="L466" s="29" t="str">
        <f aca="false">IF(OR($I466="",$I466="?",$B466=""),"",SUMPRODUCT((Weeks!$A$6:$A$58&lt;=$J466)*(Weeks!$Z$4:$AK$4=$I466)*Weeks!$Z$6:$AK$58)-SUMIFS($E$6:$E$1005,$I$6:$I$1005,$I466,$B$6:$B$1005,"&lt;="&amp;$B466))</f>
        <v/>
      </c>
      <c r="M466" s="19" t="str">
        <f aca="false">IF($B466&amp;$C466&amp;$D466&amp;$E466="","",IF($B466="","missing date",IF($C466="","missing worker",IF($I466="?","unknown worker - was the name changed on Workers?",IF($D466="","missing type",IF(N($E466)=0,"missing amount",IF(AND($E466&lt;0,$D466&lt;&gt;"Correction"),"negative amount - use a Correction to undo",IF(OR($B466&lt;Weeks!$A$6,$B466&gt;Weeks!$B$58),"date outside this workbook's year",IF(AND($D466="Advance",N($L466)&lt;0),"Warning: more than earned so far - worker now owes "&amp;ROUND(-$L466,0),"")))))))))</f>
        <v/>
      </c>
    </row>
    <row r="467" customFormat="false" ht="15" hidden="false" customHeight="false" outlineLevel="0" collapsed="false">
      <c r="A467" s="24" t="str">
        <f aca="false">IF($B467="","",ROW()-5)</f>
        <v/>
      </c>
      <c r="B467" s="25"/>
      <c r="C467" s="20"/>
      <c r="D467" s="26"/>
      <c r="E467" s="27"/>
      <c r="F467" s="20"/>
      <c r="G467" s="20"/>
      <c r="H467" s="26"/>
      <c r="I467" s="24" t="str">
        <f aca="false">IF($C467="","",IFERROR(INDEX(WorkerIDs,MATCH($C467,WorkerNames,0)),"?"))</f>
        <v/>
      </c>
      <c r="J467" s="18" t="str">
        <f aca="false">IF($B467="","",$B467-WEEKDAY($B467,2)+1)</f>
        <v/>
      </c>
      <c r="K467" s="28" t="str">
        <f aca="false">IF(OR($I467="",$I467="?",$D467&lt;&gt;"Advance",$B467=""),"",$I467&amp;"|"&amp;$J467&amp;"|"&amp;COUNTIFS($I$6:$I467,$I467,$J$6:$J467,$J467,$D$6:$D467,"Advance"))</f>
        <v/>
      </c>
      <c r="L467" s="29" t="str">
        <f aca="false">IF(OR($I467="",$I467="?",$B467=""),"",SUMPRODUCT((Weeks!$A$6:$A$58&lt;=$J467)*(Weeks!$Z$4:$AK$4=$I467)*Weeks!$Z$6:$AK$58)-SUMIFS($E$6:$E$1005,$I$6:$I$1005,$I467,$B$6:$B$1005,"&lt;="&amp;$B467))</f>
        <v/>
      </c>
      <c r="M467" s="19" t="str">
        <f aca="false">IF($B467&amp;$C467&amp;$D467&amp;$E467="","",IF($B467="","missing date",IF($C467="","missing worker",IF($I467="?","unknown worker - was the name changed on Workers?",IF($D467="","missing type",IF(N($E467)=0,"missing amount",IF(AND($E467&lt;0,$D467&lt;&gt;"Correction"),"negative amount - use a Correction to undo",IF(OR($B467&lt;Weeks!$A$6,$B467&gt;Weeks!$B$58),"date outside this workbook's year",IF(AND($D467="Advance",N($L467)&lt;0),"Warning: more than earned so far - worker now owes "&amp;ROUND(-$L467,0),"")))))))))</f>
        <v/>
      </c>
    </row>
    <row r="468" customFormat="false" ht="15" hidden="false" customHeight="false" outlineLevel="0" collapsed="false">
      <c r="A468" s="24" t="str">
        <f aca="false">IF($B468="","",ROW()-5)</f>
        <v/>
      </c>
      <c r="B468" s="25"/>
      <c r="C468" s="20"/>
      <c r="D468" s="26"/>
      <c r="E468" s="27"/>
      <c r="F468" s="20"/>
      <c r="G468" s="20"/>
      <c r="H468" s="26"/>
      <c r="I468" s="24" t="str">
        <f aca="false">IF($C468="","",IFERROR(INDEX(WorkerIDs,MATCH($C468,WorkerNames,0)),"?"))</f>
        <v/>
      </c>
      <c r="J468" s="18" t="str">
        <f aca="false">IF($B468="","",$B468-WEEKDAY($B468,2)+1)</f>
        <v/>
      </c>
      <c r="K468" s="28" t="str">
        <f aca="false">IF(OR($I468="",$I468="?",$D468&lt;&gt;"Advance",$B468=""),"",$I468&amp;"|"&amp;$J468&amp;"|"&amp;COUNTIFS($I$6:$I468,$I468,$J$6:$J468,$J468,$D$6:$D468,"Advance"))</f>
        <v/>
      </c>
      <c r="L468" s="29" t="str">
        <f aca="false">IF(OR($I468="",$I468="?",$B468=""),"",SUMPRODUCT((Weeks!$A$6:$A$58&lt;=$J468)*(Weeks!$Z$4:$AK$4=$I468)*Weeks!$Z$6:$AK$58)-SUMIFS($E$6:$E$1005,$I$6:$I$1005,$I468,$B$6:$B$1005,"&lt;="&amp;$B468))</f>
        <v/>
      </c>
      <c r="M468" s="19" t="str">
        <f aca="false">IF($B468&amp;$C468&amp;$D468&amp;$E468="","",IF($B468="","missing date",IF($C468="","missing worker",IF($I468="?","unknown worker - was the name changed on Workers?",IF($D468="","missing type",IF(N($E468)=0,"missing amount",IF(AND($E468&lt;0,$D468&lt;&gt;"Correction"),"negative amount - use a Correction to undo",IF(OR($B468&lt;Weeks!$A$6,$B468&gt;Weeks!$B$58),"date outside this workbook's year",IF(AND($D468="Advance",N($L468)&lt;0),"Warning: more than earned so far - worker now owes "&amp;ROUND(-$L468,0),"")))))))))</f>
        <v/>
      </c>
    </row>
    <row r="469" customFormat="false" ht="15" hidden="false" customHeight="false" outlineLevel="0" collapsed="false">
      <c r="A469" s="24" t="str">
        <f aca="false">IF($B469="","",ROW()-5)</f>
        <v/>
      </c>
      <c r="B469" s="25"/>
      <c r="C469" s="20"/>
      <c r="D469" s="26"/>
      <c r="E469" s="27"/>
      <c r="F469" s="20"/>
      <c r="G469" s="20"/>
      <c r="H469" s="26"/>
      <c r="I469" s="24" t="str">
        <f aca="false">IF($C469="","",IFERROR(INDEX(WorkerIDs,MATCH($C469,WorkerNames,0)),"?"))</f>
        <v/>
      </c>
      <c r="J469" s="18" t="str">
        <f aca="false">IF($B469="","",$B469-WEEKDAY($B469,2)+1)</f>
        <v/>
      </c>
      <c r="K469" s="28" t="str">
        <f aca="false">IF(OR($I469="",$I469="?",$D469&lt;&gt;"Advance",$B469=""),"",$I469&amp;"|"&amp;$J469&amp;"|"&amp;COUNTIFS($I$6:$I469,$I469,$J$6:$J469,$J469,$D$6:$D469,"Advance"))</f>
        <v/>
      </c>
      <c r="L469" s="29" t="str">
        <f aca="false">IF(OR($I469="",$I469="?",$B469=""),"",SUMPRODUCT((Weeks!$A$6:$A$58&lt;=$J469)*(Weeks!$Z$4:$AK$4=$I469)*Weeks!$Z$6:$AK$58)-SUMIFS($E$6:$E$1005,$I$6:$I$1005,$I469,$B$6:$B$1005,"&lt;="&amp;$B469))</f>
        <v/>
      </c>
      <c r="M469" s="19" t="str">
        <f aca="false">IF($B469&amp;$C469&amp;$D469&amp;$E469="","",IF($B469="","missing date",IF($C469="","missing worker",IF($I469="?","unknown worker - was the name changed on Workers?",IF($D469="","missing type",IF(N($E469)=0,"missing amount",IF(AND($E469&lt;0,$D469&lt;&gt;"Correction"),"negative amount - use a Correction to undo",IF(OR($B469&lt;Weeks!$A$6,$B469&gt;Weeks!$B$58),"date outside this workbook's year",IF(AND($D469="Advance",N($L469)&lt;0),"Warning: more than earned so far - worker now owes "&amp;ROUND(-$L469,0),"")))))))))</f>
        <v/>
      </c>
    </row>
    <row r="470" customFormat="false" ht="15" hidden="false" customHeight="false" outlineLevel="0" collapsed="false">
      <c r="A470" s="24" t="str">
        <f aca="false">IF($B470="","",ROW()-5)</f>
        <v/>
      </c>
      <c r="B470" s="25"/>
      <c r="C470" s="20"/>
      <c r="D470" s="26"/>
      <c r="E470" s="27"/>
      <c r="F470" s="20"/>
      <c r="G470" s="20"/>
      <c r="H470" s="26"/>
      <c r="I470" s="24" t="str">
        <f aca="false">IF($C470="","",IFERROR(INDEX(WorkerIDs,MATCH($C470,WorkerNames,0)),"?"))</f>
        <v/>
      </c>
      <c r="J470" s="18" t="str">
        <f aca="false">IF($B470="","",$B470-WEEKDAY($B470,2)+1)</f>
        <v/>
      </c>
      <c r="K470" s="28" t="str">
        <f aca="false">IF(OR($I470="",$I470="?",$D470&lt;&gt;"Advance",$B470=""),"",$I470&amp;"|"&amp;$J470&amp;"|"&amp;COUNTIFS($I$6:$I470,$I470,$J$6:$J470,$J470,$D$6:$D470,"Advance"))</f>
        <v/>
      </c>
      <c r="L470" s="29" t="str">
        <f aca="false">IF(OR($I470="",$I470="?",$B470=""),"",SUMPRODUCT((Weeks!$A$6:$A$58&lt;=$J470)*(Weeks!$Z$4:$AK$4=$I470)*Weeks!$Z$6:$AK$58)-SUMIFS($E$6:$E$1005,$I$6:$I$1005,$I470,$B$6:$B$1005,"&lt;="&amp;$B470))</f>
        <v/>
      </c>
      <c r="M470" s="19" t="str">
        <f aca="false">IF($B470&amp;$C470&amp;$D470&amp;$E470="","",IF($B470="","missing date",IF($C470="","missing worker",IF($I470="?","unknown worker - was the name changed on Workers?",IF($D470="","missing type",IF(N($E470)=0,"missing amount",IF(AND($E470&lt;0,$D470&lt;&gt;"Correction"),"negative amount - use a Correction to undo",IF(OR($B470&lt;Weeks!$A$6,$B470&gt;Weeks!$B$58),"date outside this workbook's year",IF(AND($D470="Advance",N($L470)&lt;0),"Warning: more than earned so far - worker now owes "&amp;ROUND(-$L470,0),"")))))))))</f>
        <v/>
      </c>
    </row>
    <row r="471" customFormat="false" ht="15" hidden="false" customHeight="false" outlineLevel="0" collapsed="false">
      <c r="A471" s="24" t="str">
        <f aca="false">IF($B471="","",ROW()-5)</f>
        <v/>
      </c>
      <c r="B471" s="25"/>
      <c r="C471" s="20"/>
      <c r="D471" s="26"/>
      <c r="E471" s="27"/>
      <c r="F471" s="20"/>
      <c r="G471" s="20"/>
      <c r="H471" s="26"/>
      <c r="I471" s="24" t="str">
        <f aca="false">IF($C471="","",IFERROR(INDEX(WorkerIDs,MATCH($C471,WorkerNames,0)),"?"))</f>
        <v/>
      </c>
      <c r="J471" s="18" t="str">
        <f aca="false">IF($B471="","",$B471-WEEKDAY($B471,2)+1)</f>
        <v/>
      </c>
      <c r="K471" s="28" t="str">
        <f aca="false">IF(OR($I471="",$I471="?",$D471&lt;&gt;"Advance",$B471=""),"",$I471&amp;"|"&amp;$J471&amp;"|"&amp;COUNTIFS($I$6:$I471,$I471,$J$6:$J471,$J471,$D$6:$D471,"Advance"))</f>
        <v/>
      </c>
      <c r="L471" s="29" t="str">
        <f aca="false">IF(OR($I471="",$I471="?",$B471=""),"",SUMPRODUCT((Weeks!$A$6:$A$58&lt;=$J471)*(Weeks!$Z$4:$AK$4=$I471)*Weeks!$Z$6:$AK$58)-SUMIFS($E$6:$E$1005,$I$6:$I$1005,$I471,$B$6:$B$1005,"&lt;="&amp;$B471))</f>
        <v/>
      </c>
      <c r="M471" s="19" t="str">
        <f aca="false">IF($B471&amp;$C471&amp;$D471&amp;$E471="","",IF($B471="","missing date",IF($C471="","missing worker",IF($I471="?","unknown worker - was the name changed on Workers?",IF($D471="","missing type",IF(N($E471)=0,"missing amount",IF(AND($E471&lt;0,$D471&lt;&gt;"Correction"),"negative amount - use a Correction to undo",IF(OR($B471&lt;Weeks!$A$6,$B471&gt;Weeks!$B$58),"date outside this workbook's year",IF(AND($D471="Advance",N($L471)&lt;0),"Warning: more than earned so far - worker now owes "&amp;ROUND(-$L471,0),"")))))))))</f>
        <v/>
      </c>
    </row>
    <row r="472" customFormat="false" ht="15" hidden="false" customHeight="false" outlineLevel="0" collapsed="false">
      <c r="A472" s="24" t="str">
        <f aca="false">IF($B472="","",ROW()-5)</f>
        <v/>
      </c>
      <c r="B472" s="25"/>
      <c r="C472" s="20"/>
      <c r="D472" s="26"/>
      <c r="E472" s="27"/>
      <c r="F472" s="20"/>
      <c r="G472" s="20"/>
      <c r="H472" s="26"/>
      <c r="I472" s="24" t="str">
        <f aca="false">IF($C472="","",IFERROR(INDEX(WorkerIDs,MATCH($C472,WorkerNames,0)),"?"))</f>
        <v/>
      </c>
      <c r="J472" s="18" t="str">
        <f aca="false">IF($B472="","",$B472-WEEKDAY($B472,2)+1)</f>
        <v/>
      </c>
      <c r="K472" s="28" t="str">
        <f aca="false">IF(OR($I472="",$I472="?",$D472&lt;&gt;"Advance",$B472=""),"",$I472&amp;"|"&amp;$J472&amp;"|"&amp;COUNTIFS($I$6:$I472,$I472,$J$6:$J472,$J472,$D$6:$D472,"Advance"))</f>
        <v/>
      </c>
      <c r="L472" s="29" t="str">
        <f aca="false">IF(OR($I472="",$I472="?",$B472=""),"",SUMPRODUCT((Weeks!$A$6:$A$58&lt;=$J472)*(Weeks!$Z$4:$AK$4=$I472)*Weeks!$Z$6:$AK$58)-SUMIFS($E$6:$E$1005,$I$6:$I$1005,$I472,$B$6:$B$1005,"&lt;="&amp;$B472))</f>
        <v/>
      </c>
      <c r="M472" s="19" t="str">
        <f aca="false">IF($B472&amp;$C472&amp;$D472&amp;$E472="","",IF($B472="","missing date",IF($C472="","missing worker",IF($I472="?","unknown worker - was the name changed on Workers?",IF($D472="","missing type",IF(N($E472)=0,"missing amount",IF(AND($E472&lt;0,$D472&lt;&gt;"Correction"),"negative amount - use a Correction to undo",IF(OR($B472&lt;Weeks!$A$6,$B472&gt;Weeks!$B$58),"date outside this workbook's year",IF(AND($D472="Advance",N($L472)&lt;0),"Warning: more than earned so far - worker now owes "&amp;ROUND(-$L472,0),"")))))))))</f>
        <v/>
      </c>
    </row>
    <row r="473" customFormat="false" ht="15" hidden="false" customHeight="false" outlineLevel="0" collapsed="false">
      <c r="A473" s="24" t="str">
        <f aca="false">IF($B473="","",ROW()-5)</f>
        <v/>
      </c>
      <c r="B473" s="25"/>
      <c r="C473" s="20"/>
      <c r="D473" s="26"/>
      <c r="E473" s="27"/>
      <c r="F473" s="20"/>
      <c r="G473" s="20"/>
      <c r="H473" s="26"/>
      <c r="I473" s="24" t="str">
        <f aca="false">IF($C473="","",IFERROR(INDEX(WorkerIDs,MATCH($C473,WorkerNames,0)),"?"))</f>
        <v/>
      </c>
      <c r="J473" s="18" t="str">
        <f aca="false">IF($B473="","",$B473-WEEKDAY($B473,2)+1)</f>
        <v/>
      </c>
      <c r="K473" s="28" t="str">
        <f aca="false">IF(OR($I473="",$I473="?",$D473&lt;&gt;"Advance",$B473=""),"",$I473&amp;"|"&amp;$J473&amp;"|"&amp;COUNTIFS($I$6:$I473,$I473,$J$6:$J473,$J473,$D$6:$D473,"Advance"))</f>
        <v/>
      </c>
      <c r="L473" s="29" t="str">
        <f aca="false">IF(OR($I473="",$I473="?",$B473=""),"",SUMPRODUCT((Weeks!$A$6:$A$58&lt;=$J473)*(Weeks!$Z$4:$AK$4=$I473)*Weeks!$Z$6:$AK$58)-SUMIFS($E$6:$E$1005,$I$6:$I$1005,$I473,$B$6:$B$1005,"&lt;="&amp;$B473))</f>
        <v/>
      </c>
      <c r="M473" s="19" t="str">
        <f aca="false">IF($B473&amp;$C473&amp;$D473&amp;$E473="","",IF($B473="","missing date",IF($C473="","missing worker",IF($I473="?","unknown worker - was the name changed on Workers?",IF($D473="","missing type",IF(N($E473)=0,"missing amount",IF(AND($E473&lt;0,$D473&lt;&gt;"Correction"),"negative amount - use a Correction to undo",IF(OR($B473&lt;Weeks!$A$6,$B473&gt;Weeks!$B$58),"date outside this workbook's year",IF(AND($D473="Advance",N($L473)&lt;0),"Warning: more than earned so far - worker now owes "&amp;ROUND(-$L473,0),"")))))))))</f>
        <v/>
      </c>
    </row>
    <row r="474" customFormat="false" ht="15" hidden="false" customHeight="false" outlineLevel="0" collapsed="false">
      <c r="A474" s="24" t="str">
        <f aca="false">IF($B474="","",ROW()-5)</f>
        <v/>
      </c>
      <c r="B474" s="25"/>
      <c r="C474" s="20"/>
      <c r="D474" s="26"/>
      <c r="E474" s="27"/>
      <c r="F474" s="20"/>
      <c r="G474" s="20"/>
      <c r="H474" s="26"/>
      <c r="I474" s="24" t="str">
        <f aca="false">IF($C474="","",IFERROR(INDEX(WorkerIDs,MATCH($C474,WorkerNames,0)),"?"))</f>
        <v/>
      </c>
      <c r="J474" s="18" t="str">
        <f aca="false">IF($B474="","",$B474-WEEKDAY($B474,2)+1)</f>
        <v/>
      </c>
      <c r="K474" s="28" t="str">
        <f aca="false">IF(OR($I474="",$I474="?",$D474&lt;&gt;"Advance",$B474=""),"",$I474&amp;"|"&amp;$J474&amp;"|"&amp;COUNTIFS($I$6:$I474,$I474,$J$6:$J474,$J474,$D$6:$D474,"Advance"))</f>
        <v/>
      </c>
      <c r="L474" s="29" t="str">
        <f aca="false">IF(OR($I474="",$I474="?",$B474=""),"",SUMPRODUCT((Weeks!$A$6:$A$58&lt;=$J474)*(Weeks!$Z$4:$AK$4=$I474)*Weeks!$Z$6:$AK$58)-SUMIFS($E$6:$E$1005,$I$6:$I$1005,$I474,$B$6:$B$1005,"&lt;="&amp;$B474))</f>
        <v/>
      </c>
      <c r="M474" s="19" t="str">
        <f aca="false">IF($B474&amp;$C474&amp;$D474&amp;$E474="","",IF($B474="","missing date",IF($C474="","missing worker",IF($I474="?","unknown worker - was the name changed on Workers?",IF($D474="","missing type",IF(N($E474)=0,"missing amount",IF(AND($E474&lt;0,$D474&lt;&gt;"Correction"),"negative amount - use a Correction to undo",IF(OR($B474&lt;Weeks!$A$6,$B474&gt;Weeks!$B$58),"date outside this workbook's year",IF(AND($D474="Advance",N($L474)&lt;0),"Warning: more than earned so far - worker now owes "&amp;ROUND(-$L474,0),"")))))))))</f>
        <v/>
      </c>
    </row>
    <row r="475" customFormat="false" ht="15" hidden="false" customHeight="false" outlineLevel="0" collapsed="false">
      <c r="A475" s="24" t="str">
        <f aca="false">IF($B475="","",ROW()-5)</f>
        <v/>
      </c>
      <c r="B475" s="25"/>
      <c r="C475" s="20"/>
      <c r="D475" s="26"/>
      <c r="E475" s="27"/>
      <c r="F475" s="20"/>
      <c r="G475" s="20"/>
      <c r="H475" s="26"/>
      <c r="I475" s="24" t="str">
        <f aca="false">IF($C475="","",IFERROR(INDEX(WorkerIDs,MATCH($C475,WorkerNames,0)),"?"))</f>
        <v/>
      </c>
      <c r="J475" s="18" t="str">
        <f aca="false">IF($B475="","",$B475-WEEKDAY($B475,2)+1)</f>
        <v/>
      </c>
      <c r="K475" s="28" t="str">
        <f aca="false">IF(OR($I475="",$I475="?",$D475&lt;&gt;"Advance",$B475=""),"",$I475&amp;"|"&amp;$J475&amp;"|"&amp;COUNTIFS($I$6:$I475,$I475,$J$6:$J475,$J475,$D$6:$D475,"Advance"))</f>
        <v/>
      </c>
      <c r="L475" s="29" t="str">
        <f aca="false">IF(OR($I475="",$I475="?",$B475=""),"",SUMPRODUCT((Weeks!$A$6:$A$58&lt;=$J475)*(Weeks!$Z$4:$AK$4=$I475)*Weeks!$Z$6:$AK$58)-SUMIFS($E$6:$E$1005,$I$6:$I$1005,$I475,$B$6:$B$1005,"&lt;="&amp;$B475))</f>
        <v/>
      </c>
      <c r="M475" s="19" t="str">
        <f aca="false">IF($B475&amp;$C475&amp;$D475&amp;$E475="","",IF($B475="","missing date",IF($C475="","missing worker",IF($I475="?","unknown worker - was the name changed on Workers?",IF($D475="","missing type",IF(N($E475)=0,"missing amount",IF(AND($E475&lt;0,$D475&lt;&gt;"Correction"),"negative amount - use a Correction to undo",IF(OR($B475&lt;Weeks!$A$6,$B475&gt;Weeks!$B$58),"date outside this workbook's year",IF(AND($D475="Advance",N($L475)&lt;0),"Warning: more than earned so far - worker now owes "&amp;ROUND(-$L475,0),"")))))))))</f>
        <v/>
      </c>
    </row>
    <row r="476" customFormat="false" ht="15" hidden="false" customHeight="false" outlineLevel="0" collapsed="false">
      <c r="A476" s="24" t="str">
        <f aca="false">IF($B476="","",ROW()-5)</f>
        <v/>
      </c>
      <c r="B476" s="25"/>
      <c r="C476" s="20"/>
      <c r="D476" s="26"/>
      <c r="E476" s="27"/>
      <c r="F476" s="20"/>
      <c r="G476" s="20"/>
      <c r="H476" s="26"/>
      <c r="I476" s="24" t="str">
        <f aca="false">IF($C476="","",IFERROR(INDEX(WorkerIDs,MATCH($C476,WorkerNames,0)),"?"))</f>
        <v/>
      </c>
      <c r="J476" s="18" t="str">
        <f aca="false">IF($B476="","",$B476-WEEKDAY($B476,2)+1)</f>
        <v/>
      </c>
      <c r="K476" s="28" t="str">
        <f aca="false">IF(OR($I476="",$I476="?",$D476&lt;&gt;"Advance",$B476=""),"",$I476&amp;"|"&amp;$J476&amp;"|"&amp;COUNTIFS($I$6:$I476,$I476,$J$6:$J476,$J476,$D$6:$D476,"Advance"))</f>
        <v/>
      </c>
      <c r="L476" s="29" t="str">
        <f aca="false">IF(OR($I476="",$I476="?",$B476=""),"",SUMPRODUCT((Weeks!$A$6:$A$58&lt;=$J476)*(Weeks!$Z$4:$AK$4=$I476)*Weeks!$Z$6:$AK$58)-SUMIFS($E$6:$E$1005,$I$6:$I$1005,$I476,$B$6:$B$1005,"&lt;="&amp;$B476))</f>
        <v/>
      </c>
      <c r="M476" s="19" t="str">
        <f aca="false">IF($B476&amp;$C476&amp;$D476&amp;$E476="","",IF($B476="","missing date",IF($C476="","missing worker",IF($I476="?","unknown worker - was the name changed on Workers?",IF($D476="","missing type",IF(N($E476)=0,"missing amount",IF(AND($E476&lt;0,$D476&lt;&gt;"Correction"),"negative amount - use a Correction to undo",IF(OR($B476&lt;Weeks!$A$6,$B476&gt;Weeks!$B$58),"date outside this workbook's year",IF(AND($D476="Advance",N($L476)&lt;0),"Warning: more than earned so far - worker now owes "&amp;ROUND(-$L476,0),"")))))))))</f>
        <v/>
      </c>
    </row>
    <row r="477" customFormat="false" ht="15" hidden="false" customHeight="false" outlineLevel="0" collapsed="false">
      <c r="A477" s="24" t="str">
        <f aca="false">IF($B477="","",ROW()-5)</f>
        <v/>
      </c>
      <c r="B477" s="25"/>
      <c r="C477" s="20"/>
      <c r="D477" s="26"/>
      <c r="E477" s="27"/>
      <c r="F477" s="20"/>
      <c r="G477" s="20"/>
      <c r="H477" s="26"/>
      <c r="I477" s="24" t="str">
        <f aca="false">IF($C477="","",IFERROR(INDEX(WorkerIDs,MATCH($C477,WorkerNames,0)),"?"))</f>
        <v/>
      </c>
      <c r="J477" s="18" t="str">
        <f aca="false">IF($B477="","",$B477-WEEKDAY($B477,2)+1)</f>
        <v/>
      </c>
      <c r="K477" s="28" t="str">
        <f aca="false">IF(OR($I477="",$I477="?",$D477&lt;&gt;"Advance",$B477=""),"",$I477&amp;"|"&amp;$J477&amp;"|"&amp;COUNTIFS($I$6:$I477,$I477,$J$6:$J477,$J477,$D$6:$D477,"Advance"))</f>
        <v/>
      </c>
      <c r="L477" s="29" t="str">
        <f aca="false">IF(OR($I477="",$I477="?",$B477=""),"",SUMPRODUCT((Weeks!$A$6:$A$58&lt;=$J477)*(Weeks!$Z$4:$AK$4=$I477)*Weeks!$Z$6:$AK$58)-SUMIFS($E$6:$E$1005,$I$6:$I$1005,$I477,$B$6:$B$1005,"&lt;="&amp;$B477))</f>
        <v/>
      </c>
      <c r="M477" s="19" t="str">
        <f aca="false">IF($B477&amp;$C477&amp;$D477&amp;$E477="","",IF($B477="","missing date",IF($C477="","missing worker",IF($I477="?","unknown worker - was the name changed on Workers?",IF($D477="","missing type",IF(N($E477)=0,"missing amount",IF(AND($E477&lt;0,$D477&lt;&gt;"Correction"),"negative amount - use a Correction to undo",IF(OR($B477&lt;Weeks!$A$6,$B477&gt;Weeks!$B$58),"date outside this workbook's year",IF(AND($D477="Advance",N($L477)&lt;0),"Warning: more than earned so far - worker now owes "&amp;ROUND(-$L477,0),"")))))))))</f>
        <v/>
      </c>
    </row>
    <row r="478" customFormat="false" ht="15" hidden="false" customHeight="false" outlineLevel="0" collapsed="false">
      <c r="A478" s="24" t="str">
        <f aca="false">IF($B478="","",ROW()-5)</f>
        <v/>
      </c>
      <c r="B478" s="25"/>
      <c r="C478" s="20"/>
      <c r="D478" s="26"/>
      <c r="E478" s="27"/>
      <c r="F478" s="20"/>
      <c r="G478" s="20"/>
      <c r="H478" s="26"/>
      <c r="I478" s="24" t="str">
        <f aca="false">IF($C478="","",IFERROR(INDEX(WorkerIDs,MATCH($C478,WorkerNames,0)),"?"))</f>
        <v/>
      </c>
      <c r="J478" s="18" t="str">
        <f aca="false">IF($B478="","",$B478-WEEKDAY($B478,2)+1)</f>
        <v/>
      </c>
      <c r="K478" s="28" t="str">
        <f aca="false">IF(OR($I478="",$I478="?",$D478&lt;&gt;"Advance",$B478=""),"",$I478&amp;"|"&amp;$J478&amp;"|"&amp;COUNTIFS($I$6:$I478,$I478,$J$6:$J478,$J478,$D$6:$D478,"Advance"))</f>
        <v/>
      </c>
      <c r="L478" s="29" t="str">
        <f aca="false">IF(OR($I478="",$I478="?",$B478=""),"",SUMPRODUCT((Weeks!$A$6:$A$58&lt;=$J478)*(Weeks!$Z$4:$AK$4=$I478)*Weeks!$Z$6:$AK$58)-SUMIFS($E$6:$E$1005,$I$6:$I$1005,$I478,$B$6:$B$1005,"&lt;="&amp;$B478))</f>
        <v/>
      </c>
      <c r="M478" s="19" t="str">
        <f aca="false">IF($B478&amp;$C478&amp;$D478&amp;$E478="","",IF($B478="","missing date",IF($C478="","missing worker",IF($I478="?","unknown worker - was the name changed on Workers?",IF($D478="","missing type",IF(N($E478)=0,"missing amount",IF(AND($E478&lt;0,$D478&lt;&gt;"Correction"),"negative amount - use a Correction to undo",IF(OR($B478&lt;Weeks!$A$6,$B478&gt;Weeks!$B$58),"date outside this workbook's year",IF(AND($D478="Advance",N($L478)&lt;0),"Warning: more than earned so far - worker now owes "&amp;ROUND(-$L478,0),"")))))))))</f>
        <v/>
      </c>
    </row>
    <row r="479" customFormat="false" ht="15" hidden="false" customHeight="false" outlineLevel="0" collapsed="false">
      <c r="A479" s="24" t="str">
        <f aca="false">IF($B479="","",ROW()-5)</f>
        <v/>
      </c>
      <c r="B479" s="25"/>
      <c r="C479" s="20"/>
      <c r="D479" s="26"/>
      <c r="E479" s="27"/>
      <c r="F479" s="20"/>
      <c r="G479" s="20"/>
      <c r="H479" s="26"/>
      <c r="I479" s="24" t="str">
        <f aca="false">IF($C479="","",IFERROR(INDEX(WorkerIDs,MATCH($C479,WorkerNames,0)),"?"))</f>
        <v/>
      </c>
      <c r="J479" s="18" t="str">
        <f aca="false">IF($B479="","",$B479-WEEKDAY($B479,2)+1)</f>
        <v/>
      </c>
      <c r="K479" s="28" t="str">
        <f aca="false">IF(OR($I479="",$I479="?",$D479&lt;&gt;"Advance",$B479=""),"",$I479&amp;"|"&amp;$J479&amp;"|"&amp;COUNTIFS($I$6:$I479,$I479,$J$6:$J479,$J479,$D$6:$D479,"Advance"))</f>
        <v/>
      </c>
      <c r="L479" s="29" t="str">
        <f aca="false">IF(OR($I479="",$I479="?",$B479=""),"",SUMPRODUCT((Weeks!$A$6:$A$58&lt;=$J479)*(Weeks!$Z$4:$AK$4=$I479)*Weeks!$Z$6:$AK$58)-SUMIFS($E$6:$E$1005,$I$6:$I$1005,$I479,$B$6:$B$1005,"&lt;="&amp;$B479))</f>
        <v/>
      </c>
      <c r="M479" s="19" t="str">
        <f aca="false">IF($B479&amp;$C479&amp;$D479&amp;$E479="","",IF($B479="","missing date",IF($C479="","missing worker",IF($I479="?","unknown worker - was the name changed on Workers?",IF($D479="","missing type",IF(N($E479)=0,"missing amount",IF(AND($E479&lt;0,$D479&lt;&gt;"Correction"),"negative amount - use a Correction to undo",IF(OR($B479&lt;Weeks!$A$6,$B479&gt;Weeks!$B$58),"date outside this workbook's year",IF(AND($D479="Advance",N($L479)&lt;0),"Warning: more than earned so far - worker now owes "&amp;ROUND(-$L479,0),"")))))))))</f>
        <v/>
      </c>
    </row>
    <row r="480" customFormat="false" ht="15" hidden="false" customHeight="false" outlineLevel="0" collapsed="false">
      <c r="A480" s="24" t="str">
        <f aca="false">IF($B480="","",ROW()-5)</f>
        <v/>
      </c>
      <c r="B480" s="25"/>
      <c r="C480" s="20"/>
      <c r="D480" s="26"/>
      <c r="E480" s="27"/>
      <c r="F480" s="20"/>
      <c r="G480" s="20"/>
      <c r="H480" s="26"/>
      <c r="I480" s="24" t="str">
        <f aca="false">IF($C480="","",IFERROR(INDEX(WorkerIDs,MATCH($C480,WorkerNames,0)),"?"))</f>
        <v/>
      </c>
      <c r="J480" s="18" t="str">
        <f aca="false">IF($B480="","",$B480-WEEKDAY($B480,2)+1)</f>
        <v/>
      </c>
      <c r="K480" s="28" t="str">
        <f aca="false">IF(OR($I480="",$I480="?",$D480&lt;&gt;"Advance",$B480=""),"",$I480&amp;"|"&amp;$J480&amp;"|"&amp;COUNTIFS($I$6:$I480,$I480,$J$6:$J480,$J480,$D$6:$D480,"Advance"))</f>
        <v/>
      </c>
      <c r="L480" s="29" t="str">
        <f aca="false">IF(OR($I480="",$I480="?",$B480=""),"",SUMPRODUCT((Weeks!$A$6:$A$58&lt;=$J480)*(Weeks!$Z$4:$AK$4=$I480)*Weeks!$Z$6:$AK$58)-SUMIFS($E$6:$E$1005,$I$6:$I$1005,$I480,$B$6:$B$1005,"&lt;="&amp;$B480))</f>
        <v/>
      </c>
      <c r="M480" s="19" t="str">
        <f aca="false">IF($B480&amp;$C480&amp;$D480&amp;$E480="","",IF($B480="","missing date",IF($C480="","missing worker",IF($I480="?","unknown worker - was the name changed on Workers?",IF($D480="","missing type",IF(N($E480)=0,"missing amount",IF(AND($E480&lt;0,$D480&lt;&gt;"Correction"),"negative amount - use a Correction to undo",IF(OR($B480&lt;Weeks!$A$6,$B480&gt;Weeks!$B$58),"date outside this workbook's year",IF(AND($D480="Advance",N($L480)&lt;0),"Warning: more than earned so far - worker now owes "&amp;ROUND(-$L480,0),"")))))))))</f>
        <v/>
      </c>
    </row>
    <row r="481" customFormat="false" ht="15" hidden="false" customHeight="false" outlineLevel="0" collapsed="false">
      <c r="A481" s="24" t="str">
        <f aca="false">IF($B481="","",ROW()-5)</f>
        <v/>
      </c>
      <c r="B481" s="25"/>
      <c r="C481" s="20"/>
      <c r="D481" s="26"/>
      <c r="E481" s="27"/>
      <c r="F481" s="20"/>
      <c r="G481" s="20"/>
      <c r="H481" s="26"/>
      <c r="I481" s="24" t="str">
        <f aca="false">IF($C481="","",IFERROR(INDEX(WorkerIDs,MATCH($C481,WorkerNames,0)),"?"))</f>
        <v/>
      </c>
      <c r="J481" s="18" t="str">
        <f aca="false">IF($B481="","",$B481-WEEKDAY($B481,2)+1)</f>
        <v/>
      </c>
      <c r="K481" s="28" t="str">
        <f aca="false">IF(OR($I481="",$I481="?",$D481&lt;&gt;"Advance",$B481=""),"",$I481&amp;"|"&amp;$J481&amp;"|"&amp;COUNTIFS($I$6:$I481,$I481,$J$6:$J481,$J481,$D$6:$D481,"Advance"))</f>
        <v/>
      </c>
      <c r="L481" s="29" t="str">
        <f aca="false">IF(OR($I481="",$I481="?",$B481=""),"",SUMPRODUCT((Weeks!$A$6:$A$58&lt;=$J481)*(Weeks!$Z$4:$AK$4=$I481)*Weeks!$Z$6:$AK$58)-SUMIFS($E$6:$E$1005,$I$6:$I$1005,$I481,$B$6:$B$1005,"&lt;="&amp;$B481))</f>
        <v/>
      </c>
      <c r="M481" s="19" t="str">
        <f aca="false">IF($B481&amp;$C481&amp;$D481&amp;$E481="","",IF($B481="","missing date",IF($C481="","missing worker",IF($I481="?","unknown worker - was the name changed on Workers?",IF($D481="","missing type",IF(N($E481)=0,"missing amount",IF(AND($E481&lt;0,$D481&lt;&gt;"Correction"),"negative amount - use a Correction to undo",IF(OR($B481&lt;Weeks!$A$6,$B481&gt;Weeks!$B$58),"date outside this workbook's year",IF(AND($D481="Advance",N($L481)&lt;0),"Warning: more than earned so far - worker now owes "&amp;ROUND(-$L481,0),"")))))))))</f>
        <v/>
      </c>
    </row>
    <row r="482" customFormat="false" ht="15" hidden="false" customHeight="false" outlineLevel="0" collapsed="false">
      <c r="A482" s="24" t="str">
        <f aca="false">IF($B482="","",ROW()-5)</f>
        <v/>
      </c>
      <c r="B482" s="25"/>
      <c r="C482" s="20"/>
      <c r="D482" s="26"/>
      <c r="E482" s="27"/>
      <c r="F482" s="20"/>
      <c r="G482" s="20"/>
      <c r="H482" s="26"/>
      <c r="I482" s="24" t="str">
        <f aca="false">IF($C482="","",IFERROR(INDEX(WorkerIDs,MATCH($C482,WorkerNames,0)),"?"))</f>
        <v/>
      </c>
      <c r="J482" s="18" t="str">
        <f aca="false">IF($B482="","",$B482-WEEKDAY($B482,2)+1)</f>
        <v/>
      </c>
      <c r="K482" s="28" t="str">
        <f aca="false">IF(OR($I482="",$I482="?",$D482&lt;&gt;"Advance",$B482=""),"",$I482&amp;"|"&amp;$J482&amp;"|"&amp;COUNTIFS($I$6:$I482,$I482,$J$6:$J482,$J482,$D$6:$D482,"Advance"))</f>
        <v/>
      </c>
      <c r="L482" s="29" t="str">
        <f aca="false">IF(OR($I482="",$I482="?",$B482=""),"",SUMPRODUCT((Weeks!$A$6:$A$58&lt;=$J482)*(Weeks!$Z$4:$AK$4=$I482)*Weeks!$Z$6:$AK$58)-SUMIFS($E$6:$E$1005,$I$6:$I$1005,$I482,$B$6:$B$1005,"&lt;="&amp;$B482))</f>
        <v/>
      </c>
      <c r="M482" s="19" t="str">
        <f aca="false">IF($B482&amp;$C482&amp;$D482&amp;$E482="","",IF($B482="","missing date",IF($C482="","missing worker",IF($I482="?","unknown worker - was the name changed on Workers?",IF($D482="","missing type",IF(N($E482)=0,"missing amount",IF(AND($E482&lt;0,$D482&lt;&gt;"Correction"),"negative amount - use a Correction to undo",IF(OR($B482&lt;Weeks!$A$6,$B482&gt;Weeks!$B$58),"date outside this workbook's year",IF(AND($D482="Advance",N($L482)&lt;0),"Warning: more than earned so far - worker now owes "&amp;ROUND(-$L482,0),"")))))))))</f>
        <v/>
      </c>
    </row>
    <row r="483" customFormat="false" ht="15" hidden="false" customHeight="false" outlineLevel="0" collapsed="false">
      <c r="A483" s="24" t="str">
        <f aca="false">IF($B483="","",ROW()-5)</f>
        <v/>
      </c>
      <c r="B483" s="25"/>
      <c r="C483" s="20"/>
      <c r="D483" s="26"/>
      <c r="E483" s="27"/>
      <c r="F483" s="20"/>
      <c r="G483" s="20"/>
      <c r="H483" s="26"/>
      <c r="I483" s="24" t="str">
        <f aca="false">IF($C483="","",IFERROR(INDEX(WorkerIDs,MATCH($C483,WorkerNames,0)),"?"))</f>
        <v/>
      </c>
      <c r="J483" s="18" t="str">
        <f aca="false">IF($B483="","",$B483-WEEKDAY($B483,2)+1)</f>
        <v/>
      </c>
      <c r="K483" s="28" t="str">
        <f aca="false">IF(OR($I483="",$I483="?",$D483&lt;&gt;"Advance",$B483=""),"",$I483&amp;"|"&amp;$J483&amp;"|"&amp;COUNTIFS($I$6:$I483,$I483,$J$6:$J483,$J483,$D$6:$D483,"Advance"))</f>
        <v/>
      </c>
      <c r="L483" s="29" t="str">
        <f aca="false">IF(OR($I483="",$I483="?",$B483=""),"",SUMPRODUCT((Weeks!$A$6:$A$58&lt;=$J483)*(Weeks!$Z$4:$AK$4=$I483)*Weeks!$Z$6:$AK$58)-SUMIFS($E$6:$E$1005,$I$6:$I$1005,$I483,$B$6:$B$1005,"&lt;="&amp;$B483))</f>
        <v/>
      </c>
      <c r="M483" s="19" t="str">
        <f aca="false">IF($B483&amp;$C483&amp;$D483&amp;$E483="","",IF($B483="","missing date",IF($C483="","missing worker",IF($I483="?","unknown worker - was the name changed on Workers?",IF($D483="","missing type",IF(N($E483)=0,"missing amount",IF(AND($E483&lt;0,$D483&lt;&gt;"Correction"),"negative amount - use a Correction to undo",IF(OR($B483&lt;Weeks!$A$6,$B483&gt;Weeks!$B$58),"date outside this workbook's year",IF(AND($D483="Advance",N($L483)&lt;0),"Warning: more than earned so far - worker now owes "&amp;ROUND(-$L483,0),"")))))))))</f>
        <v/>
      </c>
    </row>
    <row r="484" customFormat="false" ht="15" hidden="false" customHeight="false" outlineLevel="0" collapsed="false">
      <c r="A484" s="24" t="str">
        <f aca="false">IF($B484="","",ROW()-5)</f>
        <v/>
      </c>
      <c r="B484" s="25"/>
      <c r="C484" s="20"/>
      <c r="D484" s="26"/>
      <c r="E484" s="27"/>
      <c r="F484" s="20"/>
      <c r="G484" s="20"/>
      <c r="H484" s="26"/>
      <c r="I484" s="24" t="str">
        <f aca="false">IF($C484="","",IFERROR(INDEX(WorkerIDs,MATCH($C484,WorkerNames,0)),"?"))</f>
        <v/>
      </c>
      <c r="J484" s="18" t="str">
        <f aca="false">IF($B484="","",$B484-WEEKDAY($B484,2)+1)</f>
        <v/>
      </c>
      <c r="K484" s="28" t="str">
        <f aca="false">IF(OR($I484="",$I484="?",$D484&lt;&gt;"Advance",$B484=""),"",$I484&amp;"|"&amp;$J484&amp;"|"&amp;COUNTIFS($I$6:$I484,$I484,$J$6:$J484,$J484,$D$6:$D484,"Advance"))</f>
        <v/>
      </c>
      <c r="L484" s="29" t="str">
        <f aca="false">IF(OR($I484="",$I484="?",$B484=""),"",SUMPRODUCT((Weeks!$A$6:$A$58&lt;=$J484)*(Weeks!$Z$4:$AK$4=$I484)*Weeks!$Z$6:$AK$58)-SUMIFS($E$6:$E$1005,$I$6:$I$1005,$I484,$B$6:$B$1005,"&lt;="&amp;$B484))</f>
        <v/>
      </c>
      <c r="M484" s="19" t="str">
        <f aca="false">IF($B484&amp;$C484&amp;$D484&amp;$E484="","",IF($B484="","missing date",IF($C484="","missing worker",IF($I484="?","unknown worker - was the name changed on Workers?",IF($D484="","missing type",IF(N($E484)=0,"missing amount",IF(AND($E484&lt;0,$D484&lt;&gt;"Correction"),"negative amount - use a Correction to undo",IF(OR($B484&lt;Weeks!$A$6,$B484&gt;Weeks!$B$58),"date outside this workbook's year",IF(AND($D484="Advance",N($L484)&lt;0),"Warning: more than earned so far - worker now owes "&amp;ROUND(-$L484,0),"")))))))))</f>
        <v/>
      </c>
    </row>
    <row r="485" customFormat="false" ht="15" hidden="false" customHeight="false" outlineLevel="0" collapsed="false">
      <c r="A485" s="24" t="str">
        <f aca="false">IF($B485="","",ROW()-5)</f>
        <v/>
      </c>
      <c r="B485" s="25"/>
      <c r="C485" s="20"/>
      <c r="D485" s="26"/>
      <c r="E485" s="27"/>
      <c r="F485" s="20"/>
      <c r="G485" s="20"/>
      <c r="H485" s="26"/>
      <c r="I485" s="24" t="str">
        <f aca="false">IF($C485="","",IFERROR(INDEX(WorkerIDs,MATCH($C485,WorkerNames,0)),"?"))</f>
        <v/>
      </c>
      <c r="J485" s="18" t="str">
        <f aca="false">IF($B485="","",$B485-WEEKDAY($B485,2)+1)</f>
        <v/>
      </c>
      <c r="K485" s="28" t="str">
        <f aca="false">IF(OR($I485="",$I485="?",$D485&lt;&gt;"Advance",$B485=""),"",$I485&amp;"|"&amp;$J485&amp;"|"&amp;COUNTIFS($I$6:$I485,$I485,$J$6:$J485,$J485,$D$6:$D485,"Advance"))</f>
        <v/>
      </c>
      <c r="L485" s="29" t="str">
        <f aca="false">IF(OR($I485="",$I485="?",$B485=""),"",SUMPRODUCT((Weeks!$A$6:$A$58&lt;=$J485)*(Weeks!$Z$4:$AK$4=$I485)*Weeks!$Z$6:$AK$58)-SUMIFS($E$6:$E$1005,$I$6:$I$1005,$I485,$B$6:$B$1005,"&lt;="&amp;$B485))</f>
        <v/>
      </c>
      <c r="M485" s="19" t="str">
        <f aca="false">IF($B485&amp;$C485&amp;$D485&amp;$E485="","",IF($B485="","missing date",IF($C485="","missing worker",IF($I485="?","unknown worker - was the name changed on Workers?",IF($D485="","missing type",IF(N($E485)=0,"missing amount",IF(AND($E485&lt;0,$D485&lt;&gt;"Correction"),"negative amount - use a Correction to undo",IF(OR($B485&lt;Weeks!$A$6,$B485&gt;Weeks!$B$58),"date outside this workbook's year",IF(AND($D485="Advance",N($L485)&lt;0),"Warning: more than earned so far - worker now owes "&amp;ROUND(-$L485,0),"")))))))))</f>
        <v/>
      </c>
    </row>
    <row r="486" customFormat="false" ht="15" hidden="false" customHeight="false" outlineLevel="0" collapsed="false">
      <c r="A486" s="24" t="str">
        <f aca="false">IF($B486="","",ROW()-5)</f>
        <v/>
      </c>
      <c r="B486" s="25"/>
      <c r="C486" s="20"/>
      <c r="D486" s="26"/>
      <c r="E486" s="27"/>
      <c r="F486" s="20"/>
      <c r="G486" s="20"/>
      <c r="H486" s="26"/>
      <c r="I486" s="24" t="str">
        <f aca="false">IF($C486="","",IFERROR(INDEX(WorkerIDs,MATCH($C486,WorkerNames,0)),"?"))</f>
        <v/>
      </c>
      <c r="J486" s="18" t="str">
        <f aca="false">IF($B486="","",$B486-WEEKDAY($B486,2)+1)</f>
        <v/>
      </c>
      <c r="K486" s="28" t="str">
        <f aca="false">IF(OR($I486="",$I486="?",$D486&lt;&gt;"Advance",$B486=""),"",$I486&amp;"|"&amp;$J486&amp;"|"&amp;COUNTIFS($I$6:$I486,$I486,$J$6:$J486,$J486,$D$6:$D486,"Advance"))</f>
        <v/>
      </c>
      <c r="L486" s="29" t="str">
        <f aca="false">IF(OR($I486="",$I486="?",$B486=""),"",SUMPRODUCT((Weeks!$A$6:$A$58&lt;=$J486)*(Weeks!$Z$4:$AK$4=$I486)*Weeks!$Z$6:$AK$58)-SUMIFS($E$6:$E$1005,$I$6:$I$1005,$I486,$B$6:$B$1005,"&lt;="&amp;$B486))</f>
        <v/>
      </c>
      <c r="M486" s="19" t="str">
        <f aca="false">IF($B486&amp;$C486&amp;$D486&amp;$E486="","",IF($B486="","missing date",IF($C486="","missing worker",IF($I486="?","unknown worker - was the name changed on Workers?",IF($D486="","missing type",IF(N($E486)=0,"missing amount",IF(AND($E486&lt;0,$D486&lt;&gt;"Correction"),"negative amount - use a Correction to undo",IF(OR($B486&lt;Weeks!$A$6,$B486&gt;Weeks!$B$58),"date outside this workbook's year",IF(AND($D486="Advance",N($L486)&lt;0),"Warning: more than earned so far - worker now owes "&amp;ROUND(-$L486,0),"")))))))))</f>
        <v/>
      </c>
    </row>
    <row r="487" customFormat="false" ht="15" hidden="false" customHeight="false" outlineLevel="0" collapsed="false">
      <c r="A487" s="24" t="str">
        <f aca="false">IF($B487="","",ROW()-5)</f>
        <v/>
      </c>
      <c r="B487" s="25"/>
      <c r="C487" s="20"/>
      <c r="D487" s="26"/>
      <c r="E487" s="27"/>
      <c r="F487" s="20"/>
      <c r="G487" s="20"/>
      <c r="H487" s="26"/>
      <c r="I487" s="24" t="str">
        <f aca="false">IF($C487="","",IFERROR(INDEX(WorkerIDs,MATCH($C487,WorkerNames,0)),"?"))</f>
        <v/>
      </c>
      <c r="J487" s="18" t="str">
        <f aca="false">IF($B487="","",$B487-WEEKDAY($B487,2)+1)</f>
        <v/>
      </c>
      <c r="K487" s="28" t="str">
        <f aca="false">IF(OR($I487="",$I487="?",$D487&lt;&gt;"Advance",$B487=""),"",$I487&amp;"|"&amp;$J487&amp;"|"&amp;COUNTIFS($I$6:$I487,$I487,$J$6:$J487,$J487,$D$6:$D487,"Advance"))</f>
        <v/>
      </c>
      <c r="L487" s="29" t="str">
        <f aca="false">IF(OR($I487="",$I487="?",$B487=""),"",SUMPRODUCT((Weeks!$A$6:$A$58&lt;=$J487)*(Weeks!$Z$4:$AK$4=$I487)*Weeks!$Z$6:$AK$58)-SUMIFS($E$6:$E$1005,$I$6:$I$1005,$I487,$B$6:$B$1005,"&lt;="&amp;$B487))</f>
        <v/>
      </c>
      <c r="M487" s="19" t="str">
        <f aca="false">IF($B487&amp;$C487&amp;$D487&amp;$E487="","",IF($B487="","missing date",IF($C487="","missing worker",IF($I487="?","unknown worker - was the name changed on Workers?",IF($D487="","missing type",IF(N($E487)=0,"missing amount",IF(AND($E487&lt;0,$D487&lt;&gt;"Correction"),"negative amount - use a Correction to undo",IF(OR($B487&lt;Weeks!$A$6,$B487&gt;Weeks!$B$58),"date outside this workbook's year",IF(AND($D487="Advance",N($L487)&lt;0),"Warning: more than earned so far - worker now owes "&amp;ROUND(-$L487,0),"")))))))))</f>
        <v/>
      </c>
    </row>
    <row r="488" customFormat="false" ht="15" hidden="false" customHeight="false" outlineLevel="0" collapsed="false">
      <c r="A488" s="24" t="str">
        <f aca="false">IF($B488="","",ROW()-5)</f>
        <v/>
      </c>
      <c r="B488" s="25"/>
      <c r="C488" s="20"/>
      <c r="D488" s="26"/>
      <c r="E488" s="27"/>
      <c r="F488" s="20"/>
      <c r="G488" s="20"/>
      <c r="H488" s="26"/>
      <c r="I488" s="24" t="str">
        <f aca="false">IF($C488="","",IFERROR(INDEX(WorkerIDs,MATCH($C488,WorkerNames,0)),"?"))</f>
        <v/>
      </c>
      <c r="J488" s="18" t="str">
        <f aca="false">IF($B488="","",$B488-WEEKDAY($B488,2)+1)</f>
        <v/>
      </c>
      <c r="K488" s="28" t="str">
        <f aca="false">IF(OR($I488="",$I488="?",$D488&lt;&gt;"Advance",$B488=""),"",$I488&amp;"|"&amp;$J488&amp;"|"&amp;COUNTIFS($I$6:$I488,$I488,$J$6:$J488,$J488,$D$6:$D488,"Advance"))</f>
        <v/>
      </c>
      <c r="L488" s="29" t="str">
        <f aca="false">IF(OR($I488="",$I488="?",$B488=""),"",SUMPRODUCT((Weeks!$A$6:$A$58&lt;=$J488)*(Weeks!$Z$4:$AK$4=$I488)*Weeks!$Z$6:$AK$58)-SUMIFS($E$6:$E$1005,$I$6:$I$1005,$I488,$B$6:$B$1005,"&lt;="&amp;$B488))</f>
        <v/>
      </c>
      <c r="M488" s="19" t="str">
        <f aca="false">IF($B488&amp;$C488&amp;$D488&amp;$E488="","",IF($B488="","missing date",IF($C488="","missing worker",IF($I488="?","unknown worker - was the name changed on Workers?",IF($D488="","missing type",IF(N($E488)=0,"missing amount",IF(AND($E488&lt;0,$D488&lt;&gt;"Correction"),"negative amount - use a Correction to undo",IF(OR($B488&lt;Weeks!$A$6,$B488&gt;Weeks!$B$58),"date outside this workbook's year",IF(AND($D488="Advance",N($L488)&lt;0),"Warning: more than earned so far - worker now owes "&amp;ROUND(-$L488,0),"")))))))))</f>
        <v/>
      </c>
    </row>
    <row r="489" customFormat="false" ht="15" hidden="false" customHeight="false" outlineLevel="0" collapsed="false">
      <c r="A489" s="24" t="str">
        <f aca="false">IF($B489="","",ROW()-5)</f>
        <v/>
      </c>
      <c r="B489" s="25"/>
      <c r="C489" s="20"/>
      <c r="D489" s="26"/>
      <c r="E489" s="27"/>
      <c r="F489" s="20"/>
      <c r="G489" s="20"/>
      <c r="H489" s="26"/>
      <c r="I489" s="24" t="str">
        <f aca="false">IF($C489="","",IFERROR(INDEX(WorkerIDs,MATCH($C489,WorkerNames,0)),"?"))</f>
        <v/>
      </c>
      <c r="J489" s="18" t="str">
        <f aca="false">IF($B489="","",$B489-WEEKDAY($B489,2)+1)</f>
        <v/>
      </c>
      <c r="K489" s="28" t="str">
        <f aca="false">IF(OR($I489="",$I489="?",$D489&lt;&gt;"Advance",$B489=""),"",$I489&amp;"|"&amp;$J489&amp;"|"&amp;COUNTIFS($I$6:$I489,$I489,$J$6:$J489,$J489,$D$6:$D489,"Advance"))</f>
        <v/>
      </c>
      <c r="L489" s="29" t="str">
        <f aca="false">IF(OR($I489="",$I489="?",$B489=""),"",SUMPRODUCT((Weeks!$A$6:$A$58&lt;=$J489)*(Weeks!$Z$4:$AK$4=$I489)*Weeks!$Z$6:$AK$58)-SUMIFS($E$6:$E$1005,$I$6:$I$1005,$I489,$B$6:$B$1005,"&lt;="&amp;$B489))</f>
        <v/>
      </c>
      <c r="M489" s="19" t="str">
        <f aca="false">IF($B489&amp;$C489&amp;$D489&amp;$E489="","",IF($B489="","missing date",IF($C489="","missing worker",IF($I489="?","unknown worker - was the name changed on Workers?",IF($D489="","missing type",IF(N($E489)=0,"missing amount",IF(AND($E489&lt;0,$D489&lt;&gt;"Correction"),"negative amount - use a Correction to undo",IF(OR($B489&lt;Weeks!$A$6,$B489&gt;Weeks!$B$58),"date outside this workbook's year",IF(AND($D489="Advance",N($L489)&lt;0),"Warning: more than earned so far - worker now owes "&amp;ROUND(-$L489,0),"")))))))))</f>
        <v/>
      </c>
    </row>
    <row r="490" customFormat="false" ht="15" hidden="false" customHeight="false" outlineLevel="0" collapsed="false">
      <c r="A490" s="24" t="str">
        <f aca="false">IF($B490="","",ROW()-5)</f>
        <v/>
      </c>
      <c r="B490" s="25"/>
      <c r="C490" s="20"/>
      <c r="D490" s="26"/>
      <c r="E490" s="27"/>
      <c r="F490" s="20"/>
      <c r="G490" s="20"/>
      <c r="H490" s="26"/>
      <c r="I490" s="24" t="str">
        <f aca="false">IF($C490="","",IFERROR(INDEX(WorkerIDs,MATCH($C490,WorkerNames,0)),"?"))</f>
        <v/>
      </c>
      <c r="J490" s="18" t="str">
        <f aca="false">IF($B490="","",$B490-WEEKDAY($B490,2)+1)</f>
        <v/>
      </c>
      <c r="K490" s="28" t="str">
        <f aca="false">IF(OR($I490="",$I490="?",$D490&lt;&gt;"Advance",$B490=""),"",$I490&amp;"|"&amp;$J490&amp;"|"&amp;COUNTIFS($I$6:$I490,$I490,$J$6:$J490,$J490,$D$6:$D490,"Advance"))</f>
        <v/>
      </c>
      <c r="L490" s="29" t="str">
        <f aca="false">IF(OR($I490="",$I490="?",$B490=""),"",SUMPRODUCT((Weeks!$A$6:$A$58&lt;=$J490)*(Weeks!$Z$4:$AK$4=$I490)*Weeks!$Z$6:$AK$58)-SUMIFS($E$6:$E$1005,$I$6:$I$1005,$I490,$B$6:$B$1005,"&lt;="&amp;$B490))</f>
        <v/>
      </c>
      <c r="M490" s="19" t="str">
        <f aca="false">IF($B490&amp;$C490&amp;$D490&amp;$E490="","",IF($B490="","missing date",IF($C490="","missing worker",IF($I490="?","unknown worker - was the name changed on Workers?",IF($D490="","missing type",IF(N($E490)=0,"missing amount",IF(AND($E490&lt;0,$D490&lt;&gt;"Correction"),"negative amount - use a Correction to undo",IF(OR($B490&lt;Weeks!$A$6,$B490&gt;Weeks!$B$58),"date outside this workbook's year",IF(AND($D490="Advance",N($L490)&lt;0),"Warning: more than earned so far - worker now owes "&amp;ROUND(-$L490,0),"")))))))))</f>
        <v/>
      </c>
    </row>
    <row r="491" customFormat="false" ht="15" hidden="false" customHeight="false" outlineLevel="0" collapsed="false">
      <c r="A491" s="24" t="str">
        <f aca="false">IF($B491="","",ROW()-5)</f>
        <v/>
      </c>
      <c r="B491" s="25"/>
      <c r="C491" s="20"/>
      <c r="D491" s="26"/>
      <c r="E491" s="27"/>
      <c r="F491" s="20"/>
      <c r="G491" s="20"/>
      <c r="H491" s="26"/>
      <c r="I491" s="24" t="str">
        <f aca="false">IF($C491="","",IFERROR(INDEX(WorkerIDs,MATCH($C491,WorkerNames,0)),"?"))</f>
        <v/>
      </c>
      <c r="J491" s="18" t="str">
        <f aca="false">IF($B491="","",$B491-WEEKDAY($B491,2)+1)</f>
        <v/>
      </c>
      <c r="K491" s="28" t="str">
        <f aca="false">IF(OR($I491="",$I491="?",$D491&lt;&gt;"Advance",$B491=""),"",$I491&amp;"|"&amp;$J491&amp;"|"&amp;COUNTIFS($I$6:$I491,$I491,$J$6:$J491,$J491,$D$6:$D491,"Advance"))</f>
        <v/>
      </c>
      <c r="L491" s="29" t="str">
        <f aca="false">IF(OR($I491="",$I491="?",$B491=""),"",SUMPRODUCT((Weeks!$A$6:$A$58&lt;=$J491)*(Weeks!$Z$4:$AK$4=$I491)*Weeks!$Z$6:$AK$58)-SUMIFS($E$6:$E$1005,$I$6:$I$1005,$I491,$B$6:$B$1005,"&lt;="&amp;$B491))</f>
        <v/>
      </c>
      <c r="M491" s="19" t="str">
        <f aca="false">IF($B491&amp;$C491&amp;$D491&amp;$E491="","",IF($B491="","missing date",IF($C491="","missing worker",IF($I491="?","unknown worker - was the name changed on Workers?",IF($D491="","missing type",IF(N($E491)=0,"missing amount",IF(AND($E491&lt;0,$D491&lt;&gt;"Correction"),"negative amount - use a Correction to undo",IF(OR($B491&lt;Weeks!$A$6,$B491&gt;Weeks!$B$58),"date outside this workbook's year",IF(AND($D491="Advance",N($L491)&lt;0),"Warning: more than earned so far - worker now owes "&amp;ROUND(-$L491,0),"")))))))))</f>
        <v/>
      </c>
    </row>
    <row r="492" customFormat="false" ht="15" hidden="false" customHeight="false" outlineLevel="0" collapsed="false">
      <c r="A492" s="24" t="str">
        <f aca="false">IF($B492="","",ROW()-5)</f>
        <v/>
      </c>
      <c r="B492" s="25"/>
      <c r="C492" s="20"/>
      <c r="D492" s="26"/>
      <c r="E492" s="27"/>
      <c r="F492" s="20"/>
      <c r="G492" s="20"/>
      <c r="H492" s="26"/>
      <c r="I492" s="24" t="str">
        <f aca="false">IF($C492="","",IFERROR(INDEX(WorkerIDs,MATCH($C492,WorkerNames,0)),"?"))</f>
        <v/>
      </c>
      <c r="J492" s="18" t="str">
        <f aca="false">IF($B492="","",$B492-WEEKDAY($B492,2)+1)</f>
        <v/>
      </c>
      <c r="K492" s="28" t="str">
        <f aca="false">IF(OR($I492="",$I492="?",$D492&lt;&gt;"Advance",$B492=""),"",$I492&amp;"|"&amp;$J492&amp;"|"&amp;COUNTIFS($I$6:$I492,$I492,$J$6:$J492,$J492,$D$6:$D492,"Advance"))</f>
        <v/>
      </c>
      <c r="L492" s="29" t="str">
        <f aca="false">IF(OR($I492="",$I492="?",$B492=""),"",SUMPRODUCT((Weeks!$A$6:$A$58&lt;=$J492)*(Weeks!$Z$4:$AK$4=$I492)*Weeks!$Z$6:$AK$58)-SUMIFS($E$6:$E$1005,$I$6:$I$1005,$I492,$B$6:$B$1005,"&lt;="&amp;$B492))</f>
        <v/>
      </c>
      <c r="M492" s="19" t="str">
        <f aca="false">IF($B492&amp;$C492&amp;$D492&amp;$E492="","",IF($B492="","missing date",IF($C492="","missing worker",IF($I492="?","unknown worker - was the name changed on Workers?",IF($D492="","missing type",IF(N($E492)=0,"missing amount",IF(AND($E492&lt;0,$D492&lt;&gt;"Correction"),"negative amount - use a Correction to undo",IF(OR($B492&lt;Weeks!$A$6,$B492&gt;Weeks!$B$58),"date outside this workbook's year",IF(AND($D492="Advance",N($L492)&lt;0),"Warning: more than earned so far - worker now owes "&amp;ROUND(-$L492,0),"")))))))))</f>
        <v/>
      </c>
    </row>
    <row r="493" customFormat="false" ht="15" hidden="false" customHeight="false" outlineLevel="0" collapsed="false">
      <c r="A493" s="24" t="str">
        <f aca="false">IF($B493="","",ROW()-5)</f>
        <v/>
      </c>
      <c r="B493" s="25"/>
      <c r="C493" s="20"/>
      <c r="D493" s="26"/>
      <c r="E493" s="27"/>
      <c r="F493" s="20"/>
      <c r="G493" s="20"/>
      <c r="H493" s="26"/>
      <c r="I493" s="24" t="str">
        <f aca="false">IF($C493="","",IFERROR(INDEX(WorkerIDs,MATCH($C493,WorkerNames,0)),"?"))</f>
        <v/>
      </c>
      <c r="J493" s="18" t="str">
        <f aca="false">IF($B493="","",$B493-WEEKDAY($B493,2)+1)</f>
        <v/>
      </c>
      <c r="K493" s="28" t="str">
        <f aca="false">IF(OR($I493="",$I493="?",$D493&lt;&gt;"Advance",$B493=""),"",$I493&amp;"|"&amp;$J493&amp;"|"&amp;COUNTIFS($I$6:$I493,$I493,$J$6:$J493,$J493,$D$6:$D493,"Advance"))</f>
        <v/>
      </c>
      <c r="L493" s="29" t="str">
        <f aca="false">IF(OR($I493="",$I493="?",$B493=""),"",SUMPRODUCT((Weeks!$A$6:$A$58&lt;=$J493)*(Weeks!$Z$4:$AK$4=$I493)*Weeks!$Z$6:$AK$58)-SUMIFS($E$6:$E$1005,$I$6:$I$1005,$I493,$B$6:$B$1005,"&lt;="&amp;$B493))</f>
        <v/>
      </c>
      <c r="M493" s="19" t="str">
        <f aca="false">IF($B493&amp;$C493&amp;$D493&amp;$E493="","",IF($B493="","missing date",IF($C493="","missing worker",IF($I493="?","unknown worker - was the name changed on Workers?",IF($D493="","missing type",IF(N($E493)=0,"missing amount",IF(AND($E493&lt;0,$D493&lt;&gt;"Correction"),"negative amount - use a Correction to undo",IF(OR($B493&lt;Weeks!$A$6,$B493&gt;Weeks!$B$58),"date outside this workbook's year",IF(AND($D493="Advance",N($L493)&lt;0),"Warning: more than earned so far - worker now owes "&amp;ROUND(-$L493,0),"")))))))))</f>
        <v/>
      </c>
    </row>
    <row r="494" customFormat="false" ht="15" hidden="false" customHeight="false" outlineLevel="0" collapsed="false">
      <c r="A494" s="24" t="str">
        <f aca="false">IF($B494="","",ROW()-5)</f>
        <v/>
      </c>
      <c r="B494" s="25"/>
      <c r="C494" s="20"/>
      <c r="D494" s="26"/>
      <c r="E494" s="27"/>
      <c r="F494" s="20"/>
      <c r="G494" s="20"/>
      <c r="H494" s="26"/>
      <c r="I494" s="24" t="str">
        <f aca="false">IF($C494="","",IFERROR(INDEX(WorkerIDs,MATCH($C494,WorkerNames,0)),"?"))</f>
        <v/>
      </c>
      <c r="J494" s="18" t="str">
        <f aca="false">IF($B494="","",$B494-WEEKDAY($B494,2)+1)</f>
        <v/>
      </c>
      <c r="K494" s="28" t="str">
        <f aca="false">IF(OR($I494="",$I494="?",$D494&lt;&gt;"Advance",$B494=""),"",$I494&amp;"|"&amp;$J494&amp;"|"&amp;COUNTIFS($I$6:$I494,$I494,$J$6:$J494,$J494,$D$6:$D494,"Advance"))</f>
        <v/>
      </c>
      <c r="L494" s="29" t="str">
        <f aca="false">IF(OR($I494="",$I494="?",$B494=""),"",SUMPRODUCT((Weeks!$A$6:$A$58&lt;=$J494)*(Weeks!$Z$4:$AK$4=$I494)*Weeks!$Z$6:$AK$58)-SUMIFS($E$6:$E$1005,$I$6:$I$1005,$I494,$B$6:$B$1005,"&lt;="&amp;$B494))</f>
        <v/>
      </c>
      <c r="M494" s="19" t="str">
        <f aca="false">IF($B494&amp;$C494&amp;$D494&amp;$E494="","",IF($B494="","missing date",IF($C494="","missing worker",IF($I494="?","unknown worker - was the name changed on Workers?",IF($D494="","missing type",IF(N($E494)=0,"missing amount",IF(AND($E494&lt;0,$D494&lt;&gt;"Correction"),"negative amount - use a Correction to undo",IF(OR($B494&lt;Weeks!$A$6,$B494&gt;Weeks!$B$58),"date outside this workbook's year",IF(AND($D494="Advance",N($L494)&lt;0),"Warning: more than earned so far - worker now owes "&amp;ROUND(-$L494,0),"")))))))))</f>
        <v/>
      </c>
    </row>
    <row r="495" customFormat="false" ht="15" hidden="false" customHeight="false" outlineLevel="0" collapsed="false">
      <c r="A495" s="24" t="str">
        <f aca="false">IF($B495="","",ROW()-5)</f>
        <v/>
      </c>
      <c r="B495" s="25"/>
      <c r="C495" s="20"/>
      <c r="D495" s="26"/>
      <c r="E495" s="27"/>
      <c r="F495" s="20"/>
      <c r="G495" s="20"/>
      <c r="H495" s="26"/>
      <c r="I495" s="24" t="str">
        <f aca="false">IF($C495="","",IFERROR(INDEX(WorkerIDs,MATCH($C495,WorkerNames,0)),"?"))</f>
        <v/>
      </c>
      <c r="J495" s="18" t="str">
        <f aca="false">IF($B495="","",$B495-WEEKDAY($B495,2)+1)</f>
        <v/>
      </c>
      <c r="K495" s="28" t="str">
        <f aca="false">IF(OR($I495="",$I495="?",$D495&lt;&gt;"Advance",$B495=""),"",$I495&amp;"|"&amp;$J495&amp;"|"&amp;COUNTIFS($I$6:$I495,$I495,$J$6:$J495,$J495,$D$6:$D495,"Advance"))</f>
        <v/>
      </c>
      <c r="L495" s="29" t="str">
        <f aca="false">IF(OR($I495="",$I495="?",$B495=""),"",SUMPRODUCT((Weeks!$A$6:$A$58&lt;=$J495)*(Weeks!$Z$4:$AK$4=$I495)*Weeks!$Z$6:$AK$58)-SUMIFS($E$6:$E$1005,$I$6:$I$1005,$I495,$B$6:$B$1005,"&lt;="&amp;$B495))</f>
        <v/>
      </c>
      <c r="M495" s="19" t="str">
        <f aca="false">IF($B495&amp;$C495&amp;$D495&amp;$E495="","",IF($B495="","missing date",IF($C495="","missing worker",IF($I495="?","unknown worker - was the name changed on Workers?",IF($D495="","missing type",IF(N($E495)=0,"missing amount",IF(AND($E495&lt;0,$D495&lt;&gt;"Correction"),"negative amount - use a Correction to undo",IF(OR($B495&lt;Weeks!$A$6,$B495&gt;Weeks!$B$58),"date outside this workbook's year",IF(AND($D495="Advance",N($L495)&lt;0),"Warning: more than earned so far - worker now owes "&amp;ROUND(-$L495,0),"")))))))))</f>
        <v/>
      </c>
    </row>
    <row r="496" customFormat="false" ht="15" hidden="false" customHeight="false" outlineLevel="0" collapsed="false">
      <c r="A496" s="24" t="str">
        <f aca="false">IF($B496="","",ROW()-5)</f>
        <v/>
      </c>
      <c r="B496" s="25"/>
      <c r="C496" s="20"/>
      <c r="D496" s="26"/>
      <c r="E496" s="27"/>
      <c r="F496" s="20"/>
      <c r="G496" s="20"/>
      <c r="H496" s="26"/>
      <c r="I496" s="24" t="str">
        <f aca="false">IF($C496="","",IFERROR(INDEX(WorkerIDs,MATCH($C496,WorkerNames,0)),"?"))</f>
        <v/>
      </c>
      <c r="J496" s="18" t="str">
        <f aca="false">IF($B496="","",$B496-WEEKDAY($B496,2)+1)</f>
        <v/>
      </c>
      <c r="K496" s="28" t="str">
        <f aca="false">IF(OR($I496="",$I496="?",$D496&lt;&gt;"Advance",$B496=""),"",$I496&amp;"|"&amp;$J496&amp;"|"&amp;COUNTIFS($I$6:$I496,$I496,$J$6:$J496,$J496,$D$6:$D496,"Advance"))</f>
        <v/>
      </c>
      <c r="L496" s="29" t="str">
        <f aca="false">IF(OR($I496="",$I496="?",$B496=""),"",SUMPRODUCT((Weeks!$A$6:$A$58&lt;=$J496)*(Weeks!$Z$4:$AK$4=$I496)*Weeks!$Z$6:$AK$58)-SUMIFS($E$6:$E$1005,$I$6:$I$1005,$I496,$B$6:$B$1005,"&lt;="&amp;$B496))</f>
        <v/>
      </c>
      <c r="M496" s="19" t="str">
        <f aca="false">IF($B496&amp;$C496&amp;$D496&amp;$E496="","",IF($B496="","missing date",IF($C496="","missing worker",IF($I496="?","unknown worker - was the name changed on Workers?",IF($D496="","missing type",IF(N($E496)=0,"missing amount",IF(AND($E496&lt;0,$D496&lt;&gt;"Correction"),"negative amount - use a Correction to undo",IF(OR($B496&lt;Weeks!$A$6,$B496&gt;Weeks!$B$58),"date outside this workbook's year",IF(AND($D496="Advance",N($L496)&lt;0),"Warning: more than earned so far - worker now owes "&amp;ROUND(-$L496,0),"")))))))))</f>
        <v/>
      </c>
    </row>
    <row r="497" customFormat="false" ht="15" hidden="false" customHeight="false" outlineLevel="0" collapsed="false">
      <c r="A497" s="24" t="str">
        <f aca="false">IF($B497="","",ROW()-5)</f>
        <v/>
      </c>
      <c r="B497" s="25"/>
      <c r="C497" s="20"/>
      <c r="D497" s="26"/>
      <c r="E497" s="27"/>
      <c r="F497" s="20"/>
      <c r="G497" s="20"/>
      <c r="H497" s="26"/>
      <c r="I497" s="24" t="str">
        <f aca="false">IF($C497="","",IFERROR(INDEX(WorkerIDs,MATCH($C497,WorkerNames,0)),"?"))</f>
        <v/>
      </c>
      <c r="J497" s="18" t="str">
        <f aca="false">IF($B497="","",$B497-WEEKDAY($B497,2)+1)</f>
        <v/>
      </c>
      <c r="K497" s="28" t="str">
        <f aca="false">IF(OR($I497="",$I497="?",$D497&lt;&gt;"Advance",$B497=""),"",$I497&amp;"|"&amp;$J497&amp;"|"&amp;COUNTIFS($I$6:$I497,$I497,$J$6:$J497,$J497,$D$6:$D497,"Advance"))</f>
        <v/>
      </c>
      <c r="L497" s="29" t="str">
        <f aca="false">IF(OR($I497="",$I497="?",$B497=""),"",SUMPRODUCT((Weeks!$A$6:$A$58&lt;=$J497)*(Weeks!$Z$4:$AK$4=$I497)*Weeks!$Z$6:$AK$58)-SUMIFS($E$6:$E$1005,$I$6:$I$1005,$I497,$B$6:$B$1005,"&lt;="&amp;$B497))</f>
        <v/>
      </c>
      <c r="M497" s="19" t="str">
        <f aca="false">IF($B497&amp;$C497&amp;$D497&amp;$E497="","",IF($B497="","missing date",IF($C497="","missing worker",IF($I497="?","unknown worker - was the name changed on Workers?",IF($D497="","missing type",IF(N($E497)=0,"missing amount",IF(AND($E497&lt;0,$D497&lt;&gt;"Correction"),"negative amount - use a Correction to undo",IF(OR($B497&lt;Weeks!$A$6,$B497&gt;Weeks!$B$58),"date outside this workbook's year",IF(AND($D497="Advance",N($L497)&lt;0),"Warning: more than earned so far - worker now owes "&amp;ROUND(-$L497,0),"")))))))))</f>
        <v/>
      </c>
    </row>
    <row r="498" customFormat="false" ht="15" hidden="false" customHeight="false" outlineLevel="0" collapsed="false">
      <c r="A498" s="24" t="str">
        <f aca="false">IF($B498="","",ROW()-5)</f>
        <v/>
      </c>
      <c r="B498" s="25"/>
      <c r="C498" s="20"/>
      <c r="D498" s="26"/>
      <c r="E498" s="27"/>
      <c r="F498" s="20"/>
      <c r="G498" s="20"/>
      <c r="H498" s="26"/>
      <c r="I498" s="24" t="str">
        <f aca="false">IF($C498="","",IFERROR(INDEX(WorkerIDs,MATCH($C498,WorkerNames,0)),"?"))</f>
        <v/>
      </c>
      <c r="J498" s="18" t="str">
        <f aca="false">IF($B498="","",$B498-WEEKDAY($B498,2)+1)</f>
        <v/>
      </c>
      <c r="K498" s="28" t="str">
        <f aca="false">IF(OR($I498="",$I498="?",$D498&lt;&gt;"Advance",$B498=""),"",$I498&amp;"|"&amp;$J498&amp;"|"&amp;COUNTIFS($I$6:$I498,$I498,$J$6:$J498,$J498,$D$6:$D498,"Advance"))</f>
        <v/>
      </c>
      <c r="L498" s="29" t="str">
        <f aca="false">IF(OR($I498="",$I498="?",$B498=""),"",SUMPRODUCT((Weeks!$A$6:$A$58&lt;=$J498)*(Weeks!$Z$4:$AK$4=$I498)*Weeks!$Z$6:$AK$58)-SUMIFS($E$6:$E$1005,$I$6:$I$1005,$I498,$B$6:$B$1005,"&lt;="&amp;$B498))</f>
        <v/>
      </c>
      <c r="M498" s="19" t="str">
        <f aca="false">IF($B498&amp;$C498&amp;$D498&amp;$E498="","",IF($B498="","missing date",IF($C498="","missing worker",IF($I498="?","unknown worker - was the name changed on Workers?",IF($D498="","missing type",IF(N($E498)=0,"missing amount",IF(AND($E498&lt;0,$D498&lt;&gt;"Correction"),"negative amount - use a Correction to undo",IF(OR($B498&lt;Weeks!$A$6,$B498&gt;Weeks!$B$58),"date outside this workbook's year",IF(AND($D498="Advance",N($L498)&lt;0),"Warning: more than earned so far - worker now owes "&amp;ROUND(-$L498,0),"")))))))))</f>
        <v/>
      </c>
    </row>
    <row r="499" customFormat="false" ht="15" hidden="false" customHeight="false" outlineLevel="0" collapsed="false">
      <c r="A499" s="24" t="str">
        <f aca="false">IF($B499="","",ROW()-5)</f>
        <v/>
      </c>
      <c r="B499" s="25"/>
      <c r="C499" s="20"/>
      <c r="D499" s="26"/>
      <c r="E499" s="27"/>
      <c r="F499" s="20"/>
      <c r="G499" s="20"/>
      <c r="H499" s="26"/>
      <c r="I499" s="24" t="str">
        <f aca="false">IF($C499="","",IFERROR(INDEX(WorkerIDs,MATCH($C499,WorkerNames,0)),"?"))</f>
        <v/>
      </c>
      <c r="J499" s="18" t="str">
        <f aca="false">IF($B499="","",$B499-WEEKDAY($B499,2)+1)</f>
        <v/>
      </c>
      <c r="K499" s="28" t="str">
        <f aca="false">IF(OR($I499="",$I499="?",$D499&lt;&gt;"Advance",$B499=""),"",$I499&amp;"|"&amp;$J499&amp;"|"&amp;COUNTIFS($I$6:$I499,$I499,$J$6:$J499,$J499,$D$6:$D499,"Advance"))</f>
        <v/>
      </c>
      <c r="L499" s="29" t="str">
        <f aca="false">IF(OR($I499="",$I499="?",$B499=""),"",SUMPRODUCT((Weeks!$A$6:$A$58&lt;=$J499)*(Weeks!$Z$4:$AK$4=$I499)*Weeks!$Z$6:$AK$58)-SUMIFS($E$6:$E$1005,$I$6:$I$1005,$I499,$B$6:$B$1005,"&lt;="&amp;$B499))</f>
        <v/>
      </c>
      <c r="M499" s="19" t="str">
        <f aca="false">IF($B499&amp;$C499&amp;$D499&amp;$E499="","",IF($B499="","missing date",IF($C499="","missing worker",IF($I499="?","unknown worker - was the name changed on Workers?",IF($D499="","missing type",IF(N($E499)=0,"missing amount",IF(AND($E499&lt;0,$D499&lt;&gt;"Correction"),"negative amount - use a Correction to undo",IF(OR($B499&lt;Weeks!$A$6,$B499&gt;Weeks!$B$58),"date outside this workbook's year",IF(AND($D499="Advance",N($L499)&lt;0),"Warning: more than earned so far - worker now owes "&amp;ROUND(-$L499,0),"")))))))))</f>
        <v/>
      </c>
    </row>
    <row r="500" customFormat="false" ht="15" hidden="false" customHeight="false" outlineLevel="0" collapsed="false">
      <c r="A500" s="24" t="str">
        <f aca="false">IF($B500="","",ROW()-5)</f>
        <v/>
      </c>
      <c r="B500" s="25"/>
      <c r="C500" s="20"/>
      <c r="D500" s="26"/>
      <c r="E500" s="27"/>
      <c r="F500" s="20"/>
      <c r="G500" s="20"/>
      <c r="H500" s="26"/>
      <c r="I500" s="24" t="str">
        <f aca="false">IF($C500="","",IFERROR(INDEX(WorkerIDs,MATCH($C500,WorkerNames,0)),"?"))</f>
        <v/>
      </c>
      <c r="J500" s="18" t="str">
        <f aca="false">IF($B500="","",$B500-WEEKDAY($B500,2)+1)</f>
        <v/>
      </c>
      <c r="K500" s="28" t="str">
        <f aca="false">IF(OR($I500="",$I500="?",$D500&lt;&gt;"Advance",$B500=""),"",$I500&amp;"|"&amp;$J500&amp;"|"&amp;COUNTIFS($I$6:$I500,$I500,$J$6:$J500,$J500,$D$6:$D500,"Advance"))</f>
        <v/>
      </c>
      <c r="L500" s="29" t="str">
        <f aca="false">IF(OR($I500="",$I500="?",$B500=""),"",SUMPRODUCT((Weeks!$A$6:$A$58&lt;=$J500)*(Weeks!$Z$4:$AK$4=$I500)*Weeks!$Z$6:$AK$58)-SUMIFS($E$6:$E$1005,$I$6:$I$1005,$I500,$B$6:$B$1005,"&lt;="&amp;$B500))</f>
        <v/>
      </c>
      <c r="M500" s="19" t="str">
        <f aca="false">IF($B500&amp;$C500&amp;$D500&amp;$E500="","",IF($B500="","missing date",IF($C500="","missing worker",IF($I500="?","unknown worker - was the name changed on Workers?",IF($D500="","missing type",IF(N($E500)=0,"missing amount",IF(AND($E500&lt;0,$D500&lt;&gt;"Correction"),"negative amount - use a Correction to undo",IF(OR($B500&lt;Weeks!$A$6,$B500&gt;Weeks!$B$58),"date outside this workbook's year",IF(AND($D500="Advance",N($L500)&lt;0),"Warning: more than earned so far - worker now owes "&amp;ROUND(-$L500,0),"")))))))))</f>
        <v/>
      </c>
    </row>
    <row r="501" customFormat="false" ht="15" hidden="false" customHeight="false" outlineLevel="0" collapsed="false">
      <c r="A501" s="24" t="str">
        <f aca="false">IF($B501="","",ROW()-5)</f>
        <v/>
      </c>
      <c r="B501" s="25"/>
      <c r="C501" s="20"/>
      <c r="D501" s="26"/>
      <c r="E501" s="27"/>
      <c r="F501" s="20"/>
      <c r="G501" s="20"/>
      <c r="H501" s="26"/>
      <c r="I501" s="24" t="str">
        <f aca="false">IF($C501="","",IFERROR(INDEX(WorkerIDs,MATCH($C501,WorkerNames,0)),"?"))</f>
        <v/>
      </c>
      <c r="J501" s="18" t="str">
        <f aca="false">IF($B501="","",$B501-WEEKDAY($B501,2)+1)</f>
        <v/>
      </c>
      <c r="K501" s="28" t="str">
        <f aca="false">IF(OR($I501="",$I501="?",$D501&lt;&gt;"Advance",$B501=""),"",$I501&amp;"|"&amp;$J501&amp;"|"&amp;COUNTIFS($I$6:$I501,$I501,$J$6:$J501,$J501,$D$6:$D501,"Advance"))</f>
        <v/>
      </c>
      <c r="L501" s="29" t="str">
        <f aca="false">IF(OR($I501="",$I501="?",$B501=""),"",SUMPRODUCT((Weeks!$A$6:$A$58&lt;=$J501)*(Weeks!$Z$4:$AK$4=$I501)*Weeks!$Z$6:$AK$58)-SUMIFS($E$6:$E$1005,$I$6:$I$1005,$I501,$B$6:$B$1005,"&lt;="&amp;$B501))</f>
        <v/>
      </c>
      <c r="M501" s="19" t="str">
        <f aca="false">IF($B501&amp;$C501&amp;$D501&amp;$E501="","",IF($B501="","missing date",IF($C501="","missing worker",IF($I501="?","unknown worker - was the name changed on Workers?",IF($D501="","missing type",IF(N($E501)=0,"missing amount",IF(AND($E501&lt;0,$D501&lt;&gt;"Correction"),"negative amount - use a Correction to undo",IF(OR($B501&lt;Weeks!$A$6,$B501&gt;Weeks!$B$58),"date outside this workbook's year",IF(AND($D501="Advance",N($L501)&lt;0),"Warning: more than earned so far - worker now owes "&amp;ROUND(-$L501,0),"")))))))))</f>
        <v/>
      </c>
    </row>
    <row r="502" customFormat="false" ht="15" hidden="false" customHeight="false" outlineLevel="0" collapsed="false">
      <c r="A502" s="24" t="str">
        <f aca="false">IF($B502="","",ROW()-5)</f>
        <v/>
      </c>
      <c r="B502" s="25"/>
      <c r="C502" s="20"/>
      <c r="D502" s="26"/>
      <c r="E502" s="27"/>
      <c r="F502" s="20"/>
      <c r="G502" s="20"/>
      <c r="H502" s="26"/>
      <c r="I502" s="24" t="str">
        <f aca="false">IF($C502="","",IFERROR(INDEX(WorkerIDs,MATCH($C502,WorkerNames,0)),"?"))</f>
        <v/>
      </c>
      <c r="J502" s="18" t="str">
        <f aca="false">IF($B502="","",$B502-WEEKDAY($B502,2)+1)</f>
        <v/>
      </c>
      <c r="K502" s="28" t="str">
        <f aca="false">IF(OR($I502="",$I502="?",$D502&lt;&gt;"Advance",$B502=""),"",$I502&amp;"|"&amp;$J502&amp;"|"&amp;COUNTIFS($I$6:$I502,$I502,$J$6:$J502,$J502,$D$6:$D502,"Advance"))</f>
        <v/>
      </c>
      <c r="L502" s="29" t="str">
        <f aca="false">IF(OR($I502="",$I502="?",$B502=""),"",SUMPRODUCT((Weeks!$A$6:$A$58&lt;=$J502)*(Weeks!$Z$4:$AK$4=$I502)*Weeks!$Z$6:$AK$58)-SUMIFS($E$6:$E$1005,$I$6:$I$1005,$I502,$B$6:$B$1005,"&lt;="&amp;$B502))</f>
        <v/>
      </c>
      <c r="M502" s="19" t="str">
        <f aca="false">IF($B502&amp;$C502&amp;$D502&amp;$E502="","",IF($B502="","missing date",IF($C502="","missing worker",IF($I502="?","unknown worker - was the name changed on Workers?",IF($D502="","missing type",IF(N($E502)=0,"missing amount",IF(AND($E502&lt;0,$D502&lt;&gt;"Correction"),"negative amount - use a Correction to undo",IF(OR($B502&lt;Weeks!$A$6,$B502&gt;Weeks!$B$58),"date outside this workbook's year",IF(AND($D502="Advance",N($L502)&lt;0),"Warning: more than earned so far - worker now owes "&amp;ROUND(-$L502,0),"")))))))))</f>
        <v/>
      </c>
    </row>
    <row r="503" customFormat="false" ht="15" hidden="false" customHeight="false" outlineLevel="0" collapsed="false">
      <c r="A503" s="24" t="str">
        <f aca="false">IF($B503="","",ROW()-5)</f>
        <v/>
      </c>
      <c r="B503" s="25"/>
      <c r="C503" s="20"/>
      <c r="D503" s="26"/>
      <c r="E503" s="27"/>
      <c r="F503" s="20"/>
      <c r="G503" s="20"/>
      <c r="H503" s="26"/>
      <c r="I503" s="24" t="str">
        <f aca="false">IF($C503="","",IFERROR(INDEX(WorkerIDs,MATCH($C503,WorkerNames,0)),"?"))</f>
        <v/>
      </c>
      <c r="J503" s="18" t="str">
        <f aca="false">IF($B503="","",$B503-WEEKDAY($B503,2)+1)</f>
        <v/>
      </c>
      <c r="K503" s="28" t="str">
        <f aca="false">IF(OR($I503="",$I503="?",$D503&lt;&gt;"Advance",$B503=""),"",$I503&amp;"|"&amp;$J503&amp;"|"&amp;COUNTIFS($I$6:$I503,$I503,$J$6:$J503,$J503,$D$6:$D503,"Advance"))</f>
        <v/>
      </c>
      <c r="L503" s="29" t="str">
        <f aca="false">IF(OR($I503="",$I503="?",$B503=""),"",SUMPRODUCT((Weeks!$A$6:$A$58&lt;=$J503)*(Weeks!$Z$4:$AK$4=$I503)*Weeks!$Z$6:$AK$58)-SUMIFS($E$6:$E$1005,$I$6:$I$1005,$I503,$B$6:$B$1005,"&lt;="&amp;$B503))</f>
        <v/>
      </c>
      <c r="M503" s="19" t="str">
        <f aca="false">IF($B503&amp;$C503&amp;$D503&amp;$E503="","",IF($B503="","missing date",IF($C503="","missing worker",IF($I503="?","unknown worker - was the name changed on Workers?",IF($D503="","missing type",IF(N($E503)=0,"missing amount",IF(AND($E503&lt;0,$D503&lt;&gt;"Correction"),"negative amount - use a Correction to undo",IF(OR($B503&lt;Weeks!$A$6,$B503&gt;Weeks!$B$58),"date outside this workbook's year",IF(AND($D503="Advance",N($L503)&lt;0),"Warning: more than earned so far - worker now owes "&amp;ROUND(-$L503,0),"")))))))))</f>
        <v/>
      </c>
    </row>
    <row r="504" customFormat="false" ht="15" hidden="false" customHeight="false" outlineLevel="0" collapsed="false">
      <c r="A504" s="24" t="str">
        <f aca="false">IF($B504="","",ROW()-5)</f>
        <v/>
      </c>
      <c r="B504" s="25"/>
      <c r="C504" s="20"/>
      <c r="D504" s="26"/>
      <c r="E504" s="27"/>
      <c r="F504" s="20"/>
      <c r="G504" s="20"/>
      <c r="H504" s="26"/>
      <c r="I504" s="24" t="str">
        <f aca="false">IF($C504="","",IFERROR(INDEX(WorkerIDs,MATCH($C504,WorkerNames,0)),"?"))</f>
        <v/>
      </c>
      <c r="J504" s="18" t="str">
        <f aca="false">IF($B504="","",$B504-WEEKDAY($B504,2)+1)</f>
        <v/>
      </c>
      <c r="K504" s="28" t="str">
        <f aca="false">IF(OR($I504="",$I504="?",$D504&lt;&gt;"Advance",$B504=""),"",$I504&amp;"|"&amp;$J504&amp;"|"&amp;COUNTIFS($I$6:$I504,$I504,$J$6:$J504,$J504,$D$6:$D504,"Advance"))</f>
        <v/>
      </c>
      <c r="L504" s="29" t="str">
        <f aca="false">IF(OR($I504="",$I504="?",$B504=""),"",SUMPRODUCT((Weeks!$A$6:$A$58&lt;=$J504)*(Weeks!$Z$4:$AK$4=$I504)*Weeks!$Z$6:$AK$58)-SUMIFS($E$6:$E$1005,$I$6:$I$1005,$I504,$B$6:$B$1005,"&lt;="&amp;$B504))</f>
        <v/>
      </c>
      <c r="M504" s="19" t="str">
        <f aca="false">IF($B504&amp;$C504&amp;$D504&amp;$E504="","",IF($B504="","missing date",IF($C504="","missing worker",IF($I504="?","unknown worker - was the name changed on Workers?",IF($D504="","missing type",IF(N($E504)=0,"missing amount",IF(AND($E504&lt;0,$D504&lt;&gt;"Correction"),"negative amount - use a Correction to undo",IF(OR($B504&lt;Weeks!$A$6,$B504&gt;Weeks!$B$58),"date outside this workbook's year",IF(AND($D504="Advance",N($L504)&lt;0),"Warning: more than earned so far - worker now owes "&amp;ROUND(-$L504,0),"")))))))))</f>
        <v/>
      </c>
    </row>
    <row r="505" customFormat="false" ht="15" hidden="false" customHeight="false" outlineLevel="0" collapsed="false">
      <c r="A505" s="24" t="str">
        <f aca="false">IF($B505="","",ROW()-5)</f>
        <v/>
      </c>
      <c r="B505" s="25"/>
      <c r="C505" s="20"/>
      <c r="D505" s="26"/>
      <c r="E505" s="27"/>
      <c r="F505" s="20"/>
      <c r="G505" s="20"/>
      <c r="H505" s="26"/>
      <c r="I505" s="24" t="str">
        <f aca="false">IF($C505="","",IFERROR(INDEX(WorkerIDs,MATCH($C505,WorkerNames,0)),"?"))</f>
        <v/>
      </c>
      <c r="J505" s="18" t="str">
        <f aca="false">IF($B505="","",$B505-WEEKDAY($B505,2)+1)</f>
        <v/>
      </c>
      <c r="K505" s="28" t="str">
        <f aca="false">IF(OR($I505="",$I505="?",$D505&lt;&gt;"Advance",$B505=""),"",$I505&amp;"|"&amp;$J505&amp;"|"&amp;COUNTIFS($I$6:$I505,$I505,$J$6:$J505,$J505,$D$6:$D505,"Advance"))</f>
        <v/>
      </c>
      <c r="L505" s="29" t="str">
        <f aca="false">IF(OR($I505="",$I505="?",$B505=""),"",SUMPRODUCT((Weeks!$A$6:$A$58&lt;=$J505)*(Weeks!$Z$4:$AK$4=$I505)*Weeks!$Z$6:$AK$58)-SUMIFS($E$6:$E$1005,$I$6:$I$1005,$I505,$B$6:$B$1005,"&lt;="&amp;$B505))</f>
        <v/>
      </c>
      <c r="M505" s="19" t="str">
        <f aca="false">IF($B505&amp;$C505&amp;$D505&amp;$E505="","",IF($B505="","missing date",IF($C505="","missing worker",IF($I505="?","unknown worker - was the name changed on Workers?",IF($D505="","missing type",IF(N($E505)=0,"missing amount",IF(AND($E505&lt;0,$D505&lt;&gt;"Correction"),"negative amount - use a Correction to undo",IF(OR($B505&lt;Weeks!$A$6,$B505&gt;Weeks!$B$58),"date outside this workbook's year",IF(AND($D505="Advance",N($L505)&lt;0),"Warning: more than earned so far - worker now owes "&amp;ROUND(-$L505,0),"")))))))))</f>
        <v/>
      </c>
    </row>
    <row r="506" customFormat="false" ht="15" hidden="false" customHeight="false" outlineLevel="0" collapsed="false">
      <c r="A506" s="24" t="str">
        <f aca="false">IF($B506="","",ROW()-5)</f>
        <v/>
      </c>
      <c r="B506" s="25"/>
      <c r="C506" s="20"/>
      <c r="D506" s="26"/>
      <c r="E506" s="27"/>
      <c r="F506" s="20"/>
      <c r="G506" s="20"/>
      <c r="H506" s="26"/>
      <c r="I506" s="24" t="str">
        <f aca="false">IF($C506="","",IFERROR(INDEX(WorkerIDs,MATCH($C506,WorkerNames,0)),"?"))</f>
        <v/>
      </c>
      <c r="J506" s="18" t="str">
        <f aca="false">IF($B506="","",$B506-WEEKDAY($B506,2)+1)</f>
        <v/>
      </c>
      <c r="K506" s="28" t="str">
        <f aca="false">IF(OR($I506="",$I506="?",$D506&lt;&gt;"Advance",$B506=""),"",$I506&amp;"|"&amp;$J506&amp;"|"&amp;COUNTIFS($I$6:$I506,$I506,$J$6:$J506,$J506,$D$6:$D506,"Advance"))</f>
        <v/>
      </c>
      <c r="L506" s="29" t="str">
        <f aca="false">IF(OR($I506="",$I506="?",$B506=""),"",SUMPRODUCT((Weeks!$A$6:$A$58&lt;=$J506)*(Weeks!$Z$4:$AK$4=$I506)*Weeks!$Z$6:$AK$58)-SUMIFS($E$6:$E$1005,$I$6:$I$1005,$I506,$B$6:$B$1005,"&lt;="&amp;$B506))</f>
        <v/>
      </c>
      <c r="M506" s="19" t="str">
        <f aca="false">IF($B506&amp;$C506&amp;$D506&amp;$E506="","",IF($B506="","missing date",IF($C506="","missing worker",IF($I506="?","unknown worker - was the name changed on Workers?",IF($D506="","missing type",IF(N($E506)=0,"missing amount",IF(AND($E506&lt;0,$D506&lt;&gt;"Correction"),"negative amount - use a Correction to undo",IF(OR($B506&lt;Weeks!$A$6,$B506&gt;Weeks!$B$58),"date outside this workbook's year",IF(AND($D506="Advance",N($L506)&lt;0),"Warning: more than earned so far - worker now owes "&amp;ROUND(-$L506,0),"")))))))))</f>
        <v/>
      </c>
    </row>
    <row r="507" customFormat="false" ht="15" hidden="false" customHeight="false" outlineLevel="0" collapsed="false">
      <c r="A507" s="24" t="str">
        <f aca="false">IF($B507="","",ROW()-5)</f>
        <v/>
      </c>
      <c r="B507" s="25"/>
      <c r="C507" s="20"/>
      <c r="D507" s="26"/>
      <c r="E507" s="27"/>
      <c r="F507" s="20"/>
      <c r="G507" s="20"/>
      <c r="H507" s="26"/>
      <c r="I507" s="24" t="str">
        <f aca="false">IF($C507="","",IFERROR(INDEX(WorkerIDs,MATCH($C507,WorkerNames,0)),"?"))</f>
        <v/>
      </c>
      <c r="J507" s="18" t="str">
        <f aca="false">IF($B507="","",$B507-WEEKDAY($B507,2)+1)</f>
        <v/>
      </c>
      <c r="K507" s="28" t="str">
        <f aca="false">IF(OR($I507="",$I507="?",$D507&lt;&gt;"Advance",$B507=""),"",$I507&amp;"|"&amp;$J507&amp;"|"&amp;COUNTIFS($I$6:$I507,$I507,$J$6:$J507,$J507,$D$6:$D507,"Advance"))</f>
        <v/>
      </c>
      <c r="L507" s="29" t="str">
        <f aca="false">IF(OR($I507="",$I507="?",$B507=""),"",SUMPRODUCT((Weeks!$A$6:$A$58&lt;=$J507)*(Weeks!$Z$4:$AK$4=$I507)*Weeks!$Z$6:$AK$58)-SUMIFS($E$6:$E$1005,$I$6:$I$1005,$I507,$B$6:$B$1005,"&lt;="&amp;$B507))</f>
        <v/>
      </c>
      <c r="M507" s="19" t="str">
        <f aca="false">IF($B507&amp;$C507&amp;$D507&amp;$E507="","",IF($B507="","missing date",IF($C507="","missing worker",IF($I507="?","unknown worker - was the name changed on Workers?",IF($D507="","missing type",IF(N($E507)=0,"missing amount",IF(AND($E507&lt;0,$D507&lt;&gt;"Correction"),"negative amount - use a Correction to undo",IF(OR($B507&lt;Weeks!$A$6,$B507&gt;Weeks!$B$58),"date outside this workbook's year",IF(AND($D507="Advance",N($L507)&lt;0),"Warning: more than earned so far - worker now owes "&amp;ROUND(-$L507,0),"")))))))))</f>
        <v/>
      </c>
    </row>
    <row r="508" customFormat="false" ht="15" hidden="false" customHeight="false" outlineLevel="0" collapsed="false">
      <c r="A508" s="24" t="str">
        <f aca="false">IF($B508="","",ROW()-5)</f>
        <v/>
      </c>
      <c r="B508" s="25"/>
      <c r="C508" s="20"/>
      <c r="D508" s="26"/>
      <c r="E508" s="27"/>
      <c r="F508" s="20"/>
      <c r="G508" s="20"/>
      <c r="H508" s="26"/>
      <c r="I508" s="24" t="str">
        <f aca="false">IF($C508="","",IFERROR(INDEX(WorkerIDs,MATCH($C508,WorkerNames,0)),"?"))</f>
        <v/>
      </c>
      <c r="J508" s="18" t="str">
        <f aca="false">IF($B508="","",$B508-WEEKDAY($B508,2)+1)</f>
        <v/>
      </c>
      <c r="K508" s="28" t="str">
        <f aca="false">IF(OR($I508="",$I508="?",$D508&lt;&gt;"Advance",$B508=""),"",$I508&amp;"|"&amp;$J508&amp;"|"&amp;COUNTIFS($I$6:$I508,$I508,$J$6:$J508,$J508,$D$6:$D508,"Advance"))</f>
        <v/>
      </c>
      <c r="L508" s="29" t="str">
        <f aca="false">IF(OR($I508="",$I508="?",$B508=""),"",SUMPRODUCT((Weeks!$A$6:$A$58&lt;=$J508)*(Weeks!$Z$4:$AK$4=$I508)*Weeks!$Z$6:$AK$58)-SUMIFS($E$6:$E$1005,$I$6:$I$1005,$I508,$B$6:$B$1005,"&lt;="&amp;$B508))</f>
        <v/>
      </c>
      <c r="M508" s="19" t="str">
        <f aca="false">IF($B508&amp;$C508&amp;$D508&amp;$E508="","",IF($B508="","missing date",IF($C508="","missing worker",IF($I508="?","unknown worker - was the name changed on Workers?",IF($D508="","missing type",IF(N($E508)=0,"missing amount",IF(AND($E508&lt;0,$D508&lt;&gt;"Correction"),"negative amount - use a Correction to undo",IF(OR($B508&lt;Weeks!$A$6,$B508&gt;Weeks!$B$58),"date outside this workbook's year",IF(AND($D508="Advance",N($L508)&lt;0),"Warning: more than earned so far - worker now owes "&amp;ROUND(-$L508,0),"")))))))))</f>
        <v/>
      </c>
    </row>
    <row r="509" customFormat="false" ht="15" hidden="false" customHeight="false" outlineLevel="0" collapsed="false">
      <c r="A509" s="24" t="str">
        <f aca="false">IF($B509="","",ROW()-5)</f>
        <v/>
      </c>
      <c r="B509" s="25"/>
      <c r="C509" s="20"/>
      <c r="D509" s="26"/>
      <c r="E509" s="27"/>
      <c r="F509" s="20"/>
      <c r="G509" s="20"/>
      <c r="H509" s="26"/>
      <c r="I509" s="24" t="str">
        <f aca="false">IF($C509="","",IFERROR(INDEX(WorkerIDs,MATCH($C509,WorkerNames,0)),"?"))</f>
        <v/>
      </c>
      <c r="J509" s="18" t="str">
        <f aca="false">IF($B509="","",$B509-WEEKDAY($B509,2)+1)</f>
        <v/>
      </c>
      <c r="K509" s="28" t="str">
        <f aca="false">IF(OR($I509="",$I509="?",$D509&lt;&gt;"Advance",$B509=""),"",$I509&amp;"|"&amp;$J509&amp;"|"&amp;COUNTIFS($I$6:$I509,$I509,$J$6:$J509,$J509,$D$6:$D509,"Advance"))</f>
        <v/>
      </c>
      <c r="L509" s="29" t="str">
        <f aca="false">IF(OR($I509="",$I509="?",$B509=""),"",SUMPRODUCT((Weeks!$A$6:$A$58&lt;=$J509)*(Weeks!$Z$4:$AK$4=$I509)*Weeks!$Z$6:$AK$58)-SUMIFS($E$6:$E$1005,$I$6:$I$1005,$I509,$B$6:$B$1005,"&lt;="&amp;$B509))</f>
        <v/>
      </c>
      <c r="M509" s="19" t="str">
        <f aca="false">IF($B509&amp;$C509&amp;$D509&amp;$E509="","",IF($B509="","missing date",IF($C509="","missing worker",IF($I509="?","unknown worker - was the name changed on Workers?",IF($D509="","missing type",IF(N($E509)=0,"missing amount",IF(AND($E509&lt;0,$D509&lt;&gt;"Correction"),"negative amount - use a Correction to undo",IF(OR($B509&lt;Weeks!$A$6,$B509&gt;Weeks!$B$58),"date outside this workbook's year",IF(AND($D509="Advance",N($L509)&lt;0),"Warning: more than earned so far - worker now owes "&amp;ROUND(-$L509,0),"")))))))))</f>
        <v/>
      </c>
    </row>
    <row r="510" customFormat="false" ht="15" hidden="false" customHeight="false" outlineLevel="0" collapsed="false">
      <c r="A510" s="24" t="str">
        <f aca="false">IF($B510="","",ROW()-5)</f>
        <v/>
      </c>
      <c r="B510" s="25"/>
      <c r="C510" s="20"/>
      <c r="D510" s="26"/>
      <c r="E510" s="27"/>
      <c r="F510" s="20"/>
      <c r="G510" s="20"/>
      <c r="H510" s="26"/>
      <c r="I510" s="24" t="str">
        <f aca="false">IF($C510="","",IFERROR(INDEX(WorkerIDs,MATCH($C510,WorkerNames,0)),"?"))</f>
        <v/>
      </c>
      <c r="J510" s="18" t="str">
        <f aca="false">IF($B510="","",$B510-WEEKDAY($B510,2)+1)</f>
        <v/>
      </c>
      <c r="K510" s="28" t="str">
        <f aca="false">IF(OR($I510="",$I510="?",$D510&lt;&gt;"Advance",$B510=""),"",$I510&amp;"|"&amp;$J510&amp;"|"&amp;COUNTIFS($I$6:$I510,$I510,$J$6:$J510,$J510,$D$6:$D510,"Advance"))</f>
        <v/>
      </c>
      <c r="L510" s="29" t="str">
        <f aca="false">IF(OR($I510="",$I510="?",$B510=""),"",SUMPRODUCT((Weeks!$A$6:$A$58&lt;=$J510)*(Weeks!$Z$4:$AK$4=$I510)*Weeks!$Z$6:$AK$58)-SUMIFS($E$6:$E$1005,$I$6:$I$1005,$I510,$B$6:$B$1005,"&lt;="&amp;$B510))</f>
        <v/>
      </c>
      <c r="M510" s="19" t="str">
        <f aca="false">IF($B510&amp;$C510&amp;$D510&amp;$E510="","",IF($B510="","missing date",IF($C510="","missing worker",IF($I510="?","unknown worker - was the name changed on Workers?",IF($D510="","missing type",IF(N($E510)=0,"missing amount",IF(AND($E510&lt;0,$D510&lt;&gt;"Correction"),"negative amount - use a Correction to undo",IF(OR($B510&lt;Weeks!$A$6,$B510&gt;Weeks!$B$58),"date outside this workbook's year",IF(AND($D510="Advance",N($L510)&lt;0),"Warning: more than earned so far - worker now owes "&amp;ROUND(-$L510,0),"")))))))))</f>
        <v/>
      </c>
    </row>
    <row r="511" customFormat="false" ht="15" hidden="false" customHeight="false" outlineLevel="0" collapsed="false">
      <c r="A511" s="24" t="str">
        <f aca="false">IF($B511="","",ROW()-5)</f>
        <v/>
      </c>
      <c r="B511" s="25"/>
      <c r="C511" s="20"/>
      <c r="D511" s="26"/>
      <c r="E511" s="27"/>
      <c r="F511" s="20"/>
      <c r="G511" s="20"/>
      <c r="H511" s="26"/>
      <c r="I511" s="24" t="str">
        <f aca="false">IF($C511="","",IFERROR(INDEX(WorkerIDs,MATCH($C511,WorkerNames,0)),"?"))</f>
        <v/>
      </c>
      <c r="J511" s="18" t="str">
        <f aca="false">IF($B511="","",$B511-WEEKDAY($B511,2)+1)</f>
        <v/>
      </c>
      <c r="K511" s="28" t="str">
        <f aca="false">IF(OR($I511="",$I511="?",$D511&lt;&gt;"Advance",$B511=""),"",$I511&amp;"|"&amp;$J511&amp;"|"&amp;COUNTIFS($I$6:$I511,$I511,$J$6:$J511,$J511,$D$6:$D511,"Advance"))</f>
        <v/>
      </c>
      <c r="L511" s="29" t="str">
        <f aca="false">IF(OR($I511="",$I511="?",$B511=""),"",SUMPRODUCT((Weeks!$A$6:$A$58&lt;=$J511)*(Weeks!$Z$4:$AK$4=$I511)*Weeks!$Z$6:$AK$58)-SUMIFS($E$6:$E$1005,$I$6:$I$1005,$I511,$B$6:$B$1005,"&lt;="&amp;$B511))</f>
        <v/>
      </c>
      <c r="M511" s="19" t="str">
        <f aca="false">IF($B511&amp;$C511&amp;$D511&amp;$E511="","",IF($B511="","missing date",IF($C511="","missing worker",IF($I511="?","unknown worker - was the name changed on Workers?",IF($D511="","missing type",IF(N($E511)=0,"missing amount",IF(AND($E511&lt;0,$D511&lt;&gt;"Correction"),"negative amount - use a Correction to undo",IF(OR($B511&lt;Weeks!$A$6,$B511&gt;Weeks!$B$58),"date outside this workbook's year",IF(AND($D511="Advance",N($L511)&lt;0),"Warning: more than earned so far - worker now owes "&amp;ROUND(-$L511,0),"")))))))))</f>
        <v/>
      </c>
    </row>
    <row r="512" customFormat="false" ht="15" hidden="false" customHeight="false" outlineLevel="0" collapsed="false">
      <c r="A512" s="24" t="str">
        <f aca="false">IF($B512="","",ROW()-5)</f>
        <v/>
      </c>
      <c r="B512" s="25"/>
      <c r="C512" s="20"/>
      <c r="D512" s="26"/>
      <c r="E512" s="27"/>
      <c r="F512" s="20"/>
      <c r="G512" s="20"/>
      <c r="H512" s="26"/>
      <c r="I512" s="24" t="str">
        <f aca="false">IF($C512="","",IFERROR(INDEX(WorkerIDs,MATCH($C512,WorkerNames,0)),"?"))</f>
        <v/>
      </c>
      <c r="J512" s="18" t="str">
        <f aca="false">IF($B512="","",$B512-WEEKDAY($B512,2)+1)</f>
        <v/>
      </c>
      <c r="K512" s="28" t="str">
        <f aca="false">IF(OR($I512="",$I512="?",$D512&lt;&gt;"Advance",$B512=""),"",$I512&amp;"|"&amp;$J512&amp;"|"&amp;COUNTIFS($I$6:$I512,$I512,$J$6:$J512,$J512,$D$6:$D512,"Advance"))</f>
        <v/>
      </c>
      <c r="L512" s="29" t="str">
        <f aca="false">IF(OR($I512="",$I512="?",$B512=""),"",SUMPRODUCT((Weeks!$A$6:$A$58&lt;=$J512)*(Weeks!$Z$4:$AK$4=$I512)*Weeks!$Z$6:$AK$58)-SUMIFS($E$6:$E$1005,$I$6:$I$1005,$I512,$B$6:$B$1005,"&lt;="&amp;$B512))</f>
        <v/>
      </c>
      <c r="M512" s="19" t="str">
        <f aca="false">IF($B512&amp;$C512&amp;$D512&amp;$E512="","",IF($B512="","missing date",IF($C512="","missing worker",IF($I512="?","unknown worker - was the name changed on Workers?",IF($D512="","missing type",IF(N($E512)=0,"missing amount",IF(AND($E512&lt;0,$D512&lt;&gt;"Correction"),"negative amount - use a Correction to undo",IF(OR($B512&lt;Weeks!$A$6,$B512&gt;Weeks!$B$58),"date outside this workbook's year",IF(AND($D512="Advance",N($L512)&lt;0),"Warning: more than earned so far - worker now owes "&amp;ROUND(-$L512,0),"")))))))))</f>
        <v/>
      </c>
    </row>
    <row r="513" customFormat="false" ht="15" hidden="false" customHeight="false" outlineLevel="0" collapsed="false">
      <c r="A513" s="24" t="str">
        <f aca="false">IF($B513="","",ROW()-5)</f>
        <v/>
      </c>
      <c r="B513" s="25"/>
      <c r="C513" s="20"/>
      <c r="D513" s="26"/>
      <c r="E513" s="27"/>
      <c r="F513" s="20"/>
      <c r="G513" s="20"/>
      <c r="H513" s="26"/>
      <c r="I513" s="24" t="str">
        <f aca="false">IF($C513="","",IFERROR(INDEX(WorkerIDs,MATCH($C513,WorkerNames,0)),"?"))</f>
        <v/>
      </c>
      <c r="J513" s="18" t="str">
        <f aca="false">IF($B513="","",$B513-WEEKDAY($B513,2)+1)</f>
        <v/>
      </c>
      <c r="K513" s="28" t="str">
        <f aca="false">IF(OR($I513="",$I513="?",$D513&lt;&gt;"Advance",$B513=""),"",$I513&amp;"|"&amp;$J513&amp;"|"&amp;COUNTIFS($I$6:$I513,$I513,$J$6:$J513,$J513,$D$6:$D513,"Advance"))</f>
        <v/>
      </c>
      <c r="L513" s="29" t="str">
        <f aca="false">IF(OR($I513="",$I513="?",$B513=""),"",SUMPRODUCT((Weeks!$A$6:$A$58&lt;=$J513)*(Weeks!$Z$4:$AK$4=$I513)*Weeks!$Z$6:$AK$58)-SUMIFS($E$6:$E$1005,$I$6:$I$1005,$I513,$B$6:$B$1005,"&lt;="&amp;$B513))</f>
        <v/>
      </c>
      <c r="M513" s="19" t="str">
        <f aca="false">IF($B513&amp;$C513&amp;$D513&amp;$E513="","",IF($B513="","missing date",IF($C513="","missing worker",IF($I513="?","unknown worker - was the name changed on Workers?",IF($D513="","missing type",IF(N($E513)=0,"missing amount",IF(AND($E513&lt;0,$D513&lt;&gt;"Correction"),"negative amount - use a Correction to undo",IF(OR($B513&lt;Weeks!$A$6,$B513&gt;Weeks!$B$58),"date outside this workbook's year",IF(AND($D513="Advance",N($L513)&lt;0),"Warning: more than earned so far - worker now owes "&amp;ROUND(-$L513,0),"")))))))))</f>
        <v/>
      </c>
    </row>
    <row r="514" customFormat="false" ht="15" hidden="false" customHeight="false" outlineLevel="0" collapsed="false">
      <c r="A514" s="24" t="str">
        <f aca="false">IF($B514="","",ROW()-5)</f>
        <v/>
      </c>
      <c r="B514" s="25"/>
      <c r="C514" s="20"/>
      <c r="D514" s="26"/>
      <c r="E514" s="27"/>
      <c r="F514" s="20"/>
      <c r="G514" s="20"/>
      <c r="H514" s="26"/>
      <c r="I514" s="24" t="str">
        <f aca="false">IF($C514="","",IFERROR(INDEX(WorkerIDs,MATCH($C514,WorkerNames,0)),"?"))</f>
        <v/>
      </c>
      <c r="J514" s="18" t="str">
        <f aca="false">IF($B514="","",$B514-WEEKDAY($B514,2)+1)</f>
        <v/>
      </c>
      <c r="K514" s="28" t="str">
        <f aca="false">IF(OR($I514="",$I514="?",$D514&lt;&gt;"Advance",$B514=""),"",$I514&amp;"|"&amp;$J514&amp;"|"&amp;COUNTIFS($I$6:$I514,$I514,$J$6:$J514,$J514,$D$6:$D514,"Advance"))</f>
        <v/>
      </c>
      <c r="L514" s="29" t="str">
        <f aca="false">IF(OR($I514="",$I514="?",$B514=""),"",SUMPRODUCT((Weeks!$A$6:$A$58&lt;=$J514)*(Weeks!$Z$4:$AK$4=$I514)*Weeks!$Z$6:$AK$58)-SUMIFS($E$6:$E$1005,$I$6:$I$1005,$I514,$B$6:$B$1005,"&lt;="&amp;$B514))</f>
        <v/>
      </c>
      <c r="M514" s="19" t="str">
        <f aca="false">IF($B514&amp;$C514&amp;$D514&amp;$E514="","",IF($B514="","missing date",IF($C514="","missing worker",IF($I514="?","unknown worker - was the name changed on Workers?",IF($D514="","missing type",IF(N($E514)=0,"missing amount",IF(AND($E514&lt;0,$D514&lt;&gt;"Correction"),"negative amount - use a Correction to undo",IF(OR($B514&lt;Weeks!$A$6,$B514&gt;Weeks!$B$58),"date outside this workbook's year",IF(AND($D514="Advance",N($L514)&lt;0),"Warning: more than earned so far - worker now owes "&amp;ROUND(-$L514,0),"")))))))))</f>
        <v/>
      </c>
    </row>
    <row r="515" customFormat="false" ht="15" hidden="false" customHeight="false" outlineLevel="0" collapsed="false">
      <c r="A515" s="24" t="str">
        <f aca="false">IF($B515="","",ROW()-5)</f>
        <v/>
      </c>
      <c r="B515" s="25"/>
      <c r="C515" s="20"/>
      <c r="D515" s="26"/>
      <c r="E515" s="27"/>
      <c r="F515" s="20"/>
      <c r="G515" s="20"/>
      <c r="H515" s="26"/>
      <c r="I515" s="24" t="str">
        <f aca="false">IF($C515="","",IFERROR(INDEX(WorkerIDs,MATCH($C515,WorkerNames,0)),"?"))</f>
        <v/>
      </c>
      <c r="J515" s="18" t="str">
        <f aca="false">IF($B515="","",$B515-WEEKDAY($B515,2)+1)</f>
        <v/>
      </c>
      <c r="K515" s="28" t="str">
        <f aca="false">IF(OR($I515="",$I515="?",$D515&lt;&gt;"Advance",$B515=""),"",$I515&amp;"|"&amp;$J515&amp;"|"&amp;COUNTIFS($I$6:$I515,$I515,$J$6:$J515,$J515,$D$6:$D515,"Advance"))</f>
        <v/>
      </c>
      <c r="L515" s="29" t="str">
        <f aca="false">IF(OR($I515="",$I515="?",$B515=""),"",SUMPRODUCT((Weeks!$A$6:$A$58&lt;=$J515)*(Weeks!$Z$4:$AK$4=$I515)*Weeks!$Z$6:$AK$58)-SUMIFS($E$6:$E$1005,$I$6:$I$1005,$I515,$B$6:$B$1005,"&lt;="&amp;$B515))</f>
        <v/>
      </c>
      <c r="M515" s="19" t="str">
        <f aca="false">IF($B515&amp;$C515&amp;$D515&amp;$E515="","",IF($B515="","missing date",IF($C515="","missing worker",IF($I515="?","unknown worker - was the name changed on Workers?",IF($D515="","missing type",IF(N($E515)=0,"missing amount",IF(AND($E515&lt;0,$D515&lt;&gt;"Correction"),"negative amount - use a Correction to undo",IF(OR($B515&lt;Weeks!$A$6,$B515&gt;Weeks!$B$58),"date outside this workbook's year",IF(AND($D515="Advance",N($L515)&lt;0),"Warning: more than earned so far - worker now owes "&amp;ROUND(-$L515,0),"")))))))))</f>
        <v/>
      </c>
    </row>
    <row r="516" customFormat="false" ht="15" hidden="false" customHeight="false" outlineLevel="0" collapsed="false">
      <c r="A516" s="24" t="str">
        <f aca="false">IF($B516="","",ROW()-5)</f>
        <v/>
      </c>
      <c r="B516" s="25"/>
      <c r="C516" s="20"/>
      <c r="D516" s="26"/>
      <c r="E516" s="27"/>
      <c r="F516" s="20"/>
      <c r="G516" s="20"/>
      <c r="H516" s="26"/>
      <c r="I516" s="24" t="str">
        <f aca="false">IF($C516="","",IFERROR(INDEX(WorkerIDs,MATCH($C516,WorkerNames,0)),"?"))</f>
        <v/>
      </c>
      <c r="J516" s="18" t="str">
        <f aca="false">IF($B516="","",$B516-WEEKDAY($B516,2)+1)</f>
        <v/>
      </c>
      <c r="K516" s="28" t="str">
        <f aca="false">IF(OR($I516="",$I516="?",$D516&lt;&gt;"Advance",$B516=""),"",$I516&amp;"|"&amp;$J516&amp;"|"&amp;COUNTIFS($I$6:$I516,$I516,$J$6:$J516,$J516,$D$6:$D516,"Advance"))</f>
        <v/>
      </c>
      <c r="L516" s="29" t="str">
        <f aca="false">IF(OR($I516="",$I516="?",$B516=""),"",SUMPRODUCT((Weeks!$A$6:$A$58&lt;=$J516)*(Weeks!$Z$4:$AK$4=$I516)*Weeks!$Z$6:$AK$58)-SUMIFS($E$6:$E$1005,$I$6:$I$1005,$I516,$B$6:$B$1005,"&lt;="&amp;$B516))</f>
        <v/>
      </c>
      <c r="M516" s="19" t="str">
        <f aca="false">IF($B516&amp;$C516&amp;$D516&amp;$E516="","",IF($B516="","missing date",IF($C516="","missing worker",IF($I516="?","unknown worker - was the name changed on Workers?",IF($D516="","missing type",IF(N($E516)=0,"missing amount",IF(AND($E516&lt;0,$D516&lt;&gt;"Correction"),"negative amount - use a Correction to undo",IF(OR($B516&lt;Weeks!$A$6,$B516&gt;Weeks!$B$58),"date outside this workbook's year",IF(AND($D516="Advance",N($L516)&lt;0),"Warning: more than earned so far - worker now owes "&amp;ROUND(-$L516,0),"")))))))))</f>
        <v/>
      </c>
    </row>
    <row r="517" customFormat="false" ht="15" hidden="false" customHeight="false" outlineLevel="0" collapsed="false">
      <c r="A517" s="24" t="str">
        <f aca="false">IF($B517="","",ROW()-5)</f>
        <v/>
      </c>
      <c r="B517" s="25"/>
      <c r="C517" s="20"/>
      <c r="D517" s="26"/>
      <c r="E517" s="27"/>
      <c r="F517" s="20"/>
      <c r="G517" s="20"/>
      <c r="H517" s="26"/>
      <c r="I517" s="24" t="str">
        <f aca="false">IF($C517="","",IFERROR(INDEX(WorkerIDs,MATCH($C517,WorkerNames,0)),"?"))</f>
        <v/>
      </c>
      <c r="J517" s="18" t="str">
        <f aca="false">IF($B517="","",$B517-WEEKDAY($B517,2)+1)</f>
        <v/>
      </c>
      <c r="K517" s="28" t="str">
        <f aca="false">IF(OR($I517="",$I517="?",$D517&lt;&gt;"Advance",$B517=""),"",$I517&amp;"|"&amp;$J517&amp;"|"&amp;COUNTIFS($I$6:$I517,$I517,$J$6:$J517,$J517,$D$6:$D517,"Advance"))</f>
        <v/>
      </c>
      <c r="L517" s="29" t="str">
        <f aca="false">IF(OR($I517="",$I517="?",$B517=""),"",SUMPRODUCT((Weeks!$A$6:$A$58&lt;=$J517)*(Weeks!$Z$4:$AK$4=$I517)*Weeks!$Z$6:$AK$58)-SUMIFS($E$6:$E$1005,$I$6:$I$1005,$I517,$B$6:$B$1005,"&lt;="&amp;$B517))</f>
        <v/>
      </c>
      <c r="M517" s="19" t="str">
        <f aca="false">IF($B517&amp;$C517&amp;$D517&amp;$E517="","",IF($B517="","missing date",IF($C517="","missing worker",IF($I517="?","unknown worker - was the name changed on Workers?",IF($D517="","missing type",IF(N($E517)=0,"missing amount",IF(AND($E517&lt;0,$D517&lt;&gt;"Correction"),"negative amount - use a Correction to undo",IF(OR($B517&lt;Weeks!$A$6,$B517&gt;Weeks!$B$58),"date outside this workbook's year",IF(AND($D517="Advance",N($L517)&lt;0),"Warning: more than earned so far - worker now owes "&amp;ROUND(-$L517,0),"")))))))))</f>
        <v/>
      </c>
    </row>
    <row r="518" customFormat="false" ht="15" hidden="false" customHeight="false" outlineLevel="0" collapsed="false">
      <c r="A518" s="24" t="str">
        <f aca="false">IF($B518="","",ROW()-5)</f>
        <v/>
      </c>
      <c r="B518" s="25"/>
      <c r="C518" s="20"/>
      <c r="D518" s="26"/>
      <c r="E518" s="27"/>
      <c r="F518" s="20"/>
      <c r="G518" s="20"/>
      <c r="H518" s="26"/>
      <c r="I518" s="24" t="str">
        <f aca="false">IF($C518="","",IFERROR(INDEX(WorkerIDs,MATCH($C518,WorkerNames,0)),"?"))</f>
        <v/>
      </c>
      <c r="J518" s="18" t="str">
        <f aca="false">IF($B518="","",$B518-WEEKDAY($B518,2)+1)</f>
        <v/>
      </c>
      <c r="K518" s="28" t="str">
        <f aca="false">IF(OR($I518="",$I518="?",$D518&lt;&gt;"Advance",$B518=""),"",$I518&amp;"|"&amp;$J518&amp;"|"&amp;COUNTIFS($I$6:$I518,$I518,$J$6:$J518,$J518,$D$6:$D518,"Advance"))</f>
        <v/>
      </c>
      <c r="L518" s="29" t="str">
        <f aca="false">IF(OR($I518="",$I518="?",$B518=""),"",SUMPRODUCT((Weeks!$A$6:$A$58&lt;=$J518)*(Weeks!$Z$4:$AK$4=$I518)*Weeks!$Z$6:$AK$58)-SUMIFS($E$6:$E$1005,$I$6:$I$1005,$I518,$B$6:$B$1005,"&lt;="&amp;$B518))</f>
        <v/>
      </c>
      <c r="M518" s="19" t="str">
        <f aca="false">IF($B518&amp;$C518&amp;$D518&amp;$E518="","",IF($B518="","missing date",IF($C518="","missing worker",IF($I518="?","unknown worker - was the name changed on Workers?",IF($D518="","missing type",IF(N($E518)=0,"missing amount",IF(AND($E518&lt;0,$D518&lt;&gt;"Correction"),"negative amount - use a Correction to undo",IF(OR($B518&lt;Weeks!$A$6,$B518&gt;Weeks!$B$58),"date outside this workbook's year",IF(AND($D518="Advance",N($L518)&lt;0),"Warning: more than earned so far - worker now owes "&amp;ROUND(-$L518,0),"")))))))))</f>
        <v/>
      </c>
    </row>
    <row r="519" customFormat="false" ht="15" hidden="false" customHeight="false" outlineLevel="0" collapsed="false">
      <c r="A519" s="24" t="str">
        <f aca="false">IF($B519="","",ROW()-5)</f>
        <v/>
      </c>
      <c r="B519" s="25"/>
      <c r="C519" s="20"/>
      <c r="D519" s="26"/>
      <c r="E519" s="27"/>
      <c r="F519" s="20"/>
      <c r="G519" s="20"/>
      <c r="H519" s="26"/>
      <c r="I519" s="24" t="str">
        <f aca="false">IF($C519="","",IFERROR(INDEX(WorkerIDs,MATCH($C519,WorkerNames,0)),"?"))</f>
        <v/>
      </c>
      <c r="J519" s="18" t="str">
        <f aca="false">IF($B519="","",$B519-WEEKDAY($B519,2)+1)</f>
        <v/>
      </c>
      <c r="K519" s="28" t="str">
        <f aca="false">IF(OR($I519="",$I519="?",$D519&lt;&gt;"Advance",$B519=""),"",$I519&amp;"|"&amp;$J519&amp;"|"&amp;COUNTIFS($I$6:$I519,$I519,$J$6:$J519,$J519,$D$6:$D519,"Advance"))</f>
        <v/>
      </c>
      <c r="L519" s="29" t="str">
        <f aca="false">IF(OR($I519="",$I519="?",$B519=""),"",SUMPRODUCT((Weeks!$A$6:$A$58&lt;=$J519)*(Weeks!$Z$4:$AK$4=$I519)*Weeks!$Z$6:$AK$58)-SUMIFS($E$6:$E$1005,$I$6:$I$1005,$I519,$B$6:$B$1005,"&lt;="&amp;$B519))</f>
        <v/>
      </c>
      <c r="M519" s="19" t="str">
        <f aca="false">IF($B519&amp;$C519&amp;$D519&amp;$E519="","",IF($B519="","missing date",IF($C519="","missing worker",IF($I519="?","unknown worker - was the name changed on Workers?",IF($D519="","missing type",IF(N($E519)=0,"missing amount",IF(AND($E519&lt;0,$D519&lt;&gt;"Correction"),"negative amount - use a Correction to undo",IF(OR($B519&lt;Weeks!$A$6,$B519&gt;Weeks!$B$58),"date outside this workbook's year",IF(AND($D519="Advance",N($L519)&lt;0),"Warning: more than earned so far - worker now owes "&amp;ROUND(-$L519,0),"")))))))))</f>
        <v/>
      </c>
    </row>
    <row r="520" customFormat="false" ht="15" hidden="false" customHeight="false" outlineLevel="0" collapsed="false">
      <c r="A520" s="24" t="str">
        <f aca="false">IF($B520="","",ROW()-5)</f>
        <v/>
      </c>
      <c r="B520" s="25"/>
      <c r="C520" s="20"/>
      <c r="D520" s="26"/>
      <c r="E520" s="27"/>
      <c r="F520" s="20"/>
      <c r="G520" s="20"/>
      <c r="H520" s="26"/>
      <c r="I520" s="24" t="str">
        <f aca="false">IF($C520="","",IFERROR(INDEX(WorkerIDs,MATCH($C520,WorkerNames,0)),"?"))</f>
        <v/>
      </c>
      <c r="J520" s="18" t="str">
        <f aca="false">IF($B520="","",$B520-WEEKDAY($B520,2)+1)</f>
        <v/>
      </c>
      <c r="K520" s="28" t="str">
        <f aca="false">IF(OR($I520="",$I520="?",$D520&lt;&gt;"Advance",$B520=""),"",$I520&amp;"|"&amp;$J520&amp;"|"&amp;COUNTIFS($I$6:$I520,$I520,$J$6:$J520,$J520,$D$6:$D520,"Advance"))</f>
        <v/>
      </c>
      <c r="L520" s="29" t="str">
        <f aca="false">IF(OR($I520="",$I520="?",$B520=""),"",SUMPRODUCT((Weeks!$A$6:$A$58&lt;=$J520)*(Weeks!$Z$4:$AK$4=$I520)*Weeks!$Z$6:$AK$58)-SUMIFS($E$6:$E$1005,$I$6:$I$1005,$I520,$B$6:$B$1005,"&lt;="&amp;$B520))</f>
        <v/>
      </c>
      <c r="M520" s="19" t="str">
        <f aca="false">IF($B520&amp;$C520&amp;$D520&amp;$E520="","",IF($B520="","missing date",IF($C520="","missing worker",IF($I520="?","unknown worker - was the name changed on Workers?",IF($D520="","missing type",IF(N($E520)=0,"missing amount",IF(AND($E520&lt;0,$D520&lt;&gt;"Correction"),"negative amount - use a Correction to undo",IF(OR($B520&lt;Weeks!$A$6,$B520&gt;Weeks!$B$58),"date outside this workbook's year",IF(AND($D520="Advance",N($L520)&lt;0),"Warning: more than earned so far - worker now owes "&amp;ROUND(-$L520,0),"")))))))))</f>
        <v/>
      </c>
    </row>
    <row r="521" customFormat="false" ht="15" hidden="false" customHeight="false" outlineLevel="0" collapsed="false">
      <c r="A521" s="24" t="str">
        <f aca="false">IF($B521="","",ROW()-5)</f>
        <v/>
      </c>
      <c r="B521" s="25"/>
      <c r="C521" s="20"/>
      <c r="D521" s="26"/>
      <c r="E521" s="27"/>
      <c r="F521" s="20"/>
      <c r="G521" s="20"/>
      <c r="H521" s="26"/>
      <c r="I521" s="24" t="str">
        <f aca="false">IF($C521="","",IFERROR(INDEX(WorkerIDs,MATCH($C521,WorkerNames,0)),"?"))</f>
        <v/>
      </c>
      <c r="J521" s="18" t="str">
        <f aca="false">IF($B521="","",$B521-WEEKDAY($B521,2)+1)</f>
        <v/>
      </c>
      <c r="K521" s="28" t="str">
        <f aca="false">IF(OR($I521="",$I521="?",$D521&lt;&gt;"Advance",$B521=""),"",$I521&amp;"|"&amp;$J521&amp;"|"&amp;COUNTIFS($I$6:$I521,$I521,$J$6:$J521,$J521,$D$6:$D521,"Advance"))</f>
        <v/>
      </c>
      <c r="L521" s="29" t="str">
        <f aca="false">IF(OR($I521="",$I521="?",$B521=""),"",SUMPRODUCT((Weeks!$A$6:$A$58&lt;=$J521)*(Weeks!$Z$4:$AK$4=$I521)*Weeks!$Z$6:$AK$58)-SUMIFS($E$6:$E$1005,$I$6:$I$1005,$I521,$B$6:$B$1005,"&lt;="&amp;$B521))</f>
        <v/>
      </c>
      <c r="M521" s="19" t="str">
        <f aca="false">IF($B521&amp;$C521&amp;$D521&amp;$E521="","",IF($B521="","missing date",IF($C521="","missing worker",IF($I521="?","unknown worker - was the name changed on Workers?",IF($D521="","missing type",IF(N($E521)=0,"missing amount",IF(AND($E521&lt;0,$D521&lt;&gt;"Correction"),"negative amount - use a Correction to undo",IF(OR($B521&lt;Weeks!$A$6,$B521&gt;Weeks!$B$58),"date outside this workbook's year",IF(AND($D521="Advance",N($L521)&lt;0),"Warning: more than earned so far - worker now owes "&amp;ROUND(-$L521,0),"")))))))))</f>
        <v/>
      </c>
    </row>
    <row r="522" customFormat="false" ht="15" hidden="false" customHeight="false" outlineLevel="0" collapsed="false">
      <c r="A522" s="24" t="str">
        <f aca="false">IF($B522="","",ROW()-5)</f>
        <v/>
      </c>
      <c r="B522" s="25"/>
      <c r="C522" s="20"/>
      <c r="D522" s="26"/>
      <c r="E522" s="27"/>
      <c r="F522" s="20"/>
      <c r="G522" s="20"/>
      <c r="H522" s="26"/>
      <c r="I522" s="24" t="str">
        <f aca="false">IF($C522="","",IFERROR(INDEX(WorkerIDs,MATCH($C522,WorkerNames,0)),"?"))</f>
        <v/>
      </c>
      <c r="J522" s="18" t="str">
        <f aca="false">IF($B522="","",$B522-WEEKDAY($B522,2)+1)</f>
        <v/>
      </c>
      <c r="K522" s="28" t="str">
        <f aca="false">IF(OR($I522="",$I522="?",$D522&lt;&gt;"Advance",$B522=""),"",$I522&amp;"|"&amp;$J522&amp;"|"&amp;COUNTIFS($I$6:$I522,$I522,$J$6:$J522,$J522,$D$6:$D522,"Advance"))</f>
        <v/>
      </c>
      <c r="L522" s="29" t="str">
        <f aca="false">IF(OR($I522="",$I522="?",$B522=""),"",SUMPRODUCT((Weeks!$A$6:$A$58&lt;=$J522)*(Weeks!$Z$4:$AK$4=$I522)*Weeks!$Z$6:$AK$58)-SUMIFS($E$6:$E$1005,$I$6:$I$1005,$I522,$B$6:$B$1005,"&lt;="&amp;$B522))</f>
        <v/>
      </c>
      <c r="M522" s="19" t="str">
        <f aca="false">IF($B522&amp;$C522&amp;$D522&amp;$E522="","",IF($B522="","missing date",IF($C522="","missing worker",IF($I522="?","unknown worker - was the name changed on Workers?",IF($D522="","missing type",IF(N($E522)=0,"missing amount",IF(AND($E522&lt;0,$D522&lt;&gt;"Correction"),"negative amount - use a Correction to undo",IF(OR($B522&lt;Weeks!$A$6,$B522&gt;Weeks!$B$58),"date outside this workbook's year",IF(AND($D522="Advance",N($L522)&lt;0),"Warning: more than earned so far - worker now owes "&amp;ROUND(-$L522,0),"")))))))))</f>
        <v/>
      </c>
    </row>
    <row r="523" customFormat="false" ht="15" hidden="false" customHeight="false" outlineLevel="0" collapsed="false">
      <c r="A523" s="24" t="str">
        <f aca="false">IF($B523="","",ROW()-5)</f>
        <v/>
      </c>
      <c r="B523" s="25"/>
      <c r="C523" s="20"/>
      <c r="D523" s="26"/>
      <c r="E523" s="27"/>
      <c r="F523" s="20"/>
      <c r="G523" s="20"/>
      <c r="H523" s="26"/>
      <c r="I523" s="24" t="str">
        <f aca="false">IF($C523="","",IFERROR(INDEX(WorkerIDs,MATCH($C523,WorkerNames,0)),"?"))</f>
        <v/>
      </c>
      <c r="J523" s="18" t="str">
        <f aca="false">IF($B523="","",$B523-WEEKDAY($B523,2)+1)</f>
        <v/>
      </c>
      <c r="K523" s="28" t="str">
        <f aca="false">IF(OR($I523="",$I523="?",$D523&lt;&gt;"Advance",$B523=""),"",$I523&amp;"|"&amp;$J523&amp;"|"&amp;COUNTIFS($I$6:$I523,$I523,$J$6:$J523,$J523,$D$6:$D523,"Advance"))</f>
        <v/>
      </c>
      <c r="L523" s="29" t="str">
        <f aca="false">IF(OR($I523="",$I523="?",$B523=""),"",SUMPRODUCT((Weeks!$A$6:$A$58&lt;=$J523)*(Weeks!$Z$4:$AK$4=$I523)*Weeks!$Z$6:$AK$58)-SUMIFS($E$6:$E$1005,$I$6:$I$1005,$I523,$B$6:$B$1005,"&lt;="&amp;$B523))</f>
        <v/>
      </c>
      <c r="M523" s="19" t="str">
        <f aca="false">IF($B523&amp;$C523&amp;$D523&amp;$E523="","",IF($B523="","missing date",IF($C523="","missing worker",IF($I523="?","unknown worker - was the name changed on Workers?",IF($D523="","missing type",IF(N($E523)=0,"missing amount",IF(AND($E523&lt;0,$D523&lt;&gt;"Correction"),"negative amount - use a Correction to undo",IF(OR($B523&lt;Weeks!$A$6,$B523&gt;Weeks!$B$58),"date outside this workbook's year",IF(AND($D523="Advance",N($L523)&lt;0),"Warning: more than earned so far - worker now owes "&amp;ROUND(-$L523,0),"")))))))))</f>
        <v/>
      </c>
    </row>
    <row r="524" customFormat="false" ht="15" hidden="false" customHeight="false" outlineLevel="0" collapsed="false">
      <c r="A524" s="24" t="str">
        <f aca="false">IF($B524="","",ROW()-5)</f>
        <v/>
      </c>
      <c r="B524" s="25"/>
      <c r="C524" s="20"/>
      <c r="D524" s="26"/>
      <c r="E524" s="27"/>
      <c r="F524" s="20"/>
      <c r="G524" s="20"/>
      <c r="H524" s="26"/>
      <c r="I524" s="24" t="str">
        <f aca="false">IF($C524="","",IFERROR(INDEX(WorkerIDs,MATCH($C524,WorkerNames,0)),"?"))</f>
        <v/>
      </c>
      <c r="J524" s="18" t="str">
        <f aca="false">IF($B524="","",$B524-WEEKDAY($B524,2)+1)</f>
        <v/>
      </c>
      <c r="K524" s="28" t="str">
        <f aca="false">IF(OR($I524="",$I524="?",$D524&lt;&gt;"Advance",$B524=""),"",$I524&amp;"|"&amp;$J524&amp;"|"&amp;COUNTIFS($I$6:$I524,$I524,$J$6:$J524,$J524,$D$6:$D524,"Advance"))</f>
        <v/>
      </c>
      <c r="L524" s="29" t="str">
        <f aca="false">IF(OR($I524="",$I524="?",$B524=""),"",SUMPRODUCT((Weeks!$A$6:$A$58&lt;=$J524)*(Weeks!$Z$4:$AK$4=$I524)*Weeks!$Z$6:$AK$58)-SUMIFS($E$6:$E$1005,$I$6:$I$1005,$I524,$B$6:$B$1005,"&lt;="&amp;$B524))</f>
        <v/>
      </c>
      <c r="M524" s="19" t="str">
        <f aca="false">IF($B524&amp;$C524&amp;$D524&amp;$E524="","",IF($B524="","missing date",IF($C524="","missing worker",IF($I524="?","unknown worker - was the name changed on Workers?",IF($D524="","missing type",IF(N($E524)=0,"missing amount",IF(AND($E524&lt;0,$D524&lt;&gt;"Correction"),"negative amount - use a Correction to undo",IF(OR($B524&lt;Weeks!$A$6,$B524&gt;Weeks!$B$58),"date outside this workbook's year",IF(AND($D524="Advance",N($L524)&lt;0),"Warning: more than earned so far - worker now owes "&amp;ROUND(-$L524,0),"")))))))))</f>
        <v/>
      </c>
    </row>
    <row r="525" customFormat="false" ht="15" hidden="false" customHeight="false" outlineLevel="0" collapsed="false">
      <c r="A525" s="24" t="str">
        <f aca="false">IF($B525="","",ROW()-5)</f>
        <v/>
      </c>
      <c r="B525" s="25"/>
      <c r="C525" s="20"/>
      <c r="D525" s="26"/>
      <c r="E525" s="27"/>
      <c r="F525" s="20"/>
      <c r="G525" s="20"/>
      <c r="H525" s="26"/>
      <c r="I525" s="24" t="str">
        <f aca="false">IF($C525="","",IFERROR(INDEX(WorkerIDs,MATCH($C525,WorkerNames,0)),"?"))</f>
        <v/>
      </c>
      <c r="J525" s="18" t="str">
        <f aca="false">IF($B525="","",$B525-WEEKDAY($B525,2)+1)</f>
        <v/>
      </c>
      <c r="K525" s="28" t="str">
        <f aca="false">IF(OR($I525="",$I525="?",$D525&lt;&gt;"Advance",$B525=""),"",$I525&amp;"|"&amp;$J525&amp;"|"&amp;COUNTIFS($I$6:$I525,$I525,$J$6:$J525,$J525,$D$6:$D525,"Advance"))</f>
        <v/>
      </c>
      <c r="L525" s="29" t="str">
        <f aca="false">IF(OR($I525="",$I525="?",$B525=""),"",SUMPRODUCT((Weeks!$A$6:$A$58&lt;=$J525)*(Weeks!$Z$4:$AK$4=$I525)*Weeks!$Z$6:$AK$58)-SUMIFS($E$6:$E$1005,$I$6:$I$1005,$I525,$B$6:$B$1005,"&lt;="&amp;$B525))</f>
        <v/>
      </c>
      <c r="M525" s="19" t="str">
        <f aca="false">IF($B525&amp;$C525&amp;$D525&amp;$E525="","",IF($B525="","missing date",IF($C525="","missing worker",IF($I525="?","unknown worker - was the name changed on Workers?",IF($D525="","missing type",IF(N($E525)=0,"missing amount",IF(AND($E525&lt;0,$D525&lt;&gt;"Correction"),"negative amount - use a Correction to undo",IF(OR($B525&lt;Weeks!$A$6,$B525&gt;Weeks!$B$58),"date outside this workbook's year",IF(AND($D525="Advance",N($L525)&lt;0),"Warning: more than earned so far - worker now owes "&amp;ROUND(-$L525,0),"")))))))))</f>
        <v/>
      </c>
    </row>
    <row r="526" customFormat="false" ht="15" hidden="false" customHeight="false" outlineLevel="0" collapsed="false">
      <c r="A526" s="24" t="str">
        <f aca="false">IF($B526="","",ROW()-5)</f>
        <v/>
      </c>
      <c r="B526" s="25"/>
      <c r="C526" s="20"/>
      <c r="D526" s="26"/>
      <c r="E526" s="27"/>
      <c r="F526" s="20"/>
      <c r="G526" s="20"/>
      <c r="H526" s="26"/>
      <c r="I526" s="24" t="str">
        <f aca="false">IF($C526="","",IFERROR(INDEX(WorkerIDs,MATCH($C526,WorkerNames,0)),"?"))</f>
        <v/>
      </c>
      <c r="J526" s="18" t="str">
        <f aca="false">IF($B526="","",$B526-WEEKDAY($B526,2)+1)</f>
        <v/>
      </c>
      <c r="K526" s="28" t="str">
        <f aca="false">IF(OR($I526="",$I526="?",$D526&lt;&gt;"Advance",$B526=""),"",$I526&amp;"|"&amp;$J526&amp;"|"&amp;COUNTIFS($I$6:$I526,$I526,$J$6:$J526,$J526,$D$6:$D526,"Advance"))</f>
        <v/>
      </c>
      <c r="L526" s="29" t="str">
        <f aca="false">IF(OR($I526="",$I526="?",$B526=""),"",SUMPRODUCT((Weeks!$A$6:$A$58&lt;=$J526)*(Weeks!$Z$4:$AK$4=$I526)*Weeks!$Z$6:$AK$58)-SUMIFS($E$6:$E$1005,$I$6:$I$1005,$I526,$B$6:$B$1005,"&lt;="&amp;$B526))</f>
        <v/>
      </c>
      <c r="M526" s="19" t="str">
        <f aca="false">IF($B526&amp;$C526&amp;$D526&amp;$E526="","",IF($B526="","missing date",IF($C526="","missing worker",IF($I526="?","unknown worker - was the name changed on Workers?",IF($D526="","missing type",IF(N($E526)=0,"missing amount",IF(AND($E526&lt;0,$D526&lt;&gt;"Correction"),"negative amount - use a Correction to undo",IF(OR($B526&lt;Weeks!$A$6,$B526&gt;Weeks!$B$58),"date outside this workbook's year",IF(AND($D526="Advance",N($L526)&lt;0),"Warning: more than earned so far - worker now owes "&amp;ROUND(-$L526,0),"")))))))))</f>
        <v/>
      </c>
    </row>
    <row r="527" customFormat="false" ht="15" hidden="false" customHeight="false" outlineLevel="0" collapsed="false">
      <c r="A527" s="24" t="str">
        <f aca="false">IF($B527="","",ROW()-5)</f>
        <v/>
      </c>
      <c r="B527" s="25"/>
      <c r="C527" s="20"/>
      <c r="D527" s="26"/>
      <c r="E527" s="27"/>
      <c r="F527" s="20"/>
      <c r="G527" s="20"/>
      <c r="H527" s="26"/>
      <c r="I527" s="24" t="str">
        <f aca="false">IF($C527="","",IFERROR(INDEX(WorkerIDs,MATCH($C527,WorkerNames,0)),"?"))</f>
        <v/>
      </c>
      <c r="J527" s="18" t="str">
        <f aca="false">IF($B527="","",$B527-WEEKDAY($B527,2)+1)</f>
        <v/>
      </c>
      <c r="K527" s="28" t="str">
        <f aca="false">IF(OR($I527="",$I527="?",$D527&lt;&gt;"Advance",$B527=""),"",$I527&amp;"|"&amp;$J527&amp;"|"&amp;COUNTIFS($I$6:$I527,$I527,$J$6:$J527,$J527,$D$6:$D527,"Advance"))</f>
        <v/>
      </c>
      <c r="L527" s="29" t="str">
        <f aca="false">IF(OR($I527="",$I527="?",$B527=""),"",SUMPRODUCT((Weeks!$A$6:$A$58&lt;=$J527)*(Weeks!$Z$4:$AK$4=$I527)*Weeks!$Z$6:$AK$58)-SUMIFS($E$6:$E$1005,$I$6:$I$1005,$I527,$B$6:$B$1005,"&lt;="&amp;$B527))</f>
        <v/>
      </c>
      <c r="M527" s="19" t="str">
        <f aca="false">IF($B527&amp;$C527&amp;$D527&amp;$E527="","",IF($B527="","missing date",IF($C527="","missing worker",IF($I527="?","unknown worker - was the name changed on Workers?",IF($D527="","missing type",IF(N($E527)=0,"missing amount",IF(AND($E527&lt;0,$D527&lt;&gt;"Correction"),"negative amount - use a Correction to undo",IF(OR($B527&lt;Weeks!$A$6,$B527&gt;Weeks!$B$58),"date outside this workbook's year",IF(AND($D527="Advance",N($L527)&lt;0),"Warning: more than earned so far - worker now owes "&amp;ROUND(-$L527,0),"")))))))))</f>
        <v/>
      </c>
    </row>
    <row r="528" customFormat="false" ht="15" hidden="false" customHeight="false" outlineLevel="0" collapsed="false">
      <c r="A528" s="24" t="str">
        <f aca="false">IF($B528="","",ROW()-5)</f>
        <v/>
      </c>
      <c r="B528" s="25"/>
      <c r="C528" s="20"/>
      <c r="D528" s="26"/>
      <c r="E528" s="27"/>
      <c r="F528" s="20"/>
      <c r="G528" s="20"/>
      <c r="H528" s="26"/>
      <c r="I528" s="24" t="str">
        <f aca="false">IF($C528="","",IFERROR(INDEX(WorkerIDs,MATCH($C528,WorkerNames,0)),"?"))</f>
        <v/>
      </c>
      <c r="J528" s="18" t="str">
        <f aca="false">IF($B528="","",$B528-WEEKDAY($B528,2)+1)</f>
        <v/>
      </c>
      <c r="K528" s="28" t="str">
        <f aca="false">IF(OR($I528="",$I528="?",$D528&lt;&gt;"Advance",$B528=""),"",$I528&amp;"|"&amp;$J528&amp;"|"&amp;COUNTIFS($I$6:$I528,$I528,$J$6:$J528,$J528,$D$6:$D528,"Advance"))</f>
        <v/>
      </c>
      <c r="L528" s="29" t="str">
        <f aca="false">IF(OR($I528="",$I528="?",$B528=""),"",SUMPRODUCT((Weeks!$A$6:$A$58&lt;=$J528)*(Weeks!$Z$4:$AK$4=$I528)*Weeks!$Z$6:$AK$58)-SUMIFS($E$6:$E$1005,$I$6:$I$1005,$I528,$B$6:$B$1005,"&lt;="&amp;$B528))</f>
        <v/>
      </c>
      <c r="M528" s="19" t="str">
        <f aca="false">IF($B528&amp;$C528&amp;$D528&amp;$E528="","",IF($B528="","missing date",IF($C528="","missing worker",IF($I528="?","unknown worker - was the name changed on Workers?",IF($D528="","missing type",IF(N($E528)=0,"missing amount",IF(AND($E528&lt;0,$D528&lt;&gt;"Correction"),"negative amount - use a Correction to undo",IF(OR($B528&lt;Weeks!$A$6,$B528&gt;Weeks!$B$58),"date outside this workbook's year",IF(AND($D528="Advance",N($L528)&lt;0),"Warning: more than earned so far - worker now owes "&amp;ROUND(-$L528,0),"")))))))))</f>
        <v/>
      </c>
    </row>
    <row r="529" customFormat="false" ht="15" hidden="false" customHeight="false" outlineLevel="0" collapsed="false">
      <c r="A529" s="24" t="str">
        <f aca="false">IF($B529="","",ROW()-5)</f>
        <v/>
      </c>
      <c r="B529" s="25"/>
      <c r="C529" s="20"/>
      <c r="D529" s="26"/>
      <c r="E529" s="27"/>
      <c r="F529" s="20"/>
      <c r="G529" s="20"/>
      <c r="H529" s="26"/>
      <c r="I529" s="24" t="str">
        <f aca="false">IF($C529="","",IFERROR(INDEX(WorkerIDs,MATCH($C529,WorkerNames,0)),"?"))</f>
        <v/>
      </c>
      <c r="J529" s="18" t="str">
        <f aca="false">IF($B529="","",$B529-WEEKDAY($B529,2)+1)</f>
        <v/>
      </c>
      <c r="K529" s="28" t="str">
        <f aca="false">IF(OR($I529="",$I529="?",$D529&lt;&gt;"Advance",$B529=""),"",$I529&amp;"|"&amp;$J529&amp;"|"&amp;COUNTIFS($I$6:$I529,$I529,$J$6:$J529,$J529,$D$6:$D529,"Advance"))</f>
        <v/>
      </c>
      <c r="L529" s="29" t="str">
        <f aca="false">IF(OR($I529="",$I529="?",$B529=""),"",SUMPRODUCT((Weeks!$A$6:$A$58&lt;=$J529)*(Weeks!$Z$4:$AK$4=$I529)*Weeks!$Z$6:$AK$58)-SUMIFS($E$6:$E$1005,$I$6:$I$1005,$I529,$B$6:$B$1005,"&lt;="&amp;$B529))</f>
        <v/>
      </c>
      <c r="M529" s="19" t="str">
        <f aca="false">IF($B529&amp;$C529&amp;$D529&amp;$E529="","",IF($B529="","missing date",IF($C529="","missing worker",IF($I529="?","unknown worker - was the name changed on Workers?",IF($D529="","missing type",IF(N($E529)=0,"missing amount",IF(AND($E529&lt;0,$D529&lt;&gt;"Correction"),"negative amount - use a Correction to undo",IF(OR($B529&lt;Weeks!$A$6,$B529&gt;Weeks!$B$58),"date outside this workbook's year",IF(AND($D529="Advance",N($L529)&lt;0),"Warning: more than earned so far - worker now owes "&amp;ROUND(-$L529,0),"")))))))))</f>
        <v/>
      </c>
    </row>
    <row r="530" customFormat="false" ht="15" hidden="false" customHeight="false" outlineLevel="0" collapsed="false">
      <c r="A530" s="24" t="str">
        <f aca="false">IF($B530="","",ROW()-5)</f>
        <v/>
      </c>
      <c r="B530" s="25"/>
      <c r="C530" s="20"/>
      <c r="D530" s="26"/>
      <c r="E530" s="27"/>
      <c r="F530" s="20"/>
      <c r="G530" s="20"/>
      <c r="H530" s="26"/>
      <c r="I530" s="24" t="str">
        <f aca="false">IF($C530="","",IFERROR(INDEX(WorkerIDs,MATCH($C530,WorkerNames,0)),"?"))</f>
        <v/>
      </c>
      <c r="J530" s="18" t="str">
        <f aca="false">IF($B530="","",$B530-WEEKDAY($B530,2)+1)</f>
        <v/>
      </c>
      <c r="K530" s="28" t="str">
        <f aca="false">IF(OR($I530="",$I530="?",$D530&lt;&gt;"Advance",$B530=""),"",$I530&amp;"|"&amp;$J530&amp;"|"&amp;COUNTIFS($I$6:$I530,$I530,$J$6:$J530,$J530,$D$6:$D530,"Advance"))</f>
        <v/>
      </c>
      <c r="L530" s="29" t="str">
        <f aca="false">IF(OR($I530="",$I530="?",$B530=""),"",SUMPRODUCT((Weeks!$A$6:$A$58&lt;=$J530)*(Weeks!$Z$4:$AK$4=$I530)*Weeks!$Z$6:$AK$58)-SUMIFS($E$6:$E$1005,$I$6:$I$1005,$I530,$B$6:$B$1005,"&lt;="&amp;$B530))</f>
        <v/>
      </c>
      <c r="M530" s="19" t="str">
        <f aca="false">IF($B530&amp;$C530&amp;$D530&amp;$E530="","",IF($B530="","missing date",IF($C530="","missing worker",IF($I530="?","unknown worker - was the name changed on Workers?",IF($D530="","missing type",IF(N($E530)=0,"missing amount",IF(AND($E530&lt;0,$D530&lt;&gt;"Correction"),"negative amount - use a Correction to undo",IF(OR($B530&lt;Weeks!$A$6,$B530&gt;Weeks!$B$58),"date outside this workbook's year",IF(AND($D530="Advance",N($L530)&lt;0),"Warning: more than earned so far - worker now owes "&amp;ROUND(-$L530,0),"")))))))))</f>
        <v/>
      </c>
    </row>
    <row r="531" customFormat="false" ht="15" hidden="false" customHeight="false" outlineLevel="0" collapsed="false">
      <c r="A531" s="24" t="str">
        <f aca="false">IF($B531="","",ROW()-5)</f>
        <v/>
      </c>
      <c r="B531" s="25"/>
      <c r="C531" s="20"/>
      <c r="D531" s="26"/>
      <c r="E531" s="27"/>
      <c r="F531" s="20"/>
      <c r="G531" s="20"/>
      <c r="H531" s="26"/>
      <c r="I531" s="24" t="str">
        <f aca="false">IF($C531="","",IFERROR(INDEX(WorkerIDs,MATCH($C531,WorkerNames,0)),"?"))</f>
        <v/>
      </c>
      <c r="J531" s="18" t="str">
        <f aca="false">IF($B531="","",$B531-WEEKDAY($B531,2)+1)</f>
        <v/>
      </c>
      <c r="K531" s="28" t="str">
        <f aca="false">IF(OR($I531="",$I531="?",$D531&lt;&gt;"Advance",$B531=""),"",$I531&amp;"|"&amp;$J531&amp;"|"&amp;COUNTIFS($I$6:$I531,$I531,$J$6:$J531,$J531,$D$6:$D531,"Advance"))</f>
        <v/>
      </c>
      <c r="L531" s="29" t="str">
        <f aca="false">IF(OR($I531="",$I531="?",$B531=""),"",SUMPRODUCT((Weeks!$A$6:$A$58&lt;=$J531)*(Weeks!$Z$4:$AK$4=$I531)*Weeks!$Z$6:$AK$58)-SUMIFS($E$6:$E$1005,$I$6:$I$1005,$I531,$B$6:$B$1005,"&lt;="&amp;$B531))</f>
        <v/>
      </c>
      <c r="M531" s="19" t="str">
        <f aca="false">IF($B531&amp;$C531&amp;$D531&amp;$E531="","",IF($B531="","missing date",IF($C531="","missing worker",IF($I531="?","unknown worker - was the name changed on Workers?",IF($D531="","missing type",IF(N($E531)=0,"missing amount",IF(AND($E531&lt;0,$D531&lt;&gt;"Correction"),"negative amount - use a Correction to undo",IF(OR($B531&lt;Weeks!$A$6,$B531&gt;Weeks!$B$58),"date outside this workbook's year",IF(AND($D531="Advance",N($L531)&lt;0),"Warning: more than earned so far - worker now owes "&amp;ROUND(-$L531,0),"")))))))))</f>
        <v/>
      </c>
    </row>
    <row r="532" customFormat="false" ht="15" hidden="false" customHeight="false" outlineLevel="0" collapsed="false">
      <c r="A532" s="24" t="str">
        <f aca="false">IF($B532="","",ROW()-5)</f>
        <v/>
      </c>
      <c r="B532" s="25"/>
      <c r="C532" s="20"/>
      <c r="D532" s="26"/>
      <c r="E532" s="27"/>
      <c r="F532" s="20"/>
      <c r="G532" s="20"/>
      <c r="H532" s="26"/>
      <c r="I532" s="24" t="str">
        <f aca="false">IF($C532="","",IFERROR(INDEX(WorkerIDs,MATCH($C532,WorkerNames,0)),"?"))</f>
        <v/>
      </c>
      <c r="J532" s="18" t="str">
        <f aca="false">IF($B532="","",$B532-WEEKDAY($B532,2)+1)</f>
        <v/>
      </c>
      <c r="K532" s="28" t="str">
        <f aca="false">IF(OR($I532="",$I532="?",$D532&lt;&gt;"Advance",$B532=""),"",$I532&amp;"|"&amp;$J532&amp;"|"&amp;COUNTIFS($I$6:$I532,$I532,$J$6:$J532,$J532,$D$6:$D532,"Advance"))</f>
        <v/>
      </c>
      <c r="L532" s="29" t="str">
        <f aca="false">IF(OR($I532="",$I532="?",$B532=""),"",SUMPRODUCT((Weeks!$A$6:$A$58&lt;=$J532)*(Weeks!$Z$4:$AK$4=$I532)*Weeks!$Z$6:$AK$58)-SUMIFS($E$6:$E$1005,$I$6:$I$1005,$I532,$B$6:$B$1005,"&lt;="&amp;$B532))</f>
        <v/>
      </c>
      <c r="M532" s="19" t="str">
        <f aca="false">IF($B532&amp;$C532&amp;$D532&amp;$E532="","",IF($B532="","missing date",IF($C532="","missing worker",IF($I532="?","unknown worker - was the name changed on Workers?",IF($D532="","missing type",IF(N($E532)=0,"missing amount",IF(AND($E532&lt;0,$D532&lt;&gt;"Correction"),"negative amount - use a Correction to undo",IF(OR($B532&lt;Weeks!$A$6,$B532&gt;Weeks!$B$58),"date outside this workbook's year",IF(AND($D532="Advance",N($L532)&lt;0),"Warning: more than earned so far - worker now owes "&amp;ROUND(-$L532,0),"")))))))))</f>
        <v/>
      </c>
    </row>
    <row r="533" customFormat="false" ht="15" hidden="false" customHeight="false" outlineLevel="0" collapsed="false">
      <c r="A533" s="24" t="str">
        <f aca="false">IF($B533="","",ROW()-5)</f>
        <v/>
      </c>
      <c r="B533" s="25"/>
      <c r="C533" s="20"/>
      <c r="D533" s="26"/>
      <c r="E533" s="27"/>
      <c r="F533" s="20"/>
      <c r="G533" s="20"/>
      <c r="H533" s="26"/>
      <c r="I533" s="24" t="str">
        <f aca="false">IF($C533="","",IFERROR(INDEX(WorkerIDs,MATCH($C533,WorkerNames,0)),"?"))</f>
        <v/>
      </c>
      <c r="J533" s="18" t="str">
        <f aca="false">IF($B533="","",$B533-WEEKDAY($B533,2)+1)</f>
        <v/>
      </c>
      <c r="K533" s="28" t="str">
        <f aca="false">IF(OR($I533="",$I533="?",$D533&lt;&gt;"Advance",$B533=""),"",$I533&amp;"|"&amp;$J533&amp;"|"&amp;COUNTIFS($I$6:$I533,$I533,$J$6:$J533,$J533,$D$6:$D533,"Advance"))</f>
        <v/>
      </c>
      <c r="L533" s="29" t="str">
        <f aca="false">IF(OR($I533="",$I533="?",$B533=""),"",SUMPRODUCT((Weeks!$A$6:$A$58&lt;=$J533)*(Weeks!$Z$4:$AK$4=$I533)*Weeks!$Z$6:$AK$58)-SUMIFS($E$6:$E$1005,$I$6:$I$1005,$I533,$B$6:$B$1005,"&lt;="&amp;$B533))</f>
        <v/>
      </c>
      <c r="M533" s="19" t="str">
        <f aca="false">IF($B533&amp;$C533&amp;$D533&amp;$E533="","",IF($B533="","missing date",IF($C533="","missing worker",IF($I533="?","unknown worker - was the name changed on Workers?",IF($D533="","missing type",IF(N($E533)=0,"missing amount",IF(AND($E533&lt;0,$D533&lt;&gt;"Correction"),"negative amount - use a Correction to undo",IF(OR($B533&lt;Weeks!$A$6,$B533&gt;Weeks!$B$58),"date outside this workbook's year",IF(AND($D533="Advance",N($L533)&lt;0),"Warning: more than earned so far - worker now owes "&amp;ROUND(-$L533,0),"")))))))))</f>
        <v/>
      </c>
    </row>
    <row r="534" customFormat="false" ht="15" hidden="false" customHeight="false" outlineLevel="0" collapsed="false">
      <c r="A534" s="24" t="str">
        <f aca="false">IF($B534="","",ROW()-5)</f>
        <v/>
      </c>
      <c r="B534" s="25"/>
      <c r="C534" s="20"/>
      <c r="D534" s="26"/>
      <c r="E534" s="27"/>
      <c r="F534" s="20"/>
      <c r="G534" s="20"/>
      <c r="H534" s="26"/>
      <c r="I534" s="24" t="str">
        <f aca="false">IF($C534="","",IFERROR(INDEX(WorkerIDs,MATCH($C534,WorkerNames,0)),"?"))</f>
        <v/>
      </c>
      <c r="J534" s="18" t="str">
        <f aca="false">IF($B534="","",$B534-WEEKDAY($B534,2)+1)</f>
        <v/>
      </c>
      <c r="K534" s="28" t="str">
        <f aca="false">IF(OR($I534="",$I534="?",$D534&lt;&gt;"Advance",$B534=""),"",$I534&amp;"|"&amp;$J534&amp;"|"&amp;COUNTIFS($I$6:$I534,$I534,$J$6:$J534,$J534,$D$6:$D534,"Advance"))</f>
        <v/>
      </c>
      <c r="L534" s="29" t="str">
        <f aca="false">IF(OR($I534="",$I534="?",$B534=""),"",SUMPRODUCT((Weeks!$A$6:$A$58&lt;=$J534)*(Weeks!$Z$4:$AK$4=$I534)*Weeks!$Z$6:$AK$58)-SUMIFS($E$6:$E$1005,$I$6:$I$1005,$I534,$B$6:$B$1005,"&lt;="&amp;$B534))</f>
        <v/>
      </c>
      <c r="M534" s="19" t="str">
        <f aca="false">IF($B534&amp;$C534&amp;$D534&amp;$E534="","",IF($B534="","missing date",IF($C534="","missing worker",IF($I534="?","unknown worker - was the name changed on Workers?",IF($D534="","missing type",IF(N($E534)=0,"missing amount",IF(AND($E534&lt;0,$D534&lt;&gt;"Correction"),"negative amount - use a Correction to undo",IF(OR($B534&lt;Weeks!$A$6,$B534&gt;Weeks!$B$58),"date outside this workbook's year",IF(AND($D534="Advance",N($L534)&lt;0),"Warning: more than earned so far - worker now owes "&amp;ROUND(-$L534,0),"")))))))))</f>
        <v/>
      </c>
    </row>
    <row r="535" customFormat="false" ht="15" hidden="false" customHeight="false" outlineLevel="0" collapsed="false">
      <c r="A535" s="24" t="str">
        <f aca="false">IF($B535="","",ROW()-5)</f>
        <v/>
      </c>
      <c r="B535" s="25"/>
      <c r="C535" s="20"/>
      <c r="D535" s="26"/>
      <c r="E535" s="27"/>
      <c r="F535" s="20"/>
      <c r="G535" s="20"/>
      <c r="H535" s="26"/>
      <c r="I535" s="24" t="str">
        <f aca="false">IF($C535="","",IFERROR(INDEX(WorkerIDs,MATCH($C535,WorkerNames,0)),"?"))</f>
        <v/>
      </c>
      <c r="J535" s="18" t="str">
        <f aca="false">IF($B535="","",$B535-WEEKDAY($B535,2)+1)</f>
        <v/>
      </c>
      <c r="K535" s="28" t="str">
        <f aca="false">IF(OR($I535="",$I535="?",$D535&lt;&gt;"Advance",$B535=""),"",$I535&amp;"|"&amp;$J535&amp;"|"&amp;COUNTIFS($I$6:$I535,$I535,$J$6:$J535,$J535,$D$6:$D535,"Advance"))</f>
        <v/>
      </c>
      <c r="L535" s="29" t="str">
        <f aca="false">IF(OR($I535="",$I535="?",$B535=""),"",SUMPRODUCT((Weeks!$A$6:$A$58&lt;=$J535)*(Weeks!$Z$4:$AK$4=$I535)*Weeks!$Z$6:$AK$58)-SUMIFS($E$6:$E$1005,$I$6:$I$1005,$I535,$B$6:$B$1005,"&lt;="&amp;$B535))</f>
        <v/>
      </c>
      <c r="M535" s="19" t="str">
        <f aca="false">IF($B535&amp;$C535&amp;$D535&amp;$E535="","",IF($B535="","missing date",IF($C535="","missing worker",IF($I535="?","unknown worker - was the name changed on Workers?",IF($D535="","missing type",IF(N($E535)=0,"missing amount",IF(AND($E535&lt;0,$D535&lt;&gt;"Correction"),"negative amount - use a Correction to undo",IF(OR($B535&lt;Weeks!$A$6,$B535&gt;Weeks!$B$58),"date outside this workbook's year",IF(AND($D535="Advance",N($L535)&lt;0),"Warning: more than earned so far - worker now owes "&amp;ROUND(-$L535,0),"")))))))))</f>
        <v/>
      </c>
    </row>
    <row r="536" customFormat="false" ht="15" hidden="false" customHeight="false" outlineLevel="0" collapsed="false">
      <c r="A536" s="24" t="str">
        <f aca="false">IF($B536="","",ROW()-5)</f>
        <v/>
      </c>
      <c r="B536" s="25"/>
      <c r="C536" s="20"/>
      <c r="D536" s="26"/>
      <c r="E536" s="27"/>
      <c r="F536" s="20"/>
      <c r="G536" s="20"/>
      <c r="H536" s="26"/>
      <c r="I536" s="24" t="str">
        <f aca="false">IF($C536="","",IFERROR(INDEX(WorkerIDs,MATCH($C536,WorkerNames,0)),"?"))</f>
        <v/>
      </c>
      <c r="J536" s="18" t="str">
        <f aca="false">IF($B536="","",$B536-WEEKDAY($B536,2)+1)</f>
        <v/>
      </c>
      <c r="K536" s="28" t="str">
        <f aca="false">IF(OR($I536="",$I536="?",$D536&lt;&gt;"Advance",$B536=""),"",$I536&amp;"|"&amp;$J536&amp;"|"&amp;COUNTIFS($I$6:$I536,$I536,$J$6:$J536,$J536,$D$6:$D536,"Advance"))</f>
        <v/>
      </c>
      <c r="L536" s="29" t="str">
        <f aca="false">IF(OR($I536="",$I536="?",$B536=""),"",SUMPRODUCT((Weeks!$A$6:$A$58&lt;=$J536)*(Weeks!$Z$4:$AK$4=$I536)*Weeks!$Z$6:$AK$58)-SUMIFS($E$6:$E$1005,$I$6:$I$1005,$I536,$B$6:$B$1005,"&lt;="&amp;$B536))</f>
        <v/>
      </c>
      <c r="M536" s="19" t="str">
        <f aca="false">IF($B536&amp;$C536&amp;$D536&amp;$E536="","",IF($B536="","missing date",IF($C536="","missing worker",IF($I536="?","unknown worker - was the name changed on Workers?",IF($D536="","missing type",IF(N($E536)=0,"missing amount",IF(AND($E536&lt;0,$D536&lt;&gt;"Correction"),"negative amount - use a Correction to undo",IF(OR($B536&lt;Weeks!$A$6,$B536&gt;Weeks!$B$58),"date outside this workbook's year",IF(AND($D536="Advance",N($L536)&lt;0),"Warning: more than earned so far - worker now owes "&amp;ROUND(-$L536,0),"")))))))))</f>
        <v/>
      </c>
    </row>
    <row r="537" customFormat="false" ht="15" hidden="false" customHeight="false" outlineLevel="0" collapsed="false">
      <c r="A537" s="24" t="str">
        <f aca="false">IF($B537="","",ROW()-5)</f>
        <v/>
      </c>
      <c r="B537" s="25"/>
      <c r="C537" s="20"/>
      <c r="D537" s="26"/>
      <c r="E537" s="27"/>
      <c r="F537" s="20"/>
      <c r="G537" s="20"/>
      <c r="H537" s="26"/>
      <c r="I537" s="24" t="str">
        <f aca="false">IF($C537="","",IFERROR(INDEX(WorkerIDs,MATCH($C537,WorkerNames,0)),"?"))</f>
        <v/>
      </c>
      <c r="J537" s="18" t="str">
        <f aca="false">IF($B537="","",$B537-WEEKDAY($B537,2)+1)</f>
        <v/>
      </c>
      <c r="K537" s="28" t="str">
        <f aca="false">IF(OR($I537="",$I537="?",$D537&lt;&gt;"Advance",$B537=""),"",$I537&amp;"|"&amp;$J537&amp;"|"&amp;COUNTIFS($I$6:$I537,$I537,$J$6:$J537,$J537,$D$6:$D537,"Advance"))</f>
        <v/>
      </c>
      <c r="L537" s="29" t="str">
        <f aca="false">IF(OR($I537="",$I537="?",$B537=""),"",SUMPRODUCT((Weeks!$A$6:$A$58&lt;=$J537)*(Weeks!$Z$4:$AK$4=$I537)*Weeks!$Z$6:$AK$58)-SUMIFS($E$6:$E$1005,$I$6:$I$1005,$I537,$B$6:$B$1005,"&lt;="&amp;$B537))</f>
        <v/>
      </c>
      <c r="M537" s="19" t="str">
        <f aca="false">IF($B537&amp;$C537&amp;$D537&amp;$E537="","",IF($B537="","missing date",IF($C537="","missing worker",IF($I537="?","unknown worker - was the name changed on Workers?",IF($D537="","missing type",IF(N($E537)=0,"missing amount",IF(AND($E537&lt;0,$D537&lt;&gt;"Correction"),"negative amount - use a Correction to undo",IF(OR($B537&lt;Weeks!$A$6,$B537&gt;Weeks!$B$58),"date outside this workbook's year",IF(AND($D537="Advance",N($L537)&lt;0),"Warning: more than earned so far - worker now owes "&amp;ROUND(-$L537,0),"")))))))))</f>
        <v/>
      </c>
    </row>
    <row r="538" customFormat="false" ht="15" hidden="false" customHeight="false" outlineLevel="0" collapsed="false">
      <c r="A538" s="24" t="str">
        <f aca="false">IF($B538="","",ROW()-5)</f>
        <v/>
      </c>
      <c r="B538" s="25"/>
      <c r="C538" s="20"/>
      <c r="D538" s="26"/>
      <c r="E538" s="27"/>
      <c r="F538" s="20"/>
      <c r="G538" s="20"/>
      <c r="H538" s="26"/>
      <c r="I538" s="24" t="str">
        <f aca="false">IF($C538="","",IFERROR(INDEX(WorkerIDs,MATCH($C538,WorkerNames,0)),"?"))</f>
        <v/>
      </c>
      <c r="J538" s="18" t="str">
        <f aca="false">IF($B538="","",$B538-WEEKDAY($B538,2)+1)</f>
        <v/>
      </c>
      <c r="K538" s="28" t="str">
        <f aca="false">IF(OR($I538="",$I538="?",$D538&lt;&gt;"Advance",$B538=""),"",$I538&amp;"|"&amp;$J538&amp;"|"&amp;COUNTIFS($I$6:$I538,$I538,$J$6:$J538,$J538,$D$6:$D538,"Advance"))</f>
        <v/>
      </c>
      <c r="L538" s="29" t="str">
        <f aca="false">IF(OR($I538="",$I538="?",$B538=""),"",SUMPRODUCT((Weeks!$A$6:$A$58&lt;=$J538)*(Weeks!$Z$4:$AK$4=$I538)*Weeks!$Z$6:$AK$58)-SUMIFS($E$6:$E$1005,$I$6:$I$1005,$I538,$B$6:$B$1005,"&lt;="&amp;$B538))</f>
        <v/>
      </c>
      <c r="M538" s="19" t="str">
        <f aca="false">IF($B538&amp;$C538&amp;$D538&amp;$E538="","",IF($B538="","missing date",IF($C538="","missing worker",IF($I538="?","unknown worker - was the name changed on Workers?",IF($D538="","missing type",IF(N($E538)=0,"missing amount",IF(AND($E538&lt;0,$D538&lt;&gt;"Correction"),"negative amount - use a Correction to undo",IF(OR($B538&lt;Weeks!$A$6,$B538&gt;Weeks!$B$58),"date outside this workbook's year",IF(AND($D538="Advance",N($L538)&lt;0),"Warning: more than earned so far - worker now owes "&amp;ROUND(-$L538,0),"")))))))))</f>
        <v/>
      </c>
    </row>
    <row r="539" customFormat="false" ht="15" hidden="false" customHeight="false" outlineLevel="0" collapsed="false">
      <c r="A539" s="24" t="str">
        <f aca="false">IF($B539="","",ROW()-5)</f>
        <v/>
      </c>
      <c r="B539" s="25"/>
      <c r="C539" s="20"/>
      <c r="D539" s="26"/>
      <c r="E539" s="27"/>
      <c r="F539" s="20"/>
      <c r="G539" s="20"/>
      <c r="H539" s="26"/>
      <c r="I539" s="24" t="str">
        <f aca="false">IF($C539="","",IFERROR(INDEX(WorkerIDs,MATCH($C539,WorkerNames,0)),"?"))</f>
        <v/>
      </c>
      <c r="J539" s="18" t="str">
        <f aca="false">IF($B539="","",$B539-WEEKDAY($B539,2)+1)</f>
        <v/>
      </c>
      <c r="K539" s="28" t="str">
        <f aca="false">IF(OR($I539="",$I539="?",$D539&lt;&gt;"Advance",$B539=""),"",$I539&amp;"|"&amp;$J539&amp;"|"&amp;COUNTIFS($I$6:$I539,$I539,$J$6:$J539,$J539,$D$6:$D539,"Advance"))</f>
        <v/>
      </c>
      <c r="L539" s="29" t="str">
        <f aca="false">IF(OR($I539="",$I539="?",$B539=""),"",SUMPRODUCT((Weeks!$A$6:$A$58&lt;=$J539)*(Weeks!$Z$4:$AK$4=$I539)*Weeks!$Z$6:$AK$58)-SUMIFS($E$6:$E$1005,$I$6:$I$1005,$I539,$B$6:$B$1005,"&lt;="&amp;$B539))</f>
        <v/>
      </c>
      <c r="M539" s="19" t="str">
        <f aca="false">IF($B539&amp;$C539&amp;$D539&amp;$E539="","",IF($B539="","missing date",IF($C539="","missing worker",IF($I539="?","unknown worker - was the name changed on Workers?",IF($D539="","missing type",IF(N($E539)=0,"missing amount",IF(AND($E539&lt;0,$D539&lt;&gt;"Correction"),"negative amount - use a Correction to undo",IF(OR($B539&lt;Weeks!$A$6,$B539&gt;Weeks!$B$58),"date outside this workbook's year",IF(AND($D539="Advance",N($L539)&lt;0),"Warning: more than earned so far - worker now owes "&amp;ROUND(-$L539,0),"")))))))))</f>
        <v/>
      </c>
    </row>
    <row r="540" customFormat="false" ht="15" hidden="false" customHeight="false" outlineLevel="0" collapsed="false">
      <c r="A540" s="24" t="str">
        <f aca="false">IF($B540="","",ROW()-5)</f>
        <v/>
      </c>
      <c r="B540" s="25"/>
      <c r="C540" s="20"/>
      <c r="D540" s="26"/>
      <c r="E540" s="27"/>
      <c r="F540" s="20"/>
      <c r="G540" s="20"/>
      <c r="H540" s="26"/>
      <c r="I540" s="24" t="str">
        <f aca="false">IF($C540="","",IFERROR(INDEX(WorkerIDs,MATCH($C540,WorkerNames,0)),"?"))</f>
        <v/>
      </c>
      <c r="J540" s="18" t="str">
        <f aca="false">IF($B540="","",$B540-WEEKDAY($B540,2)+1)</f>
        <v/>
      </c>
      <c r="K540" s="28" t="str">
        <f aca="false">IF(OR($I540="",$I540="?",$D540&lt;&gt;"Advance",$B540=""),"",$I540&amp;"|"&amp;$J540&amp;"|"&amp;COUNTIFS($I$6:$I540,$I540,$J$6:$J540,$J540,$D$6:$D540,"Advance"))</f>
        <v/>
      </c>
      <c r="L540" s="29" t="str">
        <f aca="false">IF(OR($I540="",$I540="?",$B540=""),"",SUMPRODUCT((Weeks!$A$6:$A$58&lt;=$J540)*(Weeks!$Z$4:$AK$4=$I540)*Weeks!$Z$6:$AK$58)-SUMIFS($E$6:$E$1005,$I$6:$I$1005,$I540,$B$6:$B$1005,"&lt;="&amp;$B540))</f>
        <v/>
      </c>
      <c r="M540" s="19" t="str">
        <f aca="false">IF($B540&amp;$C540&amp;$D540&amp;$E540="","",IF($B540="","missing date",IF($C540="","missing worker",IF($I540="?","unknown worker - was the name changed on Workers?",IF($D540="","missing type",IF(N($E540)=0,"missing amount",IF(AND($E540&lt;0,$D540&lt;&gt;"Correction"),"negative amount - use a Correction to undo",IF(OR($B540&lt;Weeks!$A$6,$B540&gt;Weeks!$B$58),"date outside this workbook's year",IF(AND($D540="Advance",N($L540)&lt;0),"Warning: more than earned so far - worker now owes "&amp;ROUND(-$L540,0),"")))))))))</f>
        <v/>
      </c>
    </row>
    <row r="541" customFormat="false" ht="15" hidden="false" customHeight="false" outlineLevel="0" collapsed="false">
      <c r="A541" s="24" t="str">
        <f aca="false">IF($B541="","",ROW()-5)</f>
        <v/>
      </c>
      <c r="B541" s="25"/>
      <c r="C541" s="20"/>
      <c r="D541" s="26"/>
      <c r="E541" s="27"/>
      <c r="F541" s="20"/>
      <c r="G541" s="20"/>
      <c r="H541" s="26"/>
      <c r="I541" s="24" t="str">
        <f aca="false">IF($C541="","",IFERROR(INDEX(WorkerIDs,MATCH($C541,WorkerNames,0)),"?"))</f>
        <v/>
      </c>
      <c r="J541" s="18" t="str">
        <f aca="false">IF($B541="","",$B541-WEEKDAY($B541,2)+1)</f>
        <v/>
      </c>
      <c r="K541" s="28" t="str">
        <f aca="false">IF(OR($I541="",$I541="?",$D541&lt;&gt;"Advance",$B541=""),"",$I541&amp;"|"&amp;$J541&amp;"|"&amp;COUNTIFS($I$6:$I541,$I541,$J$6:$J541,$J541,$D$6:$D541,"Advance"))</f>
        <v/>
      </c>
      <c r="L541" s="29" t="str">
        <f aca="false">IF(OR($I541="",$I541="?",$B541=""),"",SUMPRODUCT((Weeks!$A$6:$A$58&lt;=$J541)*(Weeks!$Z$4:$AK$4=$I541)*Weeks!$Z$6:$AK$58)-SUMIFS($E$6:$E$1005,$I$6:$I$1005,$I541,$B$6:$B$1005,"&lt;="&amp;$B541))</f>
        <v/>
      </c>
      <c r="M541" s="19" t="str">
        <f aca="false">IF($B541&amp;$C541&amp;$D541&amp;$E541="","",IF($B541="","missing date",IF($C541="","missing worker",IF($I541="?","unknown worker - was the name changed on Workers?",IF($D541="","missing type",IF(N($E541)=0,"missing amount",IF(AND($E541&lt;0,$D541&lt;&gt;"Correction"),"negative amount - use a Correction to undo",IF(OR($B541&lt;Weeks!$A$6,$B541&gt;Weeks!$B$58),"date outside this workbook's year",IF(AND($D541="Advance",N($L541)&lt;0),"Warning: more than earned so far - worker now owes "&amp;ROUND(-$L541,0),"")))))))))</f>
        <v/>
      </c>
    </row>
    <row r="542" customFormat="false" ht="15" hidden="false" customHeight="false" outlineLevel="0" collapsed="false">
      <c r="A542" s="24" t="str">
        <f aca="false">IF($B542="","",ROW()-5)</f>
        <v/>
      </c>
      <c r="B542" s="25"/>
      <c r="C542" s="20"/>
      <c r="D542" s="26"/>
      <c r="E542" s="27"/>
      <c r="F542" s="20"/>
      <c r="G542" s="20"/>
      <c r="H542" s="26"/>
      <c r="I542" s="24" t="str">
        <f aca="false">IF($C542="","",IFERROR(INDEX(WorkerIDs,MATCH($C542,WorkerNames,0)),"?"))</f>
        <v/>
      </c>
      <c r="J542" s="18" t="str">
        <f aca="false">IF($B542="","",$B542-WEEKDAY($B542,2)+1)</f>
        <v/>
      </c>
      <c r="K542" s="28" t="str">
        <f aca="false">IF(OR($I542="",$I542="?",$D542&lt;&gt;"Advance",$B542=""),"",$I542&amp;"|"&amp;$J542&amp;"|"&amp;COUNTIFS($I$6:$I542,$I542,$J$6:$J542,$J542,$D$6:$D542,"Advance"))</f>
        <v/>
      </c>
      <c r="L542" s="29" t="str">
        <f aca="false">IF(OR($I542="",$I542="?",$B542=""),"",SUMPRODUCT((Weeks!$A$6:$A$58&lt;=$J542)*(Weeks!$Z$4:$AK$4=$I542)*Weeks!$Z$6:$AK$58)-SUMIFS($E$6:$E$1005,$I$6:$I$1005,$I542,$B$6:$B$1005,"&lt;="&amp;$B542))</f>
        <v/>
      </c>
      <c r="M542" s="19" t="str">
        <f aca="false">IF($B542&amp;$C542&amp;$D542&amp;$E542="","",IF($B542="","missing date",IF($C542="","missing worker",IF($I542="?","unknown worker - was the name changed on Workers?",IF($D542="","missing type",IF(N($E542)=0,"missing amount",IF(AND($E542&lt;0,$D542&lt;&gt;"Correction"),"negative amount - use a Correction to undo",IF(OR($B542&lt;Weeks!$A$6,$B542&gt;Weeks!$B$58),"date outside this workbook's year",IF(AND($D542="Advance",N($L542)&lt;0),"Warning: more than earned so far - worker now owes "&amp;ROUND(-$L542,0),"")))))))))</f>
        <v/>
      </c>
    </row>
    <row r="543" customFormat="false" ht="15" hidden="false" customHeight="false" outlineLevel="0" collapsed="false">
      <c r="A543" s="24" t="str">
        <f aca="false">IF($B543="","",ROW()-5)</f>
        <v/>
      </c>
      <c r="B543" s="25"/>
      <c r="C543" s="20"/>
      <c r="D543" s="26"/>
      <c r="E543" s="27"/>
      <c r="F543" s="20"/>
      <c r="G543" s="20"/>
      <c r="H543" s="26"/>
      <c r="I543" s="24" t="str">
        <f aca="false">IF($C543="","",IFERROR(INDEX(WorkerIDs,MATCH($C543,WorkerNames,0)),"?"))</f>
        <v/>
      </c>
      <c r="J543" s="18" t="str">
        <f aca="false">IF($B543="","",$B543-WEEKDAY($B543,2)+1)</f>
        <v/>
      </c>
      <c r="K543" s="28" t="str">
        <f aca="false">IF(OR($I543="",$I543="?",$D543&lt;&gt;"Advance",$B543=""),"",$I543&amp;"|"&amp;$J543&amp;"|"&amp;COUNTIFS($I$6:$I543,$I543,$J$6:$J543,$J543,$D$6:$D543,"Advance"))</f>
        <v/>
      </c>
      <c r="L543" s="29" t="str">
        <f aca="false">IF(OR($I543="",$I543="?",$B543=""),"",SUMPRODUCT((Weeks!$A$6:$A$58&lt;=$J543)*(Weeks!$Z$4:$AK$4=$I543)*Weeks!$Z$6:$AK$58)-SUMIFS($E$6:$E$1005,$I$6:$I$1005,$I543,$B$6:$B$1005,"&lt;="&amp;$B543))</f>
        <v/>
      </c>
      <c r="M543" s="19" t="str">
        <f aca="false">IF($B543&amp;$C543&amp;$D543&amp;$E543="","",IF($B543="","missing date",IF($C543="","missing worker",IF($I543="?","unknown worker - was the name changed on Workers?",IF($D543="","missing type",IF(N($E543)=0,"missing amount",IF(AND($E543&lt;0,$D543&lt;&gt;"Correction"),"negative amount - use a Correction to undo",IF(OR($B543&lt;Weeks!$A$6,$B543&gt;Weeks!$B$58),"date outside this workbook's year",IF(AND($D543="Advance",N($L543)&lt;0),"Warning: more than earned so far - worker now owes "&amp;ROUND(-$L543,0),"")))))))))</f>
        <v/>
      </c>
    </row>
    <row r="544" customFormat="false" ht="15" hidden="false" customHeight="false" outlineLevel="0" collapsed="false">
      <c r="A544" s="24" t="str">
        <f aca="false">IF($B544="","",ROW()-5)</f>
        <v/>
      </c>
      <c r="B544" s="25"/>
      <c r="C544" s="20"/>
      <c r="D544" s="26"/>
      <c r="E544" s="27"/>
      <c r="F544" s="20"/>
      <c r="G544" s="20"/>
      <c r="H544" s="26"/>
      <c r="I544" s="24" t="str">
        <f aca="false">IF($C544="","",IFERROR(INDEX(WorkerIDs,MATCH($C544,WorkerNames,0)),"?"))</f>
        <v/>
      </c>
      <c r="J544" s="18" t="str">
        <f aca="false">IF($B544="","",$B544-WEEKDAY($B544,2)+1)</f>
        <v/>
      </c>
      <c r="K544" s="28" t="str">
        <f aca="false">IF(OR($I544="",$I544="?",$D544&lt;&gt;"Advance",$B544=""),"",$I544&amp;"|"&amp;$J544&amp;"|"&amp;COUNTIFS($I$6:$I544,$I544,$J$6:$J544,$J544,$D$6:$D544,"Advance"))</f>
        <v/>
      </c>
      <c r="L544" s="29" t="str">
        <f aca="false">IF(OR($I544="",$I544="?",$B544=""),"",SUMPRODUCT((Weeks!$A$6:$A$58&lt;=$J544)*(Weeks!$Z$4:$AK$4=$I544)*Weeks!$Z$6:$AK$58)-SUMIFS($E$6:$E$1005,$I$6:$I$1005,$I544,$B$6:$B$1005,"&lt;="&amp;$B544))</f>
        <v/>
      </c>
      <c r="M544" s="19" t="str">
        <f aca="false">IF($B544&amp;$C544&amp;$D544&amp;$E544="","",IF($B544="","missing date",IF($C544="","missing worker",IF($I544="?","unknown worker - was the name changed on Workers?",IF($D544="","missing type",IF(N($E544)=0,"missing amount",IF(AND($E544&lt;0,$D544&lt;&gt;"Correction"),"negative amount - use a Correction to undo",IF(OR($B544&lt;Weeks!$A$6,$B544&gt;Weeks!$B$58),"date outside this workbook's year",IF(AND($D544="Advance",N($L544)&lt;0),"Warning: more than earned so far - worker now owes "&amp;ROUND(-$L544,0),"")))))))))</f>
        <v/>
      </c>
    </row>
    <row r="545" customFormat="false" ht="15" hidden="false" customHeight="false" outlineLevel="0" collapsed="false">
      <c r="A545" s="24" t="str">
        <f aca="false">IF($B545="","",ROW()-5)</f>
        <v/>
      </c>
      <c r="B545" s="25"/>
      <c r="C545" s="20"/>
      <c r="D545" s="26"/>
      <c r="E545" s="27"/>
      <c r="F545" s="20"/>
      <c r="G545" s="20"/>
      <c r="H545" s="26"/>
      <c r="I545" s="24" t="str">
        <f aca="false">IF($C545="","",IFERROR(INDEX(WorkerIDs,MATCH($C545,WorkerNames,0)),"?"))</f>
        <v/>
      </c>
      <c r="J545" s="18" t="str">
        <f aca="false">IF($B545="","",$B545-WEEKDAY($B545,2)+1)</f>
        <v/>
      </c>
      <c r="K545" s="28" t="str">
        <f aca="false">IF(OR($I545="",$I545="?",$D545&lt;&gt;"Advance",$B545=""),"",$I545&amp;"|"&amp;$J545&amp;"|"&amp;COUNTIFS($I$6:$I545,$I545,$J$6:$J545,$J545,$D$6:$D545,"Advance"))</f>
        <v/>
      </c>
      <c r="L545" s="29" t="str">
        <f aca="false">IF(OR($I545="",$I545="?",$B545=""),"",SUMPRODUCT((Weeks!$A$6:$A$58&lt;=$J545)*(Weeks!$Z$4:$AK$4=$I545)*Weeks!$Z$6:$AK$58)-SUMIFS($E$6:$E$1005,$I$6:$I$1005,$I545,$B$6:$B$1005,"&lt;="&amp;$B545))</f>
        <v/>
      </c>
      <c r="M545" s="19" t="str">
        <f aca="false">IF($B545&amp;$C545&amp;$D545&amp;$E545="","",IF($B545="","missing date",IF($C545="","missing worker",IF($I545="?","unknown worker - was the name changed on Workers?",IF($D545="","missing type",IF(N($E545)=0,"missing amount",IF(AND($E545&lt;0,$D545&lt;&gt;"Correction"),"negative amount - use a Correction to undo",IF(OR($B545&lt;Weeks!$A$6,$B545&gt;Weeks!$B$58),"date outside this workbook's year",IF(AND($D545="Advance",N($L545)&lt;0),"Warning: more than earned so far - worker now owes "&amp;ROUND(-$L545,0),"")))))))))</f>
        <v/>
      </c>
    </row>
    <row r="546" customFormat="false" ht="15" hidden="false" customHeight="false" outlineLevel="0" collapsed="false">
      <c r="A546" s="24" t="str">
        <f aca="false">IF($B546="","",ROW()-5)</f>
        <v/>
      </c>
      <c r="B546" s="25"/>
      <c r="C546" s="20"/>
      <c r="D546" s="26"/>
      <c r="E546" s="27"/>
      <c r="F546" s="20"/>
      <c r="G546" s="20"/>
      <c r="H546" s="26"/>
      <c r="I546" s="24" t="str">
        <f aca="false">IF($C546="","",IFERROR(INDEX(WorkerIDs,MATCH($C546,WorkerNames,0)),"?"))</f>
        <v/>
      </c>
      <c r="J546" s="18" t="str">
        <f aca="false">IF($B546="","",$B546-WEEKDAY($B546,2)+1)</f>
        <v/>
      </c>
      <c r="K546" s="28" t="str">
        <f aca="false">IF(OR($I546="",$I546="?",$D546&lt;&gt;"Advance",$B546=""),"",$I546&amp;"|"&amp;$J546&amp;"|"&amp;COUNTIFS($I$6:$I546,$I546,$J$6:$J546,$J546,$D$6:$D546,"Advance"))</f>
        <v/>
      </c>
      <c r="L546" s="29" t="str">
        <f aca="false">IF(OR($I546="",$I546="?",$B546=""),"",SUMPRODUCT((Weeks!$A$6:$A$58&lt;=$J546)*(Weeks!$Z$4:$AK$4=$I546)*Weeks!$Z$6:$AK$58)-SUMIFS($E$6:$E$1005,$I$6:$I$1005,$I546,$B$6:$B$1005,"&lt;="&amp;$B546))</f>
        <v/>
      </c>
      <c r="M546" s="19" t="str">
        <f aca="false">IF($B546&amp;$C546&amp;$D546&amp;$E546="","",IF($B546="","missing date",IF($C546="","missing worker",IF($I546="?","unknown worker - was the name changed on Workers?",IF($D546="","missing type",IF(N($E546)=0,"missing amount",IF(AND($E546&lt;0,$D546&lt;&gt;"Correction"),"negative amount - use a Correction to undo",IF(OR($B546&lt;Weeks!$A$6,$B546&gt;Weeks!$B$58),"date outside this workbook's year",IF(AND($D546="Advance",N($L546)&lt;0),"Warning: more than earned so far - worker now owes "&amp;ROUND(-$L546,0),"")))))))))</f>
        <v/>
      </c>
    </row>
    <row r="547" customFormat="false" ht="15" hidden="false" customHeight="false" outlineLevel="0" collapsed="false">
      <c r="A547" s="24" t="str">
        <f aca="false">IF($B547="","",ROW()-5)</f>
        <v/>
      </c>
      <c r="B547" s="25"/>
      <c r="C547" s="20"/>
      <c r="D547" s="26"/>
      <c r="E547" s="27"/>
      <c r="F547" s="20"/>
      <c r="G547" s="20"/>
      <c r="H547" s="26"/>
      <c r="I547" s="24" t="str">
        <f aca="false">IF($C547="","",IFERROR(INDEX(WorkerIDs,MATCH($C547,WorkerNames,0)),"?"))</f>
        <v/>
      </c>
      <c r="J547" s="18" t="str">
        <f aca="false">IF($B547="","",$B547-WEEKDAY($B547,2)+1)</f>
        <v/>
      </c>
      <c r="K547" s="28" t="str">
        <f aca="false">IF(OR($I547="",$I547="?",$D547&lt;&gt;"Advance",$B547=""),"",$I547&amp;"|"&amp;$J547&amp;"|"&amp;COUNTIFS($I$6:$I547,$I547,$J$6:$J547,$J547,$D$6:$D547,"Advance"))</f>
        <v/>
      </c>
      <c r="L547" s="29" t="str">
        <f aca="false">IF(OR($I547="",$I547="?",$B547=""),"",SUMPRODUCT((Weeks!$A$6:$A$58&lt;=$J547)*(Weeks!$Z$4:$AK$4=$I547)*Weeks!$Z$6:$AK$58)-SUMIFS($E$6:$E$1005,$I$6:$I$1005,$I547,$B$6:$B$1005,"&lt;="&amp;$B547))</f>
        <v/>
      </c>
      <c r="M547" s="19" t="str">
        <f aca="false">IF($B547&amp;$C547&amp;$D547&amp;$E547="","",IF($B547="","missing date",IF($C547="","missing worker",IF($I547="?","unknown worker - was the name changed on Workers?",IF($D547="","missing type",IF(N($E547)=0,"missing amount",IF(AND($E547&lt;0,$D547&lt;&gt;"Correction"),"negative amount - use a Correction to undo",IF(OR($B547&lt;Weeks!$A$6,$B547&gt;Weeks!$B$58),"date outside this workbook's year",IF(AND($D547="Advance",N($L547)&lt;0),"Warning: more than earned so far - worker now owes "&amp;ROUND(-$L547,0),"")))))))))</f>
        <v/>
      </c>
    </row>
    <row r="548" customFormat="false" ht="15" hidden="false" customHeight="false" outlineLevel="0" collapsed="false">
      <c r="A548" s="24" t="str">
        <f aca="false">IF($B548="","",ROW()-5)</f>
        <v/>
      </c>
      <c r="B548" s="25"/>
      <c r="C548" s="20"/>
      <c r="D548" s="26"/>
      <c r="E548" s="27"/>
      <c r="F548" s="20"/>
      <c r="G548" s="20"/>
      <c r="H548" s="26"/>
      <c r="I548" s="24" t="str">
        <f aca="false">IF($C548="","",IFERROR(INDEX(WorkerIDs,MATCH($C548,WorkerNames,0)),"?"))</f>
        <v/>
      </c>
      <c r="J548" s="18" t="str">
        <f aca="false">IF($B548="","",$B548-WEEKDAY($B548,2)+1)</f>
        <v/>
      </c>
      <c r="K548" s="28" t="str">
        <f aca="false">IF(OR($I548="",$I548="?",$D548&lt;&gt;"Advance",$B548=""),"",$I548&amp;"|"&amp;$J548&amp;"|"&amp;COUNTIFS($I$6:$I548,$I548,$J$6:$J548,$J548,$D$6:$D548,"Advance"))</f>
        <v/>
      </c>
      <c r="L548" s="29" t="str">
        <f aca="false">IF(OR($I548="",$I548="?",$B548=""),"",SUMPRODUCT((Weeks!$A$6:$A$58&lt;=$J548)*(Weeks!$Z$4:$AK$4=$I548)*Weeks!$Z$6:$AK$58)-SUMIFS($E$6:$E$1005,$I$6:$I$1005,$I548,$B$6:$B$1005,"&lt;="&amp;$B548))</f>
        <v/>
      </c>
      <c r="M548" s="19" t="str">
        <f aca="false">IF($B548&amp;$C548&amp;$D548&amp;$E548="","",IF($B548="","missing date",IF($C548="","missing worker",IF($I548="?","unknown worker - was the name changed on Workers?",IF($D548="","missing type",IF(N($E548)=0,"missing amount",IF(AND($E548&lt;0,$D548&lt;&gt;"Correction"),"negative amount - use a Correction to undo",IF(OR($B548&lt;Weeks!$A$6,$B548&gt;Weeks!$B$58),"date outside this workbook's year",IF(AND($D548="Advance",N($L548)&lt;0),"Warning: more than earned so far - worker now owes "&amp;ROUND(-$L548,0),"")))))))))</f>
        <v/>
      </c>
    </row>
    <row r="549" customFormat="false" ht="15" hidden="false" customHeight="false" outlineLevel="0" collapsed="false">
      <c r="A549" s="24" t="str">
        <f aca="false">IF($B549="","",ROW()-5)</f>
        <v/>
      </c>
      <c r="B549" s="25"/>
      <c r="C549" s="20"/>
      <c r="D549" s="26"/>
      <c r="E549" s="27"/>
      <c r="F549" s="20"/>
      <c r="G549" s="20"/>
      <c r="H549" s="26"/>
      <c r="I549" s="24" t="str">
        <f aca="false">IF($C549="","",IFERROR(INDEX(WorkerIDs,MATCH($C549,WorkerNames,0)),"?"))</f>
        <v/>
      </c>
      <c r="J549" s="18" t="str">
        <f aca="false">IF($B549="","",$B549-WEEKDAY($B549,2)+1)</f>
        <v/>
      </c>
      <c r="K549" s="28" t="str">
        <f aca="false">IF(OR($I549="",$I549="?",$D549&lt;&gt;"Advance",$B549=""),"",$I549&amp;"|"&amp;$J549&amp;"|"&amp;COUNTIFS($I$6:$I549,$I549,$J$6:$J549,$J549,$D$6:$D549,"Advance"))</f>
        <v/>
      </c>
      <c r="L549" s="29" t="str">
        <f aca="false">IF(OR($I549="",$I549="?",$B549=""),"",SUMPRODUCT((Weeks!$A$6:$A$58&lt;=$J549)*(Weeks!$Z$4:$AK$4=$I549)*Weeks!$Z$6:$AK$58)-SUMIFS($E$6:$E$1005,$I$6:$I$1005,$I549,$B$6:$B$1005,"&lt;="&amp;$B549))</f>
        <v/>
      </c>
      <c r="M549" s="19" t="str">
        <f aca="false">IF($B549&amp;$C549&amp;$D549&amp;$E549="","",IF($B549="","missing date",IF($C549="","missing worker",IF($I549="?","unknown worker - was the name changed on Workers?",IF($D549="","missing type",IF(N($E549)=0,"missing amount",IF(AND($E549&lt;0,$D549&lt;&gt;"Correction"),"negative amount - use a Correction to undo",IF(OR($B549&lt;Weeks!$A$6,$B549&gt;Weeks!$B$58),"date outside this workbook's year",IF(AND($D549="Advance",N($L549)&lt;0),"Warning: more than earned so far - worker now owes "&amp;ROUND(-$L549,0),"")))))))))</f>
        <v/>
      </c>
    </row>
    <row r="550" customFormat="false" ht="15" hidden="false" customHeight="false" outlineLevel="0" collapsed="false">
      <c r="A550" s="24" t="str">
        <f aca="false">IF($B550="","",ROW()-5)</f>
        <v/>
      </c>
      <c r="B550" s="25"/>
      <c r="C550" s="20"/>
      <c r="D550" s="26"/>
      <c r="E550" s="27"/>
      <c r="F550" s="20"/>
      <c r="G550" s="20"/>
      <c r="H550" s="26"/>
      <c r="I550" s="24" t="str">
        <f aca="false">IF($C550="","",IFERROR(INDEX(WorkerIDs,MATCH($C550,WorkerNames,0)),"?"))</f>
        <v/>
      </c>
      <c r="J550" s="18" t="str">
        <f aca="false">IF($B550="","",$B550-WEEKDAY($B550,2)+1)</f>
        <v/>
      </c>
      <c r="K550" s="28" t="str">
        <f aca="false">IF(OR($I550="",$I550="?",$D550&lt;&gt;"Advance",$B550=""),"",$I550&amp;"|"&amp;$J550&amp;"|"&amp;COUNTIFS($I$6:$I550,$I550,$J$6:$J550,$J550,$D$6:$D550,"Advance"))</f>
        <v/>
      </c>
      <c r="L550" s="29" t="str">
        <f aca="false">IF(OR($I550="",$I550="?",$B550=""),"",SUMPRODUCT((Weeks!$A$6:$A$58&lt;=$J550)*(Weeks!$Z$4:$AK$4=$I550)*Weeks!$Z$6:$AK$58)-SUMIFS($E$6:$E$1005,$I$6:$I$1005,$I550,$B$6:$B$1005,"&lt;="&amp;$B550))</f>
        <v/>
      </c>
      <c r="M550" s="19" t="str">
        <f aca="false">IF($B550&amp;$C550&amp;$D550&amp;$E550="","",IF($B550="","missing date",IF($C550="","missing worker",IF($I550="?","unknown worker - was the name changed on Workers?",IF($D550="","missing type",IF(N($E550)=0,"missing amount",IF(AND($E550&lt;0,$D550&lt;&gt;"Correction"),"negative amount - use a Correction to undo",IF(OR($B550&lt;Weeks!$A$6,$B550&gt;Weeks!$B$58),"date outside this workbook's year",IF(AND($D550="Advance",N($L550)&lt;0),"Warning: more than earned so far - worker now owes "&amp;ROUND(-$L550,0),"")))))))))</f>
        <v/>
      </c>
    </row>
    <row r="551" customFormat="false" ht="15" hidden="false" customHeight="false" outlineLevel="0" collapsed="false">
      <c r="A551" s="24" t="str">
        <f aca="false">IF($B551="","",ROW()-5)</f>
        <v/>
      </c>
      <c r="B551" s="25"/>
      <c r="C551" s="20"/>
      <c r="D551" s="26"/>
      <c r="E551" s="27"/>
      <c r="F551" s="20"/>
      <c r="G551" s="20"/>
      <c r="H551" s="26"/>
      <c r="I551" s="24" t="str">
        <f aca="false">IF($C551="","",IFERROR(INDEX(WorkerIDs,MATCH($C551,WorkerNames,0)),"?"))</f>
        <v/>
      </c>
      <c r="J551" s="18" t="str">
        <f aca="false">IF($B551="","",$B551-WEEKDAY($B551,2)+1)</f>
        <v/>
      </c>
      <c r="K551" s="28" t="str">
        <f aca="false">IF(OR($I551="",$I551="?",$D551&lt;&gt;"Advance",$B551=""),"",$I551&amp;"|"&amp;$J551&amp;"|"&amp;COUNTIFS($I$6:$I551,$I551,$J$6:$J551,$J551,$D$6:$D551,"Advance"))</f>
        <v/>
      </c>
      <c r="L551" s="29" t="str">
        <f aca="false">IF(OR($I551="",$I551="?",$B551=""),"",SUMPRODUCT((Weeks!$A$6:$A$58&lt;=$J551)*(Weeks!$Z$4:$AK$4=$I551)*Weeks!$Z$6:$AK$58)-SUMIFS($E$6:$E$1005,$I$6:$I$1005,$I551,$B$6:$B$1005,"&lt;="&amp;$B551))</f>
        <v/>
      </c>
      <c r="M551" s="19" t="str">
        <f aca="false">IF($B551&amp;$C551&amp;$D551&amp;$E551="","",IF($B551="","missing date",IF($C551="","missing worker",IF($I551="?","unknown worker - was the name changed on Workers?",IF($D551="","missing type",IF(N($E551)=0,"missing amount",IF(AND($E551&lt;0,$D551&lt;&gt;"Correction"),"negative amount - use a Correction to undo",IF(OR($B551&lt;Weeks!$A$6,$B551&gt;Weeks!$B$58),"date outside this workbook's year",IF(AND($D551="Advance",N($L551)&lt;0),"Warning: more than earned so far - worker now owes "&amp;ROUND(-$L551,0),"")))))))))</f>
        <v/>
      </c>
    </row>
    <row r="552" customFormat="false" ht="15" hidden="false" customHeight="false" outlineLevel="0" collapsed="false">
      <c r="A552" s="24" t="str">
        <f aca="false">IF($B552="","",ROW()-5)</f>
        <v/>
      </c>
      <c r="B552" s="25"/>
      <c r="C552" s="20"/>
      <c r="D552" s="26"/>
      <c r="E552" s="27"/>
      <c r="F552" s="20"/>
      <c r="G552" s="20"/>
      <c r="H552" s="26"/>
      <c r="I552" s="24" t="str">
        <f aca="false">IF($C552="","",IFERROR(INDEX(WorkerIDs,MATCH($C552,WorkerNames,0)),"?"))</f>
        <v/>
      </c>
      <c r="J552" s="18" t="str">
        <f aca="false">IF($B552="","",$B552-WEEKDAY($B552,2)+1)</f>
        <v/>
      </c>
      <c r="K552" s="28" t="str">
        <f aca="false">IF(OR($I552="",$I552="?",$D552&lt;&gt;"Advance",$B552=""),"",$I552&amp;"|"&amp;$J552&amp;"|"&amp;COUNTIFS($I$6:$I552,$I552,$J$6:$J552,$J552,$D$6:$D552,"Advance"))</f>
        <v/>
      </c>
      <c r="L552" s="29" t="str">
        <f aca="false">IF(OR($I552="",$I552="?",$B552=""),"",SUMPRODUCT((Weeks!$A$6:$A$58&lt;=$J552)*(Weeks!$Z$4:$AK$4=$I552)*Weeks!$Z$6:$AK$58)-SUMIFS($E$6:$E$1005,$I$6:$I$1005,$I552,$B$6:$B$1005,"&lt;="&amp;$B552))</f>
        <v/>
      </c>
      <c r="M552" s="19" t="str">
        <f aca="false">IF($B552&amp;$C552&amp;$D552&amp;$E552="","",IF($B552="","missing date",IF($C552="","missing worker",IF($I552="?","unknown worker - was the name changed on Workers?",IF($D552="","missing type",IF(N($E552)=0,"missing amount",IF(AND($E552&lt;0,$D552&lt;&gt;"Correction"),"negative amount - use a Correction to undo",IF(OR($B552&lt;Weeks!$A$6,$B552&gt;Weeks!$B$58),"date outside this workbook's year",IF(AND($D552="Advance",N($L552)&lt;0),"Warning: more than earned so far - worker now owes "&amp;ROUND(-$L552,0),"")))))))))</f>
        <v/>
      </c>
    </row>
    <row r="553" customFormat="false" ht="15" hidden="false" customHeight="false" outlineLevel="0" collapsed="false">
      <c r="A553" s="24" t="str">
        <f aca="false">IF($B553="","",ROW()-5)</f>
        <v/>
      </c>
      <c r="B553" s="25"/>
      <c r="C553" s="20"/>
      <c r="D553" s="26"/>
      <c r="E553" s="27"/>
      <c r="F553" s="20"/>
      <c r="G553" s="20"/>
      <c r="H553" s="26"/>
      <c r="I553" s="24" t="str">
        <f aca="false">IF($C553="","",IFERROR(INDEX(WorkerIDs,MATCH($C553,WorkerNames,0)),"?"))</f>
        <v/>
      </c>
      <c r="J553" s="18" t="str">
        <f aca="false">IF($B553="","",$B553-WEEKDAY($B553,2)+1)</f>
        <v/>
      </c>
      <c r="K553" s="28" t="str">
        <f aca="false">IF(OR($I553="",$I553="?",$D553&lt;&gt;"Advance",$B553=""),"",$I553&amp;"|"&amp;$J553&amp;"|"&amp;COUNTIFS($I$6:$I553,$I553,$J$6:$J553,$J553,$D$6:$D553,"Advance"))</f>
        <v/>
      </c>
      <c r="L553" s="29" t="str">
        <f aca="false">IF(OR($I553="",$I553="?",$B553=""),"",SUMPRODUCT((Weeks!$A$6:$A$58&lt;=$J553)*(Weeks!$Z$4:$AK$4=$I553)*Weeks!$Z$6:$AK$58)-SUMIFS($E$6:$E$1005,$I$6:$I$1005,$I553,$B$6:$B$1005,"&lt;="&amp;$B553))</f>
        <v/>
      </c>
      <c r="M553" s="19" t="str">
        <f aca="false">IF($B553&amp;$C553&amp;$D553&amp;$E553="","",IF($B553="","missing date",IF($C553="","missing worker",IF($I553="?","unknown worker - was the name changed on Workers?",IF($D553="","missing type",IF(N($E553)=0,"missing amount",IF(AND($E553&lt;0,$D553&lt;&gt;"Correction"),"negative amount - use a Correction to undo",IF(OR($B553&lt;Weeks!$A$6,$B553&gt;Weeks!$B$58),"date outside this workbook's year",IF(AND($D553="Advance",N($L553)&lt;0),"Warning: more than earned so far - worker now owes "&amp;ROUND(-$L553,0),"")))))))))</f>
        <v/>
      </c>
    </row>
    <row r="554" customFormat="false" ht="15" hidden="false" customHeight="false" outlineLevel="0" collapsed="false">
      <c r="A554" s="24" t="str">
        <f aca="false">IF($B554="","",ROW()-5)</f>
        <v/>
      </c>
      <c r="B554" s="25"/>
      <c r="C554" s="20"/>
      <c r="D554" s="26"/>
      <c r="E554" s="27"/>
      <c r="F554" s="20"/>
      <c r="G554" s="20"/>
      <c r="H554" s="26"/>
      <c r="I554" s="24" t="str">
        <f aca="false">IF($C554="","",IFERROR(INDEX(WorkerIDs,MATCH($C554,WorkerNames,0)),"?"))</f>
        <v/>
      </c>
      <c r="J554" s="18" t="str">
        <f aca="false">IF($B554="","",$B554-WEEKDAY($B554,2)+1)</f>
        <v/>
      </c>
      <c r="K554" s="28" t="str">
        <f aca="false">IF(OR($I554="",$I554="?",$D554&lt;&gt;"Advance",$B554=""),"",$I554&amp;"|"&amp;$J554&amp;"|"&amp;COUNTIFS($I$6:$I554,$I554,$J$6:$J554,$J554,$D$6:$D554,"Advance"))</f>
        <v/>
      </c>
      <c r="L554" s="29" t="str">
        <f aca="false">IF(OR($I554="",$I554="?",$B554=""),"",SUMPRODUCT((Weeks!$A$6:$A$58&lt;=$J554)*(Weeks!$Z$4:$AK$4=$I554)*Weeks!$Z$6:$AK$58)-SUMIFS($E$6:$E$1005,$I$6:$I$1005,$I554,$B$6:$B$1005,"&lt;="&amp;$B554))</f>
        <v/>
      </c>
      <c r="M554" s="19" t="str">
        <f aca="false">IF($B554&amp;$C554&amp;$D554&amp;$E554="","",IF($B554="","missing date",IF($C554="","missing worker",IF($I554="?","unknown worker - was the name changed on Workers?",IF($D554="","missing type",IF(N($E554)=0,"missing amount",IF(AND($E554&lt;0,$D554&lt;&gt;"Correction"),"negative amount - use a Correction to undo",IF(OR($B554&lt;Weeks!$A$6,$B554&gt;Weeks!$B$58),"date outside this workbook's year",IF(AND($D554="Advance",N($L554)&lt;0),"Warning: more than earned so far - worker now owes "&amp;ROUND(-$L554,0),"")))))))))</f>
        <v/>
      </c>
    </row>
    <row r="555" customFormat="false" ht="15" hidden="false" customHeight="false" outlineLevel="0" collapsed="false">
      <c r="A555" s="24" t="str">
        <f aca="false">IF($B555="","",ROW()-5)</f>
        <v/>
      </c>
      <c r="B555" s="25"/>
      <c r="C555" s="20"/>
      <c r="D555" s="26"/>
      <c r="E555" s="27"/>
      <c r="F555" s="20"/>
      <c r="G555" s="20"/>
      <c r="H555" s="26"/>
      <c r="I555" s="24" t="str">
        <f aca="false">IF($C555="","",IFERROR(INDEX(WorkerIDs,MATCH($C555,WorkerNames,0)),"?"))</f>
        <v/>
      </c>
      <c r="J555" s="18" t="str">
        <f aca="false">IF($B555="","",$B555-WEEKDAY($B555,2)+1)</f>
        <v/>
      </c>
      <c r="K555" s="28" t="str">
        <f aca="false">IF(OR($I555="",$I555="?",$D555&lt;&gt;"Advance",$B555=""),"",$I555&amp;"|"&amp;$J555&amp;"|"&amp;COUNTIFS($I$6:$I555,$I555,$J$6:$J555,$J555,$D$6:$D555,"Advance"))</f>
        <v/>
      </c>
      <c r="L555" s="29" t="str">
        <f aca="false">IF(OR($I555="",$I555="?",$B555=""),"",SUMPRODUCT((Weeks!$A$6:$A$58&lt;=$J555)*(Weeks!$Z$4:$AK$4=$I555)*Weeks!$Z$6:$AK$58)-SUMIFS($E$6:$E$1005,$I$6:$I$1005,$I555,$B$6:$B$1005,"&lt;="&amp;$B555))</f>
        <v/>
      </c>
      <c r="M555" s="19" t="str">
        <f aca="false">IF($B555&amp;$C555&amp;$D555&amp;$E555="","",IF($B555="","missing date",IF($C555="","missing worker",IF($I555="?","unknown worker - was the name changed on Workers?",IF($D555="","missing type",IF(N($E555)=0,"missing amount",IF(AND($E555&lt;0,$D555&lt;&gt;"Correction"),"negative amount - use a Correction to undo",IF(OR($B555&lt;Weeks!$A$6,$B555&gt;Weeks!$B$58),"date outside this workbook's year",IF(AND($D555="Advance",N($L555)&lt;0),"Warning: more than earned so far - worker now owes "&amp;ROUND(-$L555,0),"")))))))))</f>
        <v/>
      </c>
    </row>
    <row r="556" customFormat="false" ht="15" hidden="false" customHeight="false" outlineLevel="0" collapsed="false">
      <c r="A556" s="24" t="str">
        <f aca="false">IF($B556="","",ROW()-5)</f>
        <v/>
      </c>
      <c r="B556" s="25"/>
      <c r="C556" s="20"/>
      <c r="D556" s="26"/>
      <c r="E556" s="27"/>
      <c r="F556" s="20"/>
      <c r="G556" s="20"/>
      <c r="H556" s="26"/>
      <c r="I556" s="24" t="str">
        <f aca="false">IF($C556="","",IFERROR(INDEX(WorkerIDs,MATCH($C556,WorkerNames,0)),"?"))</f>
        <v/>
      </c>
      <c r="J556" s="18" t="str">
        <f aca="false">IF($B556="","",$B556-WEEKDAY($B556,2)+1)</f>
        <v/>
      </c>
      <c r="K556" s="28" t="str">
        <f aca="false">IF(OR($I556="",$I556="?",$D556&lt;&gt;"Advance",$B556=""),"",$I556&amp;"|"&amp;$J556&amp;"|"&amp;COUNTIFS($I$6:$I556,$I556,$J$6:$J556,$J556,$D$6:$D556,"Advance"))</f>
        <v/>
      </c>
      <c r="L556" s="29" t="str">
        <f aca="false">IF(OR($I556="",$I556="?",$B556=""),"",SUMPRODUCT((Weeks!$A$6:$A$58&lt;=$J556)*(Weeks!$Z$4:$AK$4=$I556)*Weeks!$Z$6:$AK$58)-SUMIFS($E$6:$E$1005,$I$6:$I$1005,$I556,$B$6:$B$1005,"&lt;="&amp;$B556))</f>
        <v/>
      </c>
      <c r="M556" s="19" t="str">
        <f aca="false">IF($B556&amp;$C556&amp;$D556&amp;$E556="","",IF($B556="","missing date",IF($C556="","missing worker",IF($I556="?","unknown worker - was the name changed on Workers?",IF($D556="","missing type",IF(N($E556)=0,"missing amount",IF(AND($E556&lt;0,$D556&lt;&gt;"Correction"),"negative amount - use a Correction to undo",IF(OR($B556&lt;Weeks!$A$6,$B556&gt;Weeks!$B$58),"date outside this workbook's year",IF(AND($D556="Advance",N($L556)&lt;0),"Warning: more than earned so far - worker now owes "&amp;ROUND(-$L556,0),"")))))))))</f>
        <v/>
      </c>
    </row>
    <row r="557" customFormat="false" ht="15" hidden="false" customHeight="false" outlineLevel="0" collapsed="false">
      <c r="A557" s="24" t="str">
        <f aca="false">IF($B557="","",ROW()-5)</f>
        <v/>
      </c>
      <c r="B557" s="25"/>
      <c r="C557" s="20"/>
      <c r="D557" s="26"/>
      <c r="E557" s="27"/>
      <c r="F557" s="20"/>
      <c r="G557" s="20"/>
      <c r="H557" s="26"/>
      <c r="I557" s="24" t="str">
        <f aca="false">IF($C557="","",IFERROR(INDEX(WorkerIDs,MATCH($C557,WorkerNames,0)),"?"))</f>
        <v/>
      </c>
      <c r="J557" s="18" t="str">
        <f aca="false">IF($B557="","",$B557-WEEKDAY($B557,2)+1)</f>
        <v/>
      </c>
      <c r="K557" s="28" t="str">
        <f aca="false">IF(OR($I557="",$I557="?",$D557&lt;&gt;"Advance",$B557=""),"",$I557&amp;"|"&amp;$J557&amp;"|"&amp;COUNTIFS($I$6:$I557,$I557,$J$6:$J557,$J557,$D$6:$D557,"Advance"))</f>
        <v/>
      </c>
      <c r="L557" s="29" t="str">
        <f aca="false">IF(OR($I557="",$I557="?",$B557=""),"",SUMPRODUCT((Weeks!$A$6:$A$58&lt;=$J557)*(Weeks!$Z$4:$AK$4=$I557)*Weeks!$Z$6:$AK$58)-SUMIFS($E$6:$E$1005,$I$6:$I$1005,$I557,$B$6:$B$1005,"&lt;="&amp;$B557))</f>
        <v/>
      </c>
      <c r="M557" s="19" t="str">
        <f aca="false">IF($B557&amp;$C557&amp;$D557&amp;$E557="","",IF($B557="","missing date",IF($C557="","missing worker",IF($I557="?","unknown worker - was the name changed on Workers?",IF($D557="","missing type",IF(N($E557)=0,"missing amount",IF(AND($E557&lt;0,$D557&lt;&gt;"Correction"),"negative amount - use a Correction to undo",IF(OR($B557&lt;Weeks!$A$6,$B557&gt;Weeks!$B$58),"date outside this workbook's year",IF(AND($D557="Advance",N($L557)&lt;0),"Warning: more than earned so far - worker now owes "&amp;ROUND(-$L557,0),"")))))))))</f>
        <v/>
      </c>
    </row>
    <row r="558" customFormat="false" ht="15" hidden="false" customHeight="false" outlineLevel="0" collapsed="false">
      <c r="A558" s="24" t="str">
        <f aca="false">IF($B558="","",ROW()-5)</f>
        <v/>
      </c>
      <c r="B558" s="25"/>
      <c r="C558" s="20"/>
      <c r="D558" s="26"/>
      <c r="E558" s="27"/>
      <c r="F558" s="20"/>
      <c r="G558" s="20"/>
      <c r="H558" s="26"/>
      <c r="I558" s="24" t="str">
        <f aca="false">IF($C558="","",IFERROR(INDEX(WorkerIDs,MATCH($C558,WorkerNames,0)),"?"))</f>
        <v/>
      </c>
      <c r="J558" s="18" t="str">
        <f aca="false">IF($B558="","",$B558-WEEKDAY($B558,2)+1)</f>
        <v/>
      </c>
      <c r="K558" s="28" t="str">
        <f aca="false">IF(OR($I558="",$I558="?",$D558&lt;&gt;"Advance",$B558=""),"",$I558&amp;"|"&amp;$J558&amp;"|"&amp;COUNTIFS($I$6:$I558,$I558,$J$6:$J558,$J558,$D$6:$D558,"Advance"))</f>
        <v/>
      </c>
      <c r="L558" s="29" t="str">
        <f aca="false">IF(OR($I558="",$I558="?",$B558=""),"",SUMPRODUCT((Weeks!$A$6:$A$58&lt;=$J558)*(Weeks!$Z$4:$AK$4=$I558)*Weeks!$Z$6:$AK$58)-SUMIFS($E$6:$E$1005,$I$6:$I$1005,$I558,$B$6:$B$1005,"&lt;="&amp;$B558))</f>
        <v/>
      </c>
      <c r="M558" s="19" t="str">
        <f aca="false">IF($B558&amp;$C558&amp;$D558&amp;$E558="","",IF($B558="","missing date",IF($C558="","missing worker",IF($I558="?","unknown worker - was the name changed on Workers?",IF($D558="","missing type",IF(N($E558)=0,"missing amount",IF(AND($E558&lt;0,$D558&lt;&gt;"Correction"),"negative amount - use a Correction to undo",IF(OR($B558&lt;Weeks!$A$6,$B558&gt;Weeks!$B$58),"date outside this workbook's year",IF(AND($D558="Advance",N($L558)&lt;0),"Warning: more than earned so far - worker now owes "&amp;ROUND(-$L558,0),"")))))))))</f>
        <v/>
      </c>
    </row>
    <row r="559" customFormat="false" ht="15" hidden="false" customHeight="false" outlineLevel="0" collapsed="false">
      <c r="A559" s="24" t="str">
        <f aca="false">IF($B559="","",ROW()-5)</f>
        <v/>
      </c>
      <c r="B559" s="25"/>
      <c r="C559" s="20"/>
      <c r="D559" s="26"/>
      <c r="E559" s="27"/>
      <c r="F559" s="20"/>
      <c r="G559" s="20"/>
      <c r="H559" s="26"/>
      <c r="I559" s="24" t="str">
        <f aca="false">IF($C559="","",IFERROR(INDEX(WorkerIDs,MATCH($C559,WorkerNames,0)),"?"))</f>
        <v/>
      </c>
      <c r="J559" s="18" t="str">
        <f aca="false">IF($B559="","",$B559-WEEKDAY($B559,2)+1)</f>
        <v/>
      </c>
      <c r="K559" s="28" t="str">
        <f aca="false">IF(OR($I559="",$I559="?",$D559&lt;&gt;"Advance",$B559=""),"",$I559&amp;"|"&amp;$J559&amp;"|"&amp;COUNTIFS($I$6:$I559,$I559,$J$6:$J559,$J559,$D$6:$D559,"Advance"))</f>
        <v/>
      </c>
      <c r="L559" s="29" t="str">
        <f aca="false">IF(OR($I559="",$I559="?",$B559=""),"",SUMPRODUCT((Weeks!$A$6:$A$58&lt;=$J559)*(Weeks!$Z$4:$AK$4=$I559)*Weeks!$Z$6:$AK$58)-SUMIFS($E$6:$E$1005,$I$6:$I$1005,$I559,$B$6:$B$1005,"&lt;="&amp;$B559))</f>
        <v/>
      </c>
      <c r="M559" s="19" t="str">
        <f aca="false">IF($B559&amp;$C559&amp;$D559&amp;$E559="","",IF($B559="","missing date",IF($C559="","missing worker",IF($I559="?","unknown worker - was the name changed on Workers?",IF($D559="","missing type",IF(N($E559)=0,"missing amount",IF(AND($E559&lt;0,$D559&lt;&gt;"Correction"),"negative amount - use a Correction to undo",IF(OR($B559&lt;Weeks!$A$6,$B559&gt;Weeks!$B$58),"date outside this workbook's year",IF(AND($D559="Advance",N($L559)&lt;0),"Warning: more than earned so far - worker now owes "&amp;ROUND(-$L559,0),"")))))))))</f>
        <v/>
      </c>
    </row>
    <row r="560" customFormat="false" ht="15" hidden="false" customHeight="false" outlineLevel="0" collapsed="false">
      <c r="A560" s="24" t="str">
        <f aca="false">IF($B560="","",ROW()-5)</f>
        <v/>
      </c>
      <c r="B560" s="25"/>
      <c r="C560" s="20"/>
      <c r="D560" s="26"/>
      <c r="E560" s="27"/>
      <c r="F560" s="20"/>
      <c r="G560" s="20"/>
      <c r="H560" s="26"/>
      <c r="I560" s="24" t="str">
        <f aca="false">IF($C560="","",IFERROR(INDEX(WorkerIDs,MATCH($C560,WorkerNames,0)),"?"))</f>
        <v/>
      </c>
      <c r="J560" s="18" t="str">
        <f aca="false">IF($B560="","",$B560-WEEKDAY($B560,2)+1)</f>
        <v/>
      </c>
      <c r="K560" s="28" t="str">
        <f aca="false">IF(OR($I560="",$I560="?",$D560&lt;&gt;"Advance",$B560=""),"",$I560&amp;"|"&amp;$J560&amp;"|"&amp;COUNTIFS($I$6:$I560,$I560,$J$6:$J560,$J560,$D$6:$D560,"Advance"))</f>
        <v/>
      </c>
      <c r="L560" s="29" t="str">
        <f aca="false">IF(OR($I560="",$I560="?",$B560=""),"",SUMPRODUCT((Weeks!$A$6:$A$58&lt;=$J560)*(Weeks!$Z$4:$AK$4=$I560)*Weeks!$Z$6:$AK$58)-SUMIFS($E$6:$E$1005,$I$6:$I$1005,$I560,$B$6:$B$1005,"&lt;="&amp;$B560))</f>
        <v/>
      </c>
      <c r="M560" s="19" t="str">
        <f aca="false">IF($B560&amp;$C560&amp;$D560&amp;$E560="","",IF($B560="","missing date",IF($C560="","missing worker",IF($I560="?","unknown worker - was the name changed on Workers?",IF($D560="","missing type",IF(N($E560)=0,"missing amount",IF(AND($E560&lt;0,$D560&lt;&gt;"Correction"),"negative amount - use a Correction to undo",IF(OR($B560&lt;Weeks!$A$6,$B560&gt;Weeks!$B$58),"date outside this workbook's year",IF(AND($D560="Advance",N($L560)&lt;0),"Warning: more than earned so far - worker now owes "&amp;ROUND(-$L560,0),"")))))))))</f>
        <v/>
      </c>
    </row>
    <row r="561" customFormat="false" ht="15" hidden="false" customHeight="false" outlineLevel="0" collapsed="false">
      <c r="A561" s="24" t="str">
        <f aca="false">IF($B561="","",ROW()-5)</f>
        <v/>
      </c>
      <c r="B561" s="25"/>
      <c r="C561" s="20"/>
      <c r="D561" s="26"/>
      <c r="E561" s="27"/>
      <c r="F561" s="20"/>
      <c r="G561" s="20"/>
      <c r="H561" s="26"/>
      <c r="I561" s="24" t="str">
        <f aca="false">IF($C561="","",IFERROR(INDEX(WorkerIDs,MATCH($C561,WorkerNames,0)),"?"))</f>
        <v/>
      </c>
      <c r="J561" s="18" t="str">
        <f aca="false">IF($B561="","",$B561-WEEKDAY($B561,2)+1)</f>
        <v/>
      </c>
      <c r="K561" s="28" t="str">
        <f aca="false">IF(OR($I561="",$I561="?",$D561&lt;&gt;"Advance",$B561=""),"",$I561&amp;"|"&amp;$J561&amp;"|"&amp;COUNTIFS($I$6:$I561,$I561,$J$6:$J561,$J561,$D$6:$D561,"Advance"))</f>
        <v/>
      </c>
      <c r="L561" s="29" t="str">
        <f aca="false">IF(OR($I561="",$I561="?",$B561=""),"",SUMPRODUCT((Weeks!$A$6:$A$58&lt;=$J561)*(Weeks!$Z$4:$AK$4=$I561)*Weeks!$Z$6:$AK$58)-SUMIFS($E$6:$E$1005,$I$6:$I$1005,$I561,$B$6:$B$1005,"&lt;="&amp;$B561))</f>
        <v/>
      </c>
      <c r="M561" s="19" t="str">
        <f aca="false">IF($B561&amp;$C561&amp;$D561&amp;$E561="","",IF($B561="","missing date",IF($C561="","missing worker",IF($I561="?","unknown worker - was the name changed on Workers?",IF($D561="","missing type",IF(N($E561)=0,"missing amount",IF(AND($E561&lt;0,$D561&lt;&gt;"Correction"),"negative amount - use a Correction to undo",IF(OR($B561&lt;Weeks!$A$6,$B561&gt;Weeks!$B$58),"date outside this workbook's year",IF(AND($D561="Advance",N($L561)&lt;0),"Warning: more than earned so far - worker now owes "&amp;ROUND(-$L561,0),"")))))))))</f>
        <v/>
      </c>
    </row>
    <row r="562" customFormat="false" ht="15" hidden="false" customHeight="false" outlineLevel="0" collapsed="false">
      <c r="A562" s="24" t="str">
        <f aca="false">IF($B562="","",ROW()-5)</f>
        <v/>
      </c>
      <c r="B562" s="25"/>
      <c r="C562" s="20"/>
      <c r="D562" s="26"/>
      <c r="E562" s="27"/>
      <c r="F562" s="20"/>
      <c r="G562" s="20"/>
      <c r="H562" s="26"/>
      <c r="I562" s="24" t="str">
        <f aca="false">IF($C562="","",IFERROR(INDEX(WorkerIDs,MATCH($C562,WorkerNames,0)),"?"))</f>
        <v/>
      </c>
      <c r="J562" s="18" t="str">
        <f aca="false">IF($B562="","",$B562-WEEKDAY($B562,2)+1)</f>
        <v/>
      </c>
      <c r="K562" s="28" t="str">
        <f aca="false">IF(OR($I562="",$I562="?",$D562&lt;&gt;"Advance",$B562=""),"",$I562&amp;"|"&amp;$J562&amp;"|"&amp;COUNTIFS($I$6:$I562,$I562,$J$6:$J562,$J562,$D$6:$D562,"Advance"))</f>
        <v/>
      </c>
      <c r="L562" s="29" t="str">
        <f aca="false">IF(OR($I562="",$I562="?",$B562=""),"",SUMPRODUCT((Weeks!$A$6:$A$58&lt;=$J562)*(Weeks!$Z$4:$AK$4=$I562)*Weeks!$Z$6:$AK$58)-SUMIFS($E$6:$E$1005,$I$6:$I$1005,$I562,$B$6:$B$1005,"&lt;="&amp;$B562))</f>
        <v/>
      </c>
      <c r="M562" s="19" t="str">
        <f aca="false">IF($B562&amp;$C562&amp;$D562&amp;$E562="","",IF($B562="","missing date",IF($C562="","missing worker",IF($I562="?","unknown worker - was the name changed on Workers?",IF($D562="","missing type",IF(N($E562)=0,"missing amount",IF(AND($E562&lt;0,$D562&lt;&gt;"Correction"),"negative amount - use a Correction to undo",IF(OR($B562&lt;Weeks!$A$6,$B562&gt;Weeks!$B$58),"date outside this workbook's year",IF(AND($D562="Advance",N($L562)&lt;0),"Warning: more than earned so far - worker now owes "&amp;ROUND(-$L562,0),"")))))))))</f>
        <v/>
      </c>
    </row>
    <row r="563" customFormat="false" ht="15" hidden="false" customHeight="false" outlineLevel="0" collapsed="false">
      <c r="A563" s="24" t="str">
        <f aca="false">IF($B563="","",ROW()-5)</f>
        <v/>
      </c>
      <c r="B563" s="25"/>
      <c r="C563" s="20"/>
      <c r="D563" s="26"/>
      <c r="E563" s="27"/>
      <c r="F563" s="20"/>
      <c r="G563" s="20"/>
      <c r="H563" s="26"/>
      <c r="I563" s="24" t="str">
        <f aca="false">IF($C563="","",IFERROR(INDEX(WorkerIDs,MATCH($C563,WorkerNames,0)),"?"))</f>
        <v/>
      </c>
      <c r="J563" s="18" t="str">
        <f aca="false">IF($B563="","",$B563-WEEKDAY($B563,2)+1)</f>
        <v/>
      </c>
      <c r="K563" s="28" t="str">
        <f aca="false">IF(OR($I563="",$I563="?",$D563&lt;&gt;"Advance",$B563=""),"",$I563&amp;"|"&amp;$J563&amp;"|"&amp;COUNTIFS($I$6:$I563,$I563,$J$6:$J563,$J563,$D$6:$D563,"Advance"))</f>
        <v/>
      </c>
      <c r="L563" s="29" t="str">
        <f aca="false">IF(OR($I563="",$I563="?",$B563=""),"",SUMPRODUCT((Weeks!$A$6:$A$58&lt;=$J563)*(Weeks!$Z$4:$AK$4=$I563)*Weeks!$Z$6:$AK$58)-SUMIFS($E$6:$E$1005,$I$6:$I$1005,$I563,$B$6:$B$1005,"&lt;="&amp;$B563))</f>
        <v/>
      </c>
      <c r="M563" s="19" t="str">
        <f aca="false">IF($B563&amp;$C563&amp;$D563&amp;$E563="","",IF($B563="","missing date",IF($C563="","missing worker",IF($I563="?","unknown worker - was the name changed on Workers?",IF($D563="","missing type",IF(N($E563)=0,"missing amount",IF(AND($E563&lt;0,$D563&lt;&gt;"Correction"),"negative amount - use a Correction to undo",IF(OR($B563&lt;Weeks!$A$6,$B563&gt;Weeks!$B$58),"date outside this workbook's year",IF(AND($D563="Advance",N($L563)&lt;0),"Warning: more than earned so far - worker now owes "&amp;ROUND(-$L563,0),"")))))))))</f>
        <v/>
      </c>
    </row>
    <row r="564" customFormat="false" ht="15" hidden="false" customHeight="false" outlineLevel="0" collapsed="false">
      <c r="A564" s="24" t="str">
        <f aca="false">IF($B564="","",ROW()-5)</f>
        <v/>
      </c>
      <c r="B564" s="25"/>
      <c r="C564" s="20"/>
      <c r="D564" s="26"/>
      <c r="E564" s="27"/>
      <c r="F564" s="20"/>
      <c r="G564" s="20"/>
      <c r="H564" s="26"/>
      <c r="I564" s="24" t="str">
        <f aca="false">IF($C564="","",IFERROR(INDEX(WorkerIDs,MATCH($C564,WorkerNames,0)),"?"))</f>
        <v/>
      </c>
      <c r="J564" s="18" t="str">
        <f aca="false">IF($B564="","",$B564-WEEKDAY($B564,2)+1)</f>
        <v/>
      </c>
      <c r="K564" s="28" t="str">
        <f aca="false">IF(OR($I564="",$I564="?",$D564&lt;&gt;"Advance",$B564=""),"",$I564&amp;"|"&amp;$J564&amp;"|"&amp;COUNTIFS($I$6:$I564,$I564,$J$6:$J564,$J564,$D$6:$D564,"Advance"))</f>
        <v/>
      </c>
      <c r="L564" s="29" t="str">
        <f aca="false">IF(OR($I564="",$I564="?",$B564=""),"",SUMPRODUCT((Weeks!$A$6:$A$58&lt;=$J564)*(Weeks!$Z$4:$AK$4=$I564)*Weeks!$Z$6:$AK$58)-SUMIFS($E$6:$E$1005,$I$6:$I$1005,$I564,$B$6:$B$1005,"&lt;="&amp;$B564))</f>
        <v/>
      </c>
      <c r="M564" s="19" t="str">
        <f aca="false">IF($B564&amp;$C564&amp;$D564&amp;$E564="","",IF($B564="","missing date",IF($C564="","missing worker",IF($I564="?","unknown worker - was the name changed on Workers?",IF($D564="","missing type",IF(N($E564)=0,"missing amount",IF(AND($E564&lt;0,$D564&lt;&gt;"Correction"),"negative amount - use a Correction to undo",IF(OR($B564&lt;Weeks!$A$6,$B564&gt;Weeks!$B$58),"date outside this workbook's year",IF(AND($D564="Advance",N($L564)&lt;0),"Warning: more than earned so far - worker now owes "&amp;ROUND(-$L564,0),"")))))))))</f>
        <v/>
      </c>
    </row>
    <row r="565" customFormat="false" ht="15" hidden="false" customHeight="false" outlineLevel="0" collapsed="false">
      <c r="A565" s="24" t="str">
        <f aca="false">IF($B565="","",ROW()-5)</f>
        <v/>
      </c>
      <c r="B565" s="25"/>
      <c r="C565" s="20"/>
      <c r="D565" s="26"/>
      <c r="E565" s="27"/>
      <c r="F565" s="20"/>
      <c r="G565" s="20"/>
      <c r="H565" s="26"/>
      <c r="I565" s="24" t="str">
        <f aca="false">IF($C565="","",IFERROR(INDEX(WorkerIDs,MATCH($C565,WorkerNames,0)),"?"))</f>
        <v/>
      </c>
      <c r="J565" s="18" t="str">
        <f aca="false">IF($B565="","",$B565-WEEKDAY($B565,2)+1)</f>
        <v/>
      </c>
      <c r="K565" s="28" t="str">
        <f aca="false">IF(OR($I565="",$I565="?",$D565&lt;&gt;"Advance",$B565=""),"",$I565&amp;"|"&amp;$J565&amp;"|"&amp;COUNTIFS($I$6:$I565,$I565,$J$6:$J565,$J565,$D$6:$D565,"Advance"))</f>
        <v/>
      </c>
      <c r="L565" s="29" t="str">
        <f aca="false">IF(OR($I565="",$I565="?",$B565=""),"",SUMPRODUCT((Weeks!$A$6:$A$58&lt;=$J565)*(Weeks!$Z$4:$AK$4=$I565)*Weeks!$Z$6:$AK$58)-SUMIFS($E$6:$E$1005,$I$6:$I$1005,$I565,$B$6:$B$1005,"&lt;="&amp;$B565))</f>
        <v/>
      </c>
      <c r="M565" s="19" t="str">
        <f aca="false">IF($B565&amp;$C565&amp;$D565&amp;$E565="","",IF($B565="","missing date",IF($C565="","missing worker",IF($I565="?","unknown worker - was the name changed on Workers?",IF($D565="","missing type",IF(N($E565)=0,"missing amount",IF(AND($E565&lt;0,$D565&lt;&gt;"Correction"),"negative amount - use a Correction to undo",IF(OR($B565&lt;Weeks!$A$6,$B565&gt;Weeks!$B$58),"date outside this workbook's year",IF(AND($D565="Advance",N($L565)&lt;0),"Warning: more than earned so far - worker now owes "&amp;ROUND(-$L565,0),"")))))))))</f>
        <v/>
      </c>
    </row>
    <row r="566" customFormat="false" ht="15" hidden="false" customHeight="false" outlineLevel="0" collapsed="false">
      <c r="A566" s="24" t="str">
        <f aca="false">IF($B566="","",ROW()-5)</f>
        <v/>
      </c>
      <c r="B566" s="25"/>
      <c r="C566" s="20"/>
      <c r="D566" s="26"/>
      <c r="E566" s="27"/>
      <c r="F566" s="20"/>
      <c r="G566" s="20"/>
      <c r="H566" s="26"/>
      <c r="I566" s="24" t="str">
        <f aca="false">IF($C566="","",IFERROR(INDEX(WorkerIDs,MATCH($C566,WorkerNames,0)),"?"))</f>
        <v/>
      </c>
      <c r="J566" s="18" t="str">
        <f aca="false">IF($B566="","",$B566-WEEKDAY($B566,2)+1)</f>
        <v/>
      </c>
      <c r="K566" s="28" t="str">
        <f aca="false">IF(OR($I566="",$I566="?",$D566&lt;&gt;"Advance",$B566=""),"",$I566&amp;"|"&amp;$J566&amp;"|"&amp;COUNTIFS($I$6:$I566,$I566,$J$6:$J566,$J566,$D$6:$D566,"Advance"))</f>
        <v/>
      </c>
      <c r="L566" s="29" t="str">
        <f aca="false">IF(OR($I566="",$I566="?",$B566=""),"",SUMPRODUCT((Weeks!$A$6:$A$58&lt;=$J566)*(Weeks!$Z$4:$AK$4=$I566)*Weeks!$Z$6:$AK$58)-SUMIFS($E$6:$E$1005,$I$6:$I$1005,$I566,$B$6:$B$1005,"&lt;="&amp;$B566))</f>
        <v/>
      </c>
      <c r="M566" s="19" t="str">
        <f aca="false">IF($B566&amp;$C566&amp;$D566&amp;$E566="","",IF($B566="","missing date",IF($C566="","missing worker",IF($I566="?","unknown worker - was the name changed on Workers?",IF($D566="","missing type",IF(N($E566)=0,"missing amount",IF(AND($E566&lt;0,$D566&lt;&gt;"Correction"),"negative amount - use a Correction to undo",IF(OR($B566&lt;Weeks!$A$6,$B566&gt;Weeks!$B$58),"date outside this workbook's year",IF(AND($D566="Advance",N($L566)&lt;0),"Warning: more than earned so far - worker now owes "&amp;ROUND(-$L566,0),"")))))))))</f>
        <v/>
      </c>
    </row>
    <row r="567" customFormat="false" ht="15" hidden="false" customHeight="false" outlineLevel="0" collapsed="false">
      <c r="A567" s="24" t="str">
        <f aca="false">IF($B567="","",ROW()-5)</f>
        <v/>
      </c>
      <c r="B567" s="25"/>
      <c r="C567" s="20"/>
      <c r="D567" s="26"/>
      <c r="E567" s="27"/>
      <c r="F567" s="20"/>
      <c r="G567" s="20"/>
      <c r="H567" s="26"/>
      <c r="I567" s="24" t="str">
        <f aca="false">IF($C567="","",IFERROR(INDEX(WorkerIDs,MATCH($C567,WorkerNames,0)),"?"))</f>
        <v/>
      </c>
      <c r="J567" s="18" t="str">
        <f aca="false">IF($B567="","",$B567-WEEKDAY($B567,2)+1)</f>
        <v/>
      </c>
      <c r="K567" s="28" t="str">
        <f aca="false">IF(OR($I567="",$I567="?",$D567&lt;&gt;"Advance",$B567=""),"",$I567&amp;"|"&amp;$J567&amp;"|"&amp;COUNTIFS($I$6:$I567,$I567,$J$6:$J567,$J567,$D$6:$D567,"Advance"))</f>
        <v/>
      </c>
      <c r="L567" s="29" t="str">
        <f aca="false">IF(OR($I567="",$I567="?",$B567=""),"",SUMPRODUCT((Weeks!$A$6:$A$58&lt;=$J567)*(Weeks!$Z$4:$AK$4=$I567)*Weeks!$Z$6:$AK$58)-SUMIFS($E$6:$E$1005,$I$6:$I$1005,$I567,$B$6:$B$1005,"&lt;="&amp;$B567))</f>
        <v/>
      </c>
      <c r="M567" s="19" t="str">
        <f aca="false">IF($B567&amp;$C567&amp;$D567&amp;$E567="","",IF($B567="","missing date",IF($C567="","missing worker",IF($I567="?","unknown worker - was the name changed on Workers?",IF($D567="","missing type",IF(N($E567)=0,"missing amount",IF(AND($E567&lt;0,$D567&lt;&gt;"Correction"),"negative amount - use a Correction to undo",IF(OR($B567&lt;Weeks!$A$6,$B567&gt;Weeks!$B$58),"date outside this workbook's year",IF(AND($D567="Advance",N($L567)&lt;0),"Warning: more than earned so far - worker now owes "&amp;ROUND(-$L567,0),"")))))))))</f>
        <v/>
      </c>
    </row>
    <row r="568" customFormat="false" ht="15" hidden="false" customHeight="false" outlineLevel="0" collapsed="false">
      <c r="A568" s="24" t="str">
        <f aca="false">IF($B568="","",ROW()-5)</f>
        <v/>
      </c>
      <c r="B568" s="25"/>
      <c r="C568" s="20"/>
      <c r="D568" s="26"/>
      <c r="E568" s="27"/>
      <c r="F568" s="20"/>
      <c r="G568" s="20"/>
      <c r="H568" s="26"/>
      <c r="I568" s="24" t="str">
        <f aca="false">IF($C568="","",IFERROR(INDEX(WorkerIDs,MATCH($C568,WorkerNames,0)),"?"))</f>
        <v/>
      </c>
      <c r="J568" s="18" t="str">
        <f aca="false">IF($B568="","",$B568-WEEKDAY($B568,2)+1)</f>
        <v/>
      </c>
      <c r="K568" s="28" t="str">
        <f aca="false">IF(OR($I568="",$I568="?",$D568&lt;&gt;"Advance",$B568=""),"",$I568&amp;"|"&amp;$J568&amp;"|"&amp;COUNTIFS($I$6:$I568,$I568,$J$6:$J568,$J568,$D$6:$D568,"Advance"))</f>
        <v/>
      </c>
      <c r="L568" s="29" t="str">
        <f aca="false">IF(OR($I568="",$I568="?",$B568=""),"",SUMPRODUCT((Weeks!$A$6:$A$58&lt;=$J568)*(Weeks!$Z$4:$AK$4=$I568)*Weeks!$Z$6:$AK$58)-SUMIFS($E$6:$E$1005,$I$6:$I$1005,$I568,$B$6:$B$1005,"&lt;="&amp;$B568))</f>
        <v/>
      </c>
      <c r="M568" s="19" t="str">
        <f aca="false">IF($B568&amp;$C568&amp;$D568&amp;$E568="","",IF($B568="","missing date",IF($C568="","missing worker",IF($I568="?","unknown worker - was the name changed on Workers?",IF($D568="","missing type",IF(N($E568)=0,"missing amount",IF(AND($E568&lt;0,$D568&lt;&gt;"Correction"),"negative amount - use a Correction to undo",IF(OR($B568&lt;Weeks!$A$6,$B568&gt;Weeks!$B$58),"date outside this workbook's year",IF(AND($D568="Advance",N($L568)&lt;0),"Warning: more than earned so far - worker now owes "&amp;ROUND(-$L568,0),"")))))))))</f>
        <v/>
      </c>
    </row>
    <row r="569" customFormat="false" ht="15" hidden="false" customHeight="false" outlineLevel="0" collapsed="false">
      <c r="A569" s="24" t="str">
        <f aca="false">IF($B569="","",ROW()-5)</f>
        <v/>
      </c>
      <c r="B569" s="25"/>
      <c r="C569" s="20"/>
      <c r="D569" s="26"/>
      <c r="E569" s="27"/>
      <c r="F569" s="20"/>
      <c r="G569" s="20"/>
      <c r="H569" s="26"/>
      <c r="I569" s="24" t="str">
        <f aca="false">IF($C569="","",IFERROR(INDEX(WorkerIDs,MATCH($C569,WorkerNames,0)),"?"))</f>
        <v/>
      </c>
      <c r="J569" s="18" t="str">
        <f aca="false">IF($B569="","",$B569-WEEKDAY($B569,2)+1)</f>
        <v/>
      </c>
      <c r="K569" s="28" t="str">
        <f aca="false">IF(OR($I569="",$I569="?",$D569&lt;&gt;"Advance",$B569=""),"",$I569&amp;"|"&amp;$J569&amp;"|"&amp;COUNTIFS($I$6:$I569,$I569,$J$6:$J569,$J569,$D$6:$D569,"Advance"))</f>
        <v/>
      </c>
      <c r="L569" s="29" t="str">
        <f aca="false">IF(OR($I569="",$I569="?",$B569=""),"",SUMPRODUCT((Weeks!$A$6:$A$58&lt;=$J569)*(Weeks!$Z$4:$AK$4=$I569)*Weeks!$Z$6:$AK$58)-SUMIFS($E$6:$E$1005,$I$6:$I$1005,$I569,$B$6:$B$1005,"&lt;="&amp;$B569))</f>
        <v/>
      </c>
      <c r="M569" s="19" t="str">
        <f aca="false">IF($B569&amp;$C569&amp;$D569&amp;$E569="","",IF($B569="","missing date",IF($C569="","missing worker",IF($I569="?","unknown worker - was the name changed on Workers?",IF($D569="","missing type",IF(N($E569)=0,"missing amount",IF(AND($E569&lt;0,$D569&lt;&gt;"Correction"),"negative amount - use a Correction to undo",IF(OR($B569&lt;Weeks!$A$6,$B569&gt;Weeks!$B$58),"date outside this workbook's year",IF(AND($D569="Advance",N($L569)&lt;0),"Warning: more than earned so far - worker now owes "&amp;ROUND(-$L569,0),"")))))))))</f>
        <v/>
      </c>
    </row>
    <row r="570" customFormat="false" ht="15" hidden="false" customHeight="false" outlineLevel="0" collapsed="false">
      <c r="A570" s="24" t="str">
        <f aca="false">IF($B570="","",ROW()-5)</f>
        <v/>
      </c>
      <c r="B570" s="25"/>
      <c r="C570" s="20"/>
      <c r="D570" s="26"/>
      <c r="E570" s="27"/>
      <c r="F570" s="20"/>
      <c r="G570" s="20"/>
      <c r="H570" s="26"/>
      <c r="I570" s="24" t="str">
        <f aca="false">IF($C570="","",IFERROR(INDEX(WorkerIDs,MATCH($C570,WorkerNames,0)),"?"))</f>
        <v/>
      </c>
      <c r="J570" s="18" t="str">
        <f aca="false">IF($B570="","",$B570-WEEKDAY($B570,2)+1)</f>
        <v/>
      </c>
      <c r="K570" s="28" t="str">
        <f aca="false">IF(OR($I570="",$I570="?",$D570&lt;&gt;"Advance",$B570=""),"",$I570&amp;"|"&amp;$J570&amp;"|"&amp;COUNTIFS($I$6:$I570,$I570,$J$6:$J570,$J570,$D$6:$D570,"Advance"))</f>
        <v/>
      </c>
      <c r="L570" s="29" t="str">
        <f aca="false">IF(OR($I570="",$I570="?",$B570=""),"",SUMPRODUCT((Weeks!$A$6:$A$58&lt;=$J570)*(Weeks!$Z$4:$AK$4=$I570)*Weeks!$Z$6:$AK$58)-SUMIFS($E$6:$E$1005,$I$6:$I$1005,$I570,$B$6:$B$1005,"&lt;="&amp;$B570))</f>
        <v/>
      </c>
      <c r="M570" s="19" t="str">
        <f aca="false">IF($B570&amp;$C570&amp;$D570&amp;$E570="","",IF($B570="","missing date",IF($C570="","missing worker",IF($I570="?","unknown worker - was the name changed on Workers?",IF($D570="","missing type",IF(N($E570)=0,"missing amount",IF(AND($E570&lt;0,$D570&lt;&gt;"Correction"),"negative amount - use a Correction to undo",IF(OR($B570&lt;Weeks!$A$6,$B570&gt;Weeks!$B$58),"date outside this workbook's year",IF(AND($D570="Advance",N($L570)&lt;0),"Warning: more than earned so far - worker now owes "&amp;ROUND(-$L570,0),"")))))))))</f>
        <v/>
      </c>
    </row>
    <row r="571" customFormat="false" ht="15" hidden="false" customHeight="false" outlineLevel="0" collapsed="false">
      <c r="A571" s="24" t="str">
        <f aca="false">IF($B571="","",ROW()-5)</f>
        <v/>
      </c>
      <c r="B571" s="25"/>
      <c r="C571" s="20"/>
      <c r="D571" s="26"/>
      <c r="E571" s="27"/>
      <c r="F571" s="20"/>
      <c r="G571" s="20"/>
      <c r="H571" s="26"/>
      <c r="I571" s="24" t="str">
        <f aca="false">IF($C571="","",IFERROR(INDEX(WorkerIDs,MATCH($C571,WorkerNames,0)),"?"))</f>
        <v/>
      </c>
      <c r="J571" s="18" t="str">
        <f aca="false">IF($B571="","",$B571-WEEKDAY($B571,2)+1)</f>
        <v/>
      </c>
      <c r="K571" s="28" t="str">
        <f aca="false">IF(OR($I571="",$I571="?",$D571&lt;&gt;"Advance",$B571=""),"",$I571&amp;"|"&amp;$J571&amp;"|"&amp;COUNTIFS($I$6:$I571,$I571,$J$6:$J571,$J571,$D$6:$D571,"Advance"))</f>
        <v/>
      </c>
      <c r="L571" s="29" t="str">
        <f aca="false">IF(OR($I571="",$I571="?",$B571=""),"",SUMPRODUCT((Weeks!$A$6:$A$58&lt;=$J571)*(Weeks!$Z$4:$AK$4=$I571)*Weeks!$Z$6:$AK$58)-SUMIFS($E$6:$E$1005,$I$6:$I$1005,$I571,$B$6:$B$1005,"&lt;="&amp;$B571))</f>
        <v/>
      </c>
      <c r="M571" s="19" t="str">
        <f aca="false">IF($B571&amp;$C571&amp;$D571&amp;$E571="","",IF($B571="","missing date",IF($C571="","missing worker",IF($I571="?","unknown worker - was the name changed on Workers?",IF($D571="","missing type",IF(N($E571)=0,"missing amount",IF(AND($E571&lt;0,$D571&lt;&gt;"Correction"),"negative amount - use a Correction to undo",IF(OR($B571&lt;Weeks!$A$6,$B571&gt;Weeks!$B$58),"date outside this workbook's year",IF(AND($D571="Advance",N($L571)&lt;0),"Warning: more than earned so far - worker now owes "&amp;ROUND(-$L571,0),"")))))))))</f>
        <v/>
      </c>
    </row>
    <row r="572" customFormat="false" ht="15" hidden="false" customHeight="false" outlineLevel="0" collapsed="false">
      <c r="A572" s="24" t="str">
        <f aca="false">IF($B572="","",ROW()-5)</f>
        <v/>
      </c>
      <c r="B572" s="25"/>
      <c r="C572" s="20"/>
      <c r="D572" s="26"/>
      <c r="E572" s="27"/>
      <c r="F572" s="20"/>
      <c r="G572" s="20"/>
      <c r="H572" s="26"/>
      <c r="I572" s="24" t="str">
        <f aca="false">IF($C572="","",IFERROR(INDEX(WorkerIDs,MATCH($C572,WorkerNames,0)),"?"))</f>
        <v/>
      </c>
      <c r="J572" s="18" t="str">
        <f aca="false">IF($B572="","",$B572-WEEKDAY($B572,2)+1)</f>
        <v/>
      </c>
      <c r="K572" s="28" t="str">
        <f aca="false">IF(OR($I572="",$I572="?",$D572&lt;&gt;"Advance",$B572=""),"",$I572&amp;"|"&amp;$J572&amp;"|"&amp;COUNTIFS($I$6:$I572,$I572,$J$6:$J572,$J572,$D$6:$D572,"Advance"))</f>
        <v/>
      </c>
      <c r="L572" s="29" t="str">
        <f aca="false">IF(OR($I572="",$I572="?",$B572=""),"",SUMPRODUCT((Weeks!$A$6:$A$58&lt;=$J572)*(Weeks!$Z$4:$AK$4=$I572)*Weeks!$Z$6:$AK$58)-SUMIFS($E$6:$E$1005,$I$6:$I$1005,$I572,$B$6:$B$1005,"&lt;="&amp;$B572))</f>
        <v/>
      </c>
      <c r="M572" s="19" t="str">
        <f aca="false">IF($B572&amp;$C572&amp;$D572&amp;$E572="","",IF($B572="","missing date",IF($C572="","missing worker",IF($I572="?","unknown worker - was the name changed on Workers?",IF($D572="","missing type",IF(N($E572)=0,"missing amount",IF(AND($E572&lt;0,$D572&lt;&gt;"Correction"),"negative amount - use a Correction to undo",IF(OR($B572&lt;Weeks!$A$6,$B572&gt;Weeks!$B$58),"date outside this workbook's year",IF(AND($D572="Advance",N($L572)&lt;0),"Warning: more than earned so far - worker now owes "&amp;ROUND(-$L572,0),"")))))))))</f>
        <v/>
      </c>
    </row>
    <row r="573" customFormat="false" ht="15" hidden="false" customHeight="false" outlineLevel="0" collapsed="false">
      <c r="A573" s="24" t="str">
        <f aca="false">IF($B573="","",ROW()-5)</f>
        <v/>
      </c>
      <c r="B573" s="25"/>
      <c r="C573" s="20"/>
      <c r="D573" s="26"/>
      <c r="E573" s="27"/>
      <c r="F573" s="20"/>
      <c r="G573" s="20"/>
      <c r="H573" s="26"/>
      <c r="I573" s="24" t="str">
        <f aca="false">IF($C573="","",IFERROR(INDEX(WorkerIDs,MATCH($C573,WorkerNames,0)),"?"))</f>
        <v/>
      </c>
      <c r="J573" s="18" t="str">
        <f aca="false">IF($B573="","",$B573-WEEKDAY($B573,2)+1)</f>
        <v/>
      </c>
      <c r="K573" s="28" t="str">
        <f aca="false">IF(OR($I573="",$I573="?",$D573&lt;&gt;"Advance",$B573=""),"",$I573&amp;"|"&amp;$J573&amp;"|"&amp;COUNTIFS($I$6:$I573,$I573,$J$6:$J573,$J573,$D$6:$D573,"Advance"))</f>
        <v/>
      </c>
      <c r="L573" s="29" t="str">
        <f aca="false">IF(OR($I573="",$I573="?",$B573=""),"",SUMPRODUCT((Weeks!$A$6:$A$58&lt;=$J573)*(Weeks!$Z$4:$AK$4=$I573)*Weeks!$Z$6:$AK$58)-SUMIFS($E$6:$E$1005,$I$6:$I$1005,$I573,$B$6:$B$1005,"&lt;="&amp;$B573))</f>
        <v/>
      </c>
      <c r="M573" s="19" t="str">
        <f aca="false">IF($B573&amp;$C573&amp;$D573&amp;$E573="","",IF($B573="","missing date",IF($C573="","missing worker",IF($I573="?","unknown worker - was the name changed on Workers?",IF($D573="","missing type",IF(N($E573)=0,"missing amount",IF(AND($E573&lt;0,$D573&lt;&gt;"Correction"),"negative amount - use a Correction to undo",IF(OR($B573&lt;Weeks!$A$6,$B573&gt;Weeks!$B$58),"date outside this workbook's year",IF(AND($D573="Advance",N($L573)&lt;0),"Warning: more than earned so far - worker now owes "&amp;ROUND(-$L573,0),"")))))))))</f>
        <v/>
      </c>
    </row>
    <row r="574" customFormat="false" ht="15" hidden="false" customHeight="false" outlineLevel="0" collapsed="false">
      <c r="A574" s="24" t="str">
        <f aca="false">IF($B574="","",ROW()-5)</f>
        <v/>
      </c>
      <c r="B574" s="25"/>
      <c r="C574" s="20"/>
      <c r="D574" s="26"/>
      <c r="E574" s="27"/>
      <c r="F574" s="20"/>
      <c r="G574" s="20"/>
      <c r="H574" s="26"/>
      <c r="I574" s="24" t="str">
        <f aca="false">IF($C574="","",IFERROR(INDEX(WorkerIDs,MATCH($C574,WorkerNames,0)),"?"))</f>
        <v/>
      </c>
      <c r="J574" s="18" t="str">
        <f aca="false">IF($B574="","",$B574-WEEKDAY($B574,2)+1)</f>
        <v/>
      </c>
      <c r="K574" s="28" t="str">
        <f aca="false">IF(OR($I574="",$I574="?",$D574&lt;&gt;"Advance",$B574=""),"",$I574&amp;"|"&amp;$J574&amp;"|"&amp;COUNTIFS($I$6:$I574,$I574,$J$6:$J574,$J574,$D$6:$D574,"Advance"))</f>
        <v/>
      </c>
      <c r="L574" s="29" t="str">
        <f aca="false">IF(OR($I574="",$I574="?",$B574=""),"",SUMPRODUCT((Weeks!$A$6:$A$58&lt;=$J574)*(Weeks!$Z$4:$AK$4=$I574)*Weeks!$Z$6:$AK$58)-SUMIFS($E$6:$E$1005,$I$6:$I$1005,$I574,$B$6:$B$1005,"&lt;="&amp;$B574))</f>
        <v/>
      </c>
      <c r="M574" s="19" t="str">
        <f aca="false">IF($B574&amp;$C574&amp;$D574&amp;$E574="","",IF($B574="","missing date",IF($C574="","missing worker",IF($I574="?","unknown worker - was the name changed on Workers?",IF($D574="","missing type",IF(N($E574)=0,"missing amount",IF(AND($E574&lt;0,$D574&lt;&gt;"Correction"),"negative amount - use a Correction to undo",IF(OR($B574&lt;Weeks!$A$6,$B574&gt;Weeks!$B$58),"date outside this workbook's year",IF(AND($D574="Advance",N($L574)&lt;0),"Warning: more than earned so far - worker now owes "&amp;ROUND(-$L574,0),"")))))))))</f>
        <v/>
      </c>
    </row>
    <row r="575" customFormat="false" ht="15" hidden="false" customHeight="false" outlineLevel="0" collapsed="false">
      <c r="A575" s="24" t="str">
        <f aca="false">IF($B575="","",ROW()-5)</f>
        <v/>
      </c>
      <c r="B575" s="25"/>
      <c r="C575" s="20"/>
      <c r="D575" s="26"/>
      <c r="E575" s="27"/>
      <c r="F575" s="20"/>
      <c r="G575" s="20"/>
      <c r="H575" s="26"/>
      <c r="I575" s="24" t="str">
        <f aca="false">IF($C575="","",IFERROR(INDEX(WorkerIDs,MATCH($C575,WorkerNames,0)),"?"))</f>
        <v/>
      </c>
      <c r="J575" s="18" t="str">
        <f aca="false">IF($B575="","",$B575-WEEKDAY($B575,2)+1)</f>
        <v/>
      </c>
      <c r="K575" s="28" t="str">
        <f aca="false">IF(OR($I575="",$I575="?",$D575&lt;&gt;"Advance",$B575=""),"",$I575&amp;"|"&amp;$J575&amp;"|"&amp;COUNTIFS($I$6:$I575,$I575,$J$6:$J575,$J575,$D$6:$D575,"Advance"))</f>
        <v/>
      </c>
      <c r="L575" s="29" t="str">
        <f aca="false">IF(OR($I575="",$I575="?",$B575=""),"",SUMPRODUCT((Weeks!$A$6:$A$58&lt;=$J575)*(Weeks!$Z$4:$AK$4=$I575)*Weeks!$Z$6:$AK$58)-SUMIFS($E$6:$E$1005,$I$6:$I$1005,$I575,$B$6:$B$1005,"&lt;="&amp;$B575))</f>
        <v/>
      </c>
      <c r="M575" s="19" t="str">
        <f aca="false">IF($B575&amp;$C575&amp;$D575&amp;$E575="","",IF($B575="","missing date",IF($C575="","missing worker",IF($I575="?","unknown worker - was the name changed on Workers?",IF($D575="","missing type",IF(N($E575)=0,"missing amount",IF(AND($E575&lt;0,$D575&lt;&gt;"Correction"),"negative amount - use a Correction to undo",IF(OR($B575&lt;Weeks!$A$6,$B575&gt;Weeks!$B$58),"date outside this workbook's year",IF(AND($D575="Advance",N($L575)&lt;0),"Warning: more than earned so far - worker now owes "&amp;ROUND(-$L575,0),"")))))))))</f>
        <v/>
      </c>
    </row>
    <row r="576" customFormat="false" ht="15" hidden="false" customHeight="false" outlineLevel="0" collapsed="false">
      <c r="A576" s="24" t="str">
        <f aca="false">IF($B576="","",ROW()-5)</f>
        <v/>
      </c>
      <c r="B576" s="25"/>
      <c r="C576" s="20"/>
      <c r="D576" s="26"/>
      <c r="E576" s="27"/>
      <c r="F576" s="20"/>
      <c r="G576" s="20"/>
      <c r="H576" s="26"/>
      <c r="I576" s="24" t="str">
        <f aca="false">IF($C576="","",IFERROR(INDEX(WorkerIDs,MATCH($C576,WorkerNames,0)),"?"))</f>
        <v/>
      </c>
      <c r="J576" s="18" t="str">
        <f aca="false">IF($B576="","",$B576-WEEKDAY($B576,2)+1)</f>
        <v/>
      </c>
      <c r="K576" s="28" t="str">
        <f aca="false">IF(OR($I576="",$I576="?",$D576&lt;&gt;"Advance",$B576=""),"",$I576&amp;"|"&amp;$J576&amp;"|"&amp;COUNTIFS($I$6:$I576,$I576,$J$6:$J576,$J576,$D$6:$D576,"Advance"))</f>
        <v/>
      </c>
      <c r="L576" s="29" t="str">
        <f aca="false">IF(OR($I576="",$I576="?",$B576=""),"",SUMPRODUCT((Weeks!$A$6:$A$58&lt;=$J576)*(Weeks!$Z$4:$AK$4=$I576)*Weeks!$Z$6:$AK$58)-SUMIFS($E$6:$E$1005,$I$6:$I$1005,$I576,$B$6:$B$1005,"&lt;="&amp;$B576))</f>
        <v/>
      </c>
      <c r="M576" s="19" t="str">
        <f aca="false">IF($B576&amp;$C576&amp;$D576&amp;$E576="","",IF($B576="","missing date",IF($C576="","missing worker",IF($I576="?","unknown worker - was the name changed on Workers?",IF($D576="","missing type",IF(N($E576)=0,"missing amount",IF(AND($E576&lt;0,$D576&lt;&gt;"Correction"),"negative amount - use a Correction to undo",IF(OR($B576&lt;Weeks!$A$6,$B576&gt;Weeks!$B$58),"date outside this workbook's year",IF(AND($D576="Advance",N($L576)&lt;0),"Warning: more than earned so far - worker now owes "&amp;ROUND(-$L576,0),"")))))))))</f>
        <v/>
      </c>
    </row>
    <row r="577" customFormat="false" ht="15" hidden="false" customHeight="false" outlineLevel="0" collapsed="false">
      <c r="A577" s="24" t="str">
        <f aca="false">IF($B577="","",ROW()-5)</f>
        <v/>
      </c>
      <c r="B577" s="25"/>
      <c r="C577" s="20"/>
      <c r="D577" s="26"/>
      <c r="E577" s="27"/>
      <c r="F577" s="20"/>
      <c r="G577" s="20"/>
      <c r="H577" s="26"/>
      <c r="I577" s="24" t="str">
        <f aca="false">IF($C577="","",IFERROR(INDEX(WorkerIDs,MATCH($C577,WorkerNames,0)),"?"))</f>
        <v/>
      </c>
      <c r="J577" s="18" t="str">
        <f aca="false">IF($B577="","",$B577-WEEKDAY($B577,2)+1)</f>
        <v/>
      </c>
      <c r="K577" s="28" t="str">
        <f aca="false">IF(OR($I577="",$I577="?",$D577&lt;&gt;"Advance",$B577=""),"",$I577&amp;"|"&amp;$J577&amp;"|"&amp;COUNTIFS($I$6:$I577,$I577,$J$6:$J577,$J577,$D$6:$D577,"Advance"))</f>
        <v/>
      </c>
      <c r="L577" s="29" t="str">
        <f aca="false">IF(OR($I577="",$I577="?",$B577=""),"",SUMPRODUCT((Weeks!$A$6:$A$58&lt;=$J577)*(Weeks!$Z$4:$AK$4=$I577)*Weeks!$Z$6:$AK$58)-SUMIFS($E$6:$E$1005,$I$6:$I$1005,$I577,$B$6:$B$1005,"&lt;="&amp;$B577))</f>
        <v/>
      </c>
      <c r="M577" s="19" t="str">
        <f aca="false">IF($B577&amp;$C577&amp;$D577&amp;$E577="","",IF($B577="","missing date",IF($C577="","missing worker",IF($I577="?","unknown worker - was the name changed on Workers?",IF($D577="","missing type",IF(N($E577)=0,"missing amount",IF(AND($E577&lt;0,$D577&lt;&gt;"Correction"),"negative amount - use a Correction to undo",IF(OR($B577&lt;Weeks!$A$6,$B577&gt;Weeks!$B$58),"date outside this workbook's year",IF(AND($D577="Advance",N($L577)&lt;0),"Warning: more than earned so far - worker now owes "&amp;ROUND(-$L577,0),"")))))))))</f>
        <v/>
      </c>
    </row>
    <row r="578" customFormat="false" ht="15" hidden="false" customHeight="false" outlineLevel="0" collapsed="false">
      <c r="A578" s="24" t="str">
        <f aca="false">IF($B578="","",ROW()-5)</f>
        <v/>
      </c>
      <c r="B578" s="25"/>
      <c r="C578" s="20"/>
      <c r="D578" s="26"/>
      <c r="E578" s="27"/>
      <c r="F578" s="20"/>
      <c r="G578" s="20"/>
      <c r="H578" s="26"/>
      <c r="I578" s="24" t="str">
        <f aca="false">IF($C578="","",IFERROR(INDEX(WorkerIDs,MATCH($C578,WorkerNames,0)),"?"))</f>
        <v/>
      </c>
      <c r="J578" s="18" t="str">
        <f aca="false">IF($B578="","",$B578-WEEKDAY($B578,2)+1)</f>
        <v/>
      </c>
      <c r="K578" s="28" t="str">
        <f aca="false">IF(OR($I578="",$I578="?",$D578&lt;&gt;"Advance",$B578=""),"",$I578&amp;"|"&amp;$J578&amp;"|"&amp;COUNTIFS($I$6:$I578,$I578,$J$6:$J578,$J578,$D$6:$D578,"Advance"))</f>
        <v/>
      </c>
      <c r="L578" s="29" t="str">
        <f aca="false">IF(OR($I578="",$I578="?",$B578=""),"",SUMPRODUCT((Weeks!$A$6:$A$58&lt;=$J578)*(Weeks!$Z$4:$AK$4=$I578)*Weeks!$Z$6:$AK$58)-SUMIFS($E$6:$E$1005,$I$6:$I$1005,$I578,$B$6:$B$1005,"&lt;="&amp;$B578))</f>
        <v/>
      </c>
      <c r="M578" s="19" t="str">
        <f aca="false">IF($B578&amp;$C578&amp;$D578&amp;$E578="","",IF($B578="","missing date",IF($C578="","missing worker",IF($I578="?","unknown worker - was the name changed on Workers?",IF($D578="","missing type",IF(N($E578)=0,"missing amount",IF(AND($E578&lt;0,$D578&lt;&gt;"Correction"),"negative amount - use a Correction to undo",IF(OR($B578&lt;Weeks!$A$6,$B578&gt;Weeks!$B$58),"date outside this workbook's year",IF(AND($D578="Advance",N($L578)&lt;0),"Warning: more than earned so far - worker now owes "&amp;ROUND(-$L578,0),"")))))))))</f>
        <v/>
      </c>
    </row>
    <row r="579" customFormat="false" ht="15" hidden="false" customHeight="false" outlineLevel="0" collapsed="false">
      <c r="A579" s="24" t="str">
        <f aca="false">IF($B579="","",ROW()-5)</f>
        <v/>
      </c>
      <c r="B579" s="25"/>
      <c r="C579" s="20"/>
      <c r="D579" s="26"/>
      <c r="E579" s="27"/>
      <c r="F579" s="20"/>
      <c r="G579" s="20"/>
      <c r="H579" s="26"/>
      <c r="I579" s="24" t="str">
        <f aca="false">IF($C579="","",IFERROR(INDEX(WorkerIDs,MATCH($C579,WorkerNames,0)),"?"))</f>
        <v/>
      </c>
      <c r="J579" s="18" t="str">
        <f aca="false">IF($B579="","",$B579-WEEKDAY($B579,2)+1)</f>
        <v/>
      </c>
      <c r="K579" s="28" t="str">
        <f aca="false">IF(OR($I579="",$I579="?",$D579&lt;&gt;"Advance",$B579=""),"",$I579&amp;"|"&amp;$J579&amp;"|"&amp;COUNTIFS($I$6:$I579,$I579,$J$6:$J579,$J579,$D$6:$D579,"Advance"))</f>
        <v/>
      </c>
      <c r="L579" s="29" t="str">
        <f aca="false">IF(OR($I579="",$I579="?",$B579=""),"",SUMPRODUCT((Weeks!$A$6:$A$58&lt;=$J579)*(Weeks!$Z$4:$AK$4=$I579)*Weeks!$Z$6:$AK$58)-SUMIFS($E$6:$E$1005,$I$6:$I$1005,$I579,$B$6:$B$1005,"&lt;="&amp;$B579))</f>
        <v/>
      </c>
      <c r="M579" s="19" t="str">
        <f aca="false">IF($B579&amp;$C579&amp;$D579&amp;$E579="","",IF($B579="","missing date",IF($C579="","missing worker",IF($I579="?","unknown worker - was the name changed on Workers?",IF($D579="","missing type",IF(N($E579)=0,"missing amount",IF(AND($E579&lt;0,$D579&lt;&gt;"Correction"),"negative amount - use a Correction to undo",IF(OR($B579&lt;Weeks!$A$6,$B579&gt;Weeks!$B$58),"date outside this workbook's year",IF(AND($D579="Advance",N($L579)&lt;0),"Warning: more than earned so far - worker now owes "&amp;ROUND(-$L579,0),"")))))))))</f>
        <v/>
      </c>
    </row>
    <row r="580" customFormat="false" ht="15" hidden="false" customHeight="false" outlineLevel="0" collapsed="false">
      <c r="A580" s="24" t="str">
        <f aca="false">IF($B580="","",ROW()-5)</f>
        <v/>
      </c>
      <c r="B580" s="25"/>
      <c r="C580" s="20"/>
      <c r="D580" s="26"/>
      <c r="E580" s="27"/>
      <c r="F580" s="20"/>
      <c r="G580" s="20"/>
      <c r="H580" s="26"/>
      <c r="I580" s="24" t="str">
        <f aca="false">IF($C580="","",IFERROR(INDEX(WorkerIDs,MATCH($C580,WorkerNames,0)),"?"))</f>
        <v/>
      </c>
      <c r="J580" s="18" t="str">
        <f aca="false">IF($B580="","",$B580-WEEKDAY($B580,2)+1)</f>
        <v/>
      </c>
      <c r="K580" s="28" t="str">
        <f aca="false">IF(OR($I580="",$I580="?",$D580&lt;&gt;"Advance",$B580=""),"",$I580&amp;"|"&amp;$J580&amp;"|"&amp;COUNTIFS($I$6:$I580,$I580,$J$6:$J580,$J580,$D$6:$D580,"Advance"))</f>
        <v/>
      </c>
      <c r="L580" s="29" t="str">
        <f aca="false">IF(OR($I580="",$I580="?",$B580=""),"",SUMPRODUCT((Weeks!$A$6:$A$58&lt;=$J580)*(Weeks!$Z$4:$AK$4=$I580)*Weeks!$Z$6:$AK$58)-SUMIFS($E$6:$E$1005,$I$6:$I$1005,$I580,$B$6:$B$1005,"&lt;="&amp;$B580))</f>
        <v/>
      </c>
      <c r="M580" s="19" t="str">
        <f aca="false">IF($B580&amp;$C580&amp;$D580&amp;$E580="","",IF($B580="","missing date",IF($C580="","missing worker",IF($I580="?","unknown worker - was the name changed on Workers?",IF($D580="","missing type",IF(N($E580)=0,"missing amount",IF(AND($E580&lt;0,$D580&lt;&gt;"Correction"),"negative amount - use a Correction to undo",IF(OR($B580&lt;Weeks!$A$6,$B580&gt;Weeks!$B$58),"date outside this workbook's year",IF(AND($D580="Advance",N($L580)&lt;0),"Warning: more than earned so far - worker now owes "&amp;ROUND(-$L580,0),"")))))))))</f>
        <v/>
      </c>
    </row>
    <row r="581" customFormat="false" ht="15" hidden="false" customHeight="false" outlineLevel="0" collapsed="false">
      <c r="A581" s="24" t="str">
        <f aca="false">IF($B581="","",ROW()-5)</f>
        <v/>
      </c>
      <c r="B581" s="25"/>
      <c r="C581" s="20"/>
      <c r="D581" s="26"/>
      <c r="E581" s="27"/>
      <c r="F581" s="20"/>
      <c r="G581" s="20"/>
      <c r="H581" s="26"/>
      <c r="I581" s="24" t="str">
        <f aca="false">IF($C581="","",IFERROR(INDEX(WorkerIDs,MATCH($C581,WorkerNames,0)),"?"))</f>
        <v/>
      </c>
      <c r="J581" s="18" t="str">
        <f aca="false">IF($B581="","",$B581-WEEKDAY($B581,2)+1)</f>
        <v/>
      </c>
      <c r="K581" s="28" t="str">
        <f aca="false">IF(OR($I581="",$I581="?",$D581&lt;&gt;"Advance",$B581=""),"",$I581&amp;"|"&amp;$J581&amp;"|"&amp;COUNTIFS($I$6:$I581,$I581,$J$6:$J581,$J581,$D$6:$D581,"Advance"))</f>
        <v/>
      </c>
      <c r="L581" s="29" t="str">
        <f aca="false">IF(OR($I581="",$I581="?",$B581=""),"",SUMPRODUCT((Weeks!$A$6:$A$58&lt;=$J581)*(Weeks!$Z$4:$AK$4=$I581)*Weeks!$Z$6:$AK$58)-SUMIFS($E$6:$E$1005,$I$6:$I$1005,$I581,$B$6:$B$1005,"&lt;="&amp;$B581))</f>
        <v/>
      </c>
      <c r="M581" s="19" t="str">
        <f aca="false">IF($B581&amp;$C581&amp;$D581&amp;$E581="","",IF($B581="","missing date",IF($C581="","missing worker",IF($I581="?","unknown worker - was the name changed on Workers?",IF($D581="","missing type",IF(N($E581)=0,"missing amount",IF(AND($E581&lt;0,$D581&lt;&gt;"Correction"),"negative amount - use a Correction to undo",IF(OR($B581&lt;Weeks!$A$6,$B581&gt;Weeks!$B$58),"date outside this workbook's year",IF(AND($D581="Advance",N($L581)&lt;0),"Warning: more than earned so far - worker now owes "&amp;ROUND(-$L581,0),"")))))))))</f>
        <v/>
      </c>
    </row>
    <row r="582" customFormat="false" ht="15" hidden="false" customHeight="false" outlineLevel="0" collapsed="false">
      <c r="A582" s="24" t="str">
        <f aca="false">IF($B582="","",ROW()-5)</f>
        <v/>
      </c>
      <c r="B582" s="25"/>
      <c r="C582" s="20"/>
      <c r="D582" s="26"/>
      <c r="E582" s="27"/>
      <c r="F582" s="20"/>
      <c r="G582" s="20"/>
      <c r="H582" s="26"/>
      <c r="I582" s="24" t="str">
        <f aca="false">IF($C582="","",IFERROR(INDEX(WorkerIDs,MATCH($C582,WorkerNames,0)),"?"))</f>
        <v/>
      </c>
      <c r="J582" s="18" t="str">
        <f aca="false">IF($B582="","",$B582-WEEKDAY($B582,2)+1)</f>
        <v/>
      </c>
      <c r="K582" s="28" t="str">
        <f aca="false">IF(OR($I582="",$I582="?",$D582&lt;&gt;"Advance",$B582=""),"",$I582&amp;"|"&amp;$J582&amp;"|"&amp;COUNTIFS($I$6:$I582,$I582,$J$6:$J582,$J582,$D$6:$D582,"Advance"))</f>
        <v/>
      </c>
      <c r="L582" s="29" t="str">
        <f aca="false">IF(OR($I582="",$I582="?",$B582=""),"",SUMPRODUCT((Weeks!$A$6:$A$58&lt;=$J582)*(Weeks!$Z$4:$AK$4=$I582)*Weeks!$Z$6:$AK$58)-SUMIFS($E$6:$E$1005,$I$6:$I$1005,$I582,$B$6:$B$1005,"&lt;="&amp;$B582))</f>
        <v/>
      </c>
      <c r="M582" s="19" t="str">
        <f aca="false">IF($B582&amp;$C582&amp;$D582&amp;$E582="","",IF($B582="","missing date",IF($C582="","missing worker",IF($I582="?","unknown worker - was the name changed on Workers?",IF($D582="","missing type",IF(N($E582)=0,"missing amount",IF(AND($E582&lt;0,$D582&lt;&gt;"Correction"),"negative amount - use a Correction to undo",IF(OR($B582&lt;Weeks!$A$6,$B582&gt;Weeks!$B$58),"date outside this workbook's year",IF(AND($D582="Advance",N($L582)&lt;0),"Warning: more than earned so far - worker now owes "&amp;ROUND(-$L582,0),"")))))))))</f>
        <v/>
      </c>
    </row>
    <row r="583" customFormat="false" ht="15" hidden="false" customHeight="false" outlineLevel="0" collapsed="false">
      <c r="A583" s="24" t="str">
        <f aca="false">IF($B583="","",ROW()-5)</f>
        <v/>
      </c>
      <c r="B583" s="25"/>
      <c r="C583" s="20"/>
      <c r="D583" s="26"/>
      <c r="E583" s="27"/>
      <c r="F583" s="20"/>
      <c r="G583" s="20"/>
      <c r="H583" s="26"/>
      <c r="I583" s="24" t="str">
        <f aca="false">IF($C583="","",IFERROR(INDEX(WorkerIDs,MATCH($C583,WorkerNames,0)),"?"))</f>
        <v/>
      </c>
      <c r="J583" s="18" t="str">
        <f aca="false">IF($B583="","",$B583-WEEKDAY($B583,2)+1)</f>
        <v/>
      </c>
      <c r="K583" s="28" t="str">
        <f aca="false">IF(OR($I583="",$I583="?",$D583&lt;&gt;"Advance",$B583=""),"",$I583&amp;"|"&amp;$J583&amp;"|"&amp;COUNTIFS($I$6:$I583,$I583,$J$6:$J583,$J583,$D$6:$D583,"Advance"))</f>
        <v/>
      </c>
      <c r="L583" s="29" t="str">
        <f aca="false">IF(OR($I583="",$I583="?",$B583=""),"",SUMPRODUCT((Weeks!$A$6:$A$58&lt;=$J583)*(Weeks!$Z$4:$AK$4=$I583)*Weeks!$Z$6:$AK$58)-SUMIFS($E$6:$E$1005,$I$6:$I$1005,$I583,$B$6:$B$1005,"&lt;="&amp;$B583))</f>
        <v/>
      </c>
      <c r="M583" s="19" t="str">
        <f aca="false">IF($B583&amp;$C583&amp;$D583&amp;$E583="","",IF($B583="","missing date",IF($C583="","missing worker",IF($I583="?","unknown worker - was the name changed on Workers?",IF($D583="","missing type",IF(N($E583)=0,"missing amount",IF(AND($E583&lt;0,$D583&lt;&gt;"Correction"),"negative amount - use a Correction to undo",IF(OR($B583&lt;Weeks!$A$6,$B583&gt;Weeks!$B$58),"date outside this workbook's year",IF(AND($D583="Advance",N($L583)&lt;0),"Warning: more than earned so far - worker now owes "&amp;ROUND(-$L583,0),"")))))))))</f>
        <v/>
      </c>
    </row>
    <row r="584" customFormat="false" ht="15" hidden="false" customHeight="false" outlineLevel="0" collapsed="false">
      <c r="A584" s="24" t="str">
        <f aca="false">IF($B584="","",ROW()-5)</f>
        <v/>
      </c>
      <c r="B584" s="25"/>
      <c r="C584" s="20"/>
      <c r="D584" s="26"/>
      <c r="E584" s="27"/>
      <c r="F584" s="20"/>
      <c r="G584" s="20"/>
      <c r="H584" s="26"/>
      <c r="I584" s="24" t="str">
        <f aca="false">IF($C584="","",IFERROR(INDEX(WorkerIDs,MATCH($C584,WorkerNames,0)),"?"))</f>
        <v/>
      </c>
      <c r="J584" s="18" t="str">
        <f aca="false">IF($B584="","",$B584-WEEKDAY($B584,2)+1)</f>
        <v/>
      </c>
      <c r="K584" s="28" t="str">
        <f aca="false">IF(OR($I584="",$I584="?",$D584&lt;&gt;"Advance",$B584=""),"",$I584&amp;"|"&amp;$J584&amp;"|"&amp;COUNTIFS($I$6:$I584,$I584,$J$6:$J584,$J584,$D$6:$D584,"Advance"))</f>
        <v/>
      </c>
      <c r="L584" s="29" t="str">
        <f aca="false">IF(OR($I584="",$I584="?",$B584=""),"",SUMPRODUCT((Weeks!$A$6:$A$58&lt;=$J584)*(Weeks!$Z$4:$AK$4=$I584)*Weeks!$Z$6:$AK$58)-SUMIFS($E$6:$E$1005,$I$6:$I$1005,$I584,$B$6:$B$1005,"&lt;="&amp;$B584))</f>
        <v/>
      </c>
      <c r="M584" s="19" t="str">
        <f aca="false">IF($B584&amp;$C584&amp;$D584&amp;$E584="","",IF($B584="","missing date",IF($C584="","missing worker",IF($I584="?","unknown worker - was the name changed on Workers?",IF($D584="","missing type",IF(N($E584)=0,"missing amount",IF(AND($E584&lt;0,$D584&lt;&gt;"Correction"),"negative amount - use a Correction to undo",IF(OR($B584&lt;Weeks!$A$6,$B584&gt;Weeks!$B$58),"date outside this workbook's year",IF(AND($D584="Advance",N($L584)&lt;0),"Warning: more than earned so far - worker now owes "&amp;ROUND(-$L584,0),"")))))))))</f>
        <v/>
      </c>
    </row>
    <row r="585" customFormat="false" ht="15" hidden="false" customHeight="false" outlineLevel="0" collapsed="false">
      <c r="A585" s="24" t="str">
        <f aca="false">IF($B585="","",ROW()-5)</f>
        <v/>
      </c>
      <c r="B585" s="25"/>
      <c r="C585" s="20"/>
      <c r="D585" s="26"/>
      <c r="E585" s="27"/>
      <c r="F585" s="20"/>
      <c r="G585" s="20"/>
      <c r="H585" s="26"/>
      <c r="I585" s="24" t="str">
        <f aca="false">IF($C585="","",IFERROR(INDEX(WorkerIDs,MATCH($C585,WorkerNames,0)),"?"))</f>
        <v/>
      </c>
      <c r="J585" s="18" t="str">
        <f aca="false">IF($B585="","",$B585-WEEKDAY($B585,2)+1)</f>
        <v/>
      </c>
      <c r="K585" s="28" t="str">
        <f aca="false">IF(OR($I585="",$I585="?",$D585&lt;&gt;"Advance",$B585=""),"",$I585&amp;"|"&amp;$J585&amp;"|"&amp;COUNTIFS($I$6:$I585,$I585,$J$6:$J585,$J585,$D$6:$D585,"Advance"))</f>
        <v/>
      </c>
      <c r="L585" s="29" t="str">
        <f aca="false">IF(OR($I585="",$I585="?",$B585=""),"",SUMPRODUCT((Weeks!$A$6:$A$58&lt;=$J585)*(Weeks!$Z$4:$AK$4=$I585)*Weeks!$Z$6:$AK$58)-SUMIFS($E$6:$E$1005,$I$6:$I$1005,$I585,$B$6:$B$1005,"&lt;="&amp;$B585))</f>
        <v/>
      </c>
      <c r="M585" s="19" t="str">
        <f aca="false">IF($B585&amp;$C585&amp;$D585&amp;$E585="","",IF($B585="","missing date",IF($C585="","missing worker",IF($I585="?","unknown worker - was the name changed on Workers?",IF($D585="","missing type",IF(N($E585)=0,"missing amount",IF(AND($E585&lt;0,$D585&lt;&gt;"Correction"),"negative amount - use a Correction to undo",IF(OR($B585&lt;Weeks!$A$6,$B585&gt;Weeks!$B$58),"date outside this workbook's year",IF(AND($D585="Advance",N($L585)&lt;0),"Warning: more than earned so far - worker now owes "&amp;ROUND(-$L585,0),"")))))))))</f>
        <v/>
      </c>
    </row>
    <row r="586" customFormat="false" ht="15" hidden="false" customHeight="false" outlineLevel="0" collapsed="false">
      <c r="A586" s="24" t="str">
        <f aca="false">IF($B586="","",ROW()-5)</f>
        <v/>
      </c>
      <c r="B586" s="25"/>
      <c r="C586" s="20"/>
      <c r="D586" s="26"/>
      <c r="E586" s="27"/>
      <c r="F586" s="20"/>
      <c r="G586" s="20"/>
      <c r="H586" s="26"/>
      <c r="I586" s="24" t="str">
        <f aca="false">IF($C586="","",IFERROR(INDEX(WorkerIDs,MATCH($C586,WorkerNames,0)),"?"))</f>
        <v/>
      </c>
      <c r="J586" s="18" t="str">
        <f aca="false">IF($B586="","",$B586-WEEKDAY($B586,2)+1)</f>
        <v/>
      </c>
      <c r="K586" s="28" t="str">
        <f aca="false">IF(OR($I586="",$I586="?",$D586&lt;&gt;"Advance",$B586=""),"",$I586&amp;"|"&amp;$J586&amp;"|"&amp;COUNTIFS($I$6:$I586,$I586,$J$6:$J586,$J586,$D$6:$D586,"Advance"))</f>
        <v/>
      </c>
      <c r="L586" s="29" t="str">
        <f aca="false">IF(OR($I586="",$I586="?",$B586=""),"",SUMPRODUCT((Weeks!$A$6:$A$58&lt;=$J586)*(Weeks!$Z$4:$AK$4=$I586)*Weeks!$Z$6:$AK$58)-SUMIFS($E$6:$E$1005,$I$6:$I$1005,$I586,$B$6:$B$1005,"&lt;="&amp;$B586))</f>
        <v/>
      </c>
      <c r="M586" s="19" t="str">
        <f aca="false">IF($B586&amp;$C586&amp;$D586&amp;$E586="","",IF($B586="","missing date",IF($C586="","missing worker",IF($I586="?","unknown worker - was the name changed on Workers?",IF($D586="","missing type",IF(N($E586)=0,"missing amount",IF(AND($E586&lt;0,$D586&lt;&gt;"Correction"),"negative amount - use a Correction to undo",IF(OR($B586&lt;Weeks!$A$6,$B586&gt;Weeks!$B$58),"date outside this workbook's year",IF(AND($D586="Advance",N($L586)&lt;0),"Warning: more than earned so far - worker now owes "&amp;ROUND(-$L586,0),"")))))))))</f>
        <v/>
      </c>
    </row>
    <row r="587" customFormat="false" ht="15" hidden="false" customHeight="false" outlineLevel="0" collapsed="false">
      <c r="A587" s="24" t="str">
        <f aca="false">IF($B587="","",ROW()-5)</f>
        <v/>
      </c>
      <c r="B587" s="25"/>
      <c r="C587" s="20"/>
      <c r="D587" s="26"/>
      <c r="E587" s="27"/>
      <c r="F587" s="20"/>
      <c r="G587" s="20"/>
      <c r="H587" s="26"/>
      <c r="I587" s="24" t="str">
        <f aca="false">IF($C587="","",IFERROR(INDEX(WorkerIDs,MATCH($C587,WorkerNames,0)),"?"))</f>
        <v/>
      </c>
      <c r="J587" s="18" t="str">
        <f aca="false">IF($B587="","",$B587-WEEKDAY($B587,2)+1)</f>
        <v/>
      </c>
      <c r="K587" s="28" t="str">
        <f aca="false">IF(OR($I587="",$I587="?",$D587&lt;&gt;"Advance",$B587=""),"",$I587&amp;"|"&amp;$J587&amp;"|"&amp;COUNTIFS($I$6:$I587,$I587,$J$6:$J587,$J587,$D$6:$D587,"Advance"))</f>
        <v/>
      </c>
      <c r="L587" s="29" t="str">
        <f aca="false">IF(OR($I587="",$I587="?",$B587=""),"",SUMPRODUCT((Weeks!$A$6:$A$58&lt;=$J587)*(Weeks!$Z$4:$AK$4=$I587)*Weeks!$Z$6:$AK$58)-SUMIFS($E$6:$E$1005,$I$6:$I$1005,$I587,$B$6:$B$1005,"&lt;="&amp;$B587))</f>
        <v/>
      </c>
      <c r="M587" s="19" t="str">
        <f aca="false">IF($B587&amp;$C587&amp;$D587&amp;$E587="","",IF($B587="","missing date",IF($C587="","missing worker",IF($I587="?","unknown worker - was the name changed on Workers?",IF($D587="","missing type",IF(N($E587)=0,"missing amount",IF(AND($E587&lt;0,$D587&lt;&gt;"Correction"),"negative amount - use a Correction to undo",IF(OR($B587&lt;Weeks!$A$6,$B587&gt;Weeks!$B$58),"date outside this workbook's year",IF(AND($D587="Advance",N($L587)&lt;0),"Warning: more than earned so far - worker now owes "&amp;ROUND(-$L587,0),"")))))))))</f>
        <v/>
      </c>
    </row>
    <row r="588" customFormat="false" ht="15" hidden="false" customHeight="false" outlineLevel="0" collapsed="false">
      <c r="A588" s="24" t="str">
        <f aca="false">IF($B588="","",ROW()-5)</f>
        <v/>
      </c>
      <c r="B588" s="25"/>
      <c r="C588" s="20"/>
      <c r="D588" s="26"/>
      <c r="E588" s="27"/>
      <c r="F588" s="20"/>
      <c r="G588" s="20"/>
      <c r="H588" s="26"/>
      <c r="I588" s="24" t="str">
        <f aca="false">IF($C588="","",IFERROR(INDEX(WorkerIDs,MATCH($C588,WorkerNames,0)),"?"))</f>
        <v/>
      </c>
      <c r="J588" s="18" t="str">
        <f aca="false">IF($B588="","",$B588-WEEKDAY($B588,2)+1)</f>
        <v/>
      </c>
      <c r="K588" s="28" t="str">
        <f aca="false">IF(OR($I588="",$I588="?",$D588&lt;&gt;"Advance",$B588=""),"",$I588&amp;"|"&amp;$J588&amp;"|"&amp;COUNTIFS($I$6:$I588,$I588,$J$6:$J588,$J588,$D$6:$D588,"Advance"))</f>
        <v/>
      </c>
      <c r="L588" s="29" t="str">
        <f aca="false">IF(OR($I588="",$I588="?",$B588=""),"",SUMPRODUCT((Weeks!$A$6:$A$58&lt;=$J588)*(Weeks!$Z$4:$AK$4=$I588)*Weeks!$Z$6:$AK$58)-SUMIFS($E$6:$E$1005,$I$6:$I$1005,$I588,$B$6:$B$1005,"&lt;="&amp;$B588))</f>
        <v/>
      </c>
      <c r="M588" s="19" t="str">
        <f aca="false">IF($B588&amp;$C588&amp;$D588&amp;$E588="","",IF($B588="","missing date",IF($C588="","missing worker",IF($I588="?","unknown worker - was the name changed on Workers?",IF($D588="","missing type",IF(N($E588)=0,"missing amount",IF(AND($E588&lt;0,$D588&lt;&gt;"Correction"),"negative amount - use a Correction to undo",IF(OR($B588&lt;Weeks!$A$6,$B588&gt;Weeks!$B$58),"date outside this workbook's year",IF(AND($D588="Advance",N($L588)&lt;0),"Warning: more than earned so far - worker now owes "&amp;ROUND(-$L588,0),"")))))))))</f>
        <v/>
      </c>
    </row>
    <row r="589" customFormat="false" ht="15" hidden="false" customHeight="false" outlineLevel="0" collapsed="false">
      <c r="A589" s="24" t="str">
        <f aca="false">IF($B589="","",ROW()-5)</f>
        <v/>
      </c>
      <c r="B589" s="25"/>
      <c r="C589" s="20"/>
      <c r="D589" s="26"/>
      <c r="E589" s="27"/>
      <c r="F589" s="20"/>
      <c r="G589" s="20"/>
      <c r="H589" s="26"/>
      <c r="I589" s="24" t="str">
        <f aca="false">IF($C589="","",IFERROR(INDEX(WorkerIDs,MATCH($C589,WorkerNames,0)),"?"))</f>
        <v/>
      </c>
      <c r="J589" s="18" t="str">
        <f aca="false">IF($B589="","",$B589-WEEKDAY($B589,2)+1)</f>
        <v/>
      </c>
      <c r="K589" s="28" t="str">
        <f aca="false">IF(OR($I589="",$I589="?",$D589&lt;&gt;"Advance",$B589=""),"",$I589&amp;"|"&amp;$J589&amp;"|"&amp;COUNTIFS($I$6:$I589,$I589,$J$6:$J589,$J589,$D$6:$D589,"Advance"))</f>
        <v/>
      </c>
      <c r="L589" s="29" t="str">
        <f aca="false">IF(OR($I589="",$I589="?",$B589=""),"",SUMPRODUCT((Weeks!$A$6:$A$58&lt;=$J589)*(Weeks!$Z$4:$AK$4=$I589)*Weeks!$Z$6:$AK$58)-SUMIFS($E$6:$E$1005,$I$6:$I$1005,$I589,$B$6:$B$1005,"&lt;="&amp;$B589))</f>
        <v/>
      </c>
      <c r="M589" s="19" t="str">
        <f aca="false">IF($B589&amp;$C589&amp;$D589&amp;$E589="","",IF($B589="","missing date",IF($C589="","missing worker",IF($I589="?","unknown worker - was the name changed on Workers?",IF($D589="","missing type",IF(N($E589)=0,"missing amount",IF(AND($E589&lt;0,$D589&lt;&gt;"Correction"),"negative amount - use a Correction to undo",IF(OR($B589&lt;Weeks!$A$6,$B589&gt;Weeks!$B$58),"date outside this workbook's year",IF(AND($D589="Advance",N($L589)&lt;0),"Warning: more than earned so far - worker now owes "&amp;ROUND(-$L589,0),"")))))))))</f>
        <v/>
      </c>
    </row>
    <row r="590" customFormat="false" ht="15" hidden="false" customHeight="false" outlineLevel="0" collapsed="false">
      <c r="A590" s="24" t="str">
        <f aca="false">IF($B590="","",ROW()-5)</f>
        <v/>
      </c>
      <c r="B590" s="25"/>
      <c r="C590" s="20"/>
      <c r="D590" s="26"/>
      <c r="E590" s="27"/>
      <c r="F590" s="20"/>
      <c r="G590" s="20"/>
      <c r="H590" s="26"/>
      <c r="I590" s="24" t="str">
        <f aca="false">IF($C590="","",IFERROR(INDEX(WorkerIDs,MATCH($C590,WorkerNames,0)),"?"))</f>
        <v/>
      </c>
      <c r="J590" s="18" t="str">
        <f aca="false">IF($B590="","",$B590-WEEKDAY($B590,2)+1)</f>
        <v/>
      </c>
      <c r="K590" s="28" t="str">
        <f aca="false">IF(OR($I590="",$I590="?",$D590&lt;&gt;"Advance",$B590=""),"",$I590&amp;"|"&amp;$J590&amp;"|"&amp;COUNTIFS($I$6:$I590,$I590,$J$6:$J590,$J590,$D$6:$D590,"Advance"))</f>
        <v/>
      </c>
      <c r="L590" s="29" t="str">
        <f aca="false">IF(OR($I590="",$I590="?",$B590=""),"",SUMPRODUCT((Weeks!$A$6:$A$58&lt;=$J590)*(Weeks!$Z$4:$AK$4=$I590)*Weeks!$Z$6:$AK$58)-SUMIFS($E$6:$E$1005,$I$6:$I$1005,$I590,$B$6:$B$1005,"&lt;="&amp;$B590))</f>
        <v/>
      </c>
      <c r="M590" s="19" t="str">
        <f aca="false">IF($B590&amp;$C590&amp;$D590&amp;$E590="","",IF($B590="","missing date",IF($C590="","missing worker",IF($I590="?","unknown worker - was the name changed on Workers?",IF($D590="","missing type",IF(N($E590)=0,"missing amount",IF(AND($E590&lt;0,$D590&lt;&gt;"Correction"),"negative amount - use a Correction to undo",IF(OR($B590&lt;Weeks!$A$6,$B590&gt;Weeks!$B$58),"date outside this workbook's year",IF(AND($D590="Advance",N($L590)&lt;0),"Warning: more than earned so far - worker now owes "&amp;ROUND(-$L590,0),"")))))))))</f>
        <v/>
      </c>
    </row>
    <row r="591" customFormat="false" ht="15" hidden="false" customHeight="false" outlineLevel="0" collapsed="false">
      <c r="A591" s="24" t="str">
        <f aca="false">IF($B591="","",ROW()-5)</f>
        <v/>
      </c>
      <c r="B591" s="25"/>
      <c r="C591" s="20"/>
      <c r="D591" s="26"/>
      <c r="E591" s="27"/>
      <c r="F591" s="20"/>
      <c r="G591" s="20"/>
      <c r="H591" s="26"/>
      <c r="I591" s="24" t="str">
        <f aca="false">IF($C591="","",IFERROR(INDEX(WorkerIDs,MATCH($C591,WorkerNames,0)),"?"))</f>
        <v/>
      </c>
      <c r="J591" s="18" t="str">
        <f aca="false">IF($B591="","",$B591-WEEKDAY($B591,2)+1)</f>
        <v/>
      </c>
      <c r="K591" s="28" t="str">
        <f aca="false">IF(OR($I591="",$I591="?",$D591&lt;&gt;"Advance",$B591=""),"",$I591&amp;"|"&amp;$J591&amp;"|"&amp;COUNTIFS($I$6:$I591,$I591,$J$6:$J591,$J591,$D$6:$D591,"Advance"))</f>
        <v/>
      </c>
      <c r="L591" s="29" t="str">
        <f aca="false">IF(OR($I591="",$I591="?",$B591=""),"",SUMPRODUCT((Weeks!$A$6:$A$58&lt;=$J591)*(Weeks!$Z$4:$AK$4=$I591)*Weeks!$Z$6:$AK$58)-SUMIFS($E$6:$E$1005,$I$6:$I$1005,$I591,$B$6:$B$1005,"&lt;="&amp;$B591))</f>
        <v/>
      </c>
      <c r="M591" s="19" t="str">
        <f aca="false">IF($B591&amp;$C591&amp;$D591&amp;$E591="","",IF($B591="","missing date",IF($C591="","missing worker",IF($I591="?","unknown worker - was the name changed on Workers?",IF($D591="","missing type",IF(N($E591)=0,"missing amount",IF(AND($E591&lt;0,$D591&lt;&gt;"Correction"),"negative amount - use a Correction to undo",IF(OR($B591&lt;Weeks!$A$6,$B591&gt;Weeks!$B$58),"date outside this workbook's year",IF(AND($D591="Advance",N($L591)&lt;0),"Warning: more than earned so far - worker now owes "&amp;ROUND(-$L591,0),"")))))))))</f>
        <v/>
      </c>
    </row>
    <row r="592" customFormat="false" ht="15" hidden="false" customHeight="false" outlineLevel="0" collapsed="false">
      <c r="A592" s="24" t="str">
        <f aca="false">IF($B592="","",ROW()-5)</f>
        <v/>
      </c>
      <c r="B592" s="25"/>
      <c r="C592" s="20"/>
      <c r="D592" s="26"/>
      <c r="E592" s="27"/>
      <c r="F592" s="20"/>
      <c r="G592" s="20"/>
      <c r="H592" s="26"/>
      <c r="I592" s="24" t="str">
        <f aca="false">IF($C592="","",IFERROR(INDEX(WorkerIDs,MATCH($C592,WorkerNames,0)),"?"))</f>
        <v/>
      </c>
      <c r="J592" s="18" t="str">
        <f aca="false">IF($B592="","",$B592-WEEKDAY($B592,2)+1)</f>
        <v/>
      </c>
      <c r="K592" s="28" t="str">
        <f aca="false">IF(OR($I592="",$I592="?",$D592&lt;&gt;"Advance",$B592=""),"",$I592&amp;"|"&amp;$J592&amp;"|"&amp;COUNTIFS($I$6:$I592,$I592,$J$6:$J592,$J592,$D$6:$D592,"Advance"))</f>
        <v/>
      </c>
      <c r="L592" s="29" t="str">
        <f aca="false">IF(OR($I592="",$I592="?",$B592=""),"",SUMPRODUCT((Weeks!$A$6:$A$58&lt;=$J592)*(Weeks!$Z$4:$AK$4=$I592)*Weeks!$Z$6:$AK$58)-SUMIFS($E$6:$E$1005,$I$6:$I$1005,$I592,$B$6:$B$1005,"&lt;="&amp;$B592))</f>
        <v/>
      </c>
      <c r="M592" s="19" t="str">
        <f aca="false">IF($B592&amp;$C592&amp;$D592&amp;$E592="","",IF($B592="","missing date",IF($C592="","missing worker",IF($I592="?","unknown worker - was the name changed on Workers?",IF($D592="","missing type",IF(N($E592)=0,"missing amount",IF(AND($E592&lt;0,$D592&lt;&gt;"Correction"),"negative amount - use a Correction to undo",IF(OR($B592&lt;Weeks!$A$6,$B592&gt;Weeks!$B$58),"date outside this workbook's year",IF(AND($D592="Advance",N($L592)&lt;0),"Warning: more than earned so far - worker now owes "&amp;ROUND(-$L592,0),"")))))))))</f>
        <v/>
      </c>
    </row>
    <row r="593" customFormat="false" ht="15" hidden="false" customHeight="false" outlineLevel="0" collapsed="false">
      <c r="A593" s="24" t="str">
        <f aca="false">IF($B593="","",ROW()-5)</f>
        <v/>
      </c>
      <c r="B593" s="25"/>
      <c r="C593" s="20"/>
      <c r="D593" s="26"/>
      <c r="E593" s="27"/>
      <c r="F593" s="20"/>
      <c r="G593" s="20"/>
      <c r="H593" s="26"/>
      <c r="I593" s="24" t="str">
        <f aca="false">IF($C593="","",IFERROR(INDEX(WorkerIDs,MATCH($C593,WorkerNames,0)),"?"))</f>
        <v/>
      </c>
      <c r="J593" s="18" t="str">
        <f aca="false">IF($B593="","",$B593-WEEKDAY($B593,2)+1)</f>
        <v/>
      </c>
      <c r="K593" s="28" t="str">
        <f aca="false">IF(OR($I593="",$I593="?",$D593&lt;&gt;"Advance",$B593=""),"",$I593&amp;"|"&amp;$J593&amp;"|"&amp;COUNTIFS($I$6:$I593,$I593,$J$6:$J593,$J593,$D$6:$D593,"Advance"))</f>
        <v/>
      </c>
      <c r="L593" s="29" t="str">
        <f aca="false">IF(OR($I593="",$I593="?",$B593=""),"",SUMPRODUCT((Weeks!$A$6:$A$58&lt;=$J593)*(Weeks!$Z$4:$AK$4=$I593)*Weeks!$Z$6:$AK$58)-SUMIFS($E$6:$E$1005,$I$6:$I$1005,$I593,$B$6:$B$1005,"&lt;="&amp;$B593))</f>
        <v/>
      </c>
      <c r="M593" s="19" t="str">
        <f aca="false">IF($B593&amp;$C593&amp;$D593&amp;$E593="","",IF($B593="","missing date",IF($C593="","missing worker",IF($I593="?","unknown worker - was the name changed on Workers?",IF($D593="","missing type",IF(N($E593)=0,"missing amount",IF(AND($E593&lt;0,$D593&lt;&gt;"Correction"),"negative amount - use a Correction to undo",IF(OR($B593&lt;Weeks!$A$6,$B593&gt;Weeks!$B$58),"date outside this workbook's year",IF(AND($D593="Advance",N($L593)&lt;0),"Warning: more than earned so far - worker now owes "&amp;ROUND(-$L593,0),"")))))))))</f>
        <v/>
      </c>
    </row>
    <row r="594" customFormat="false" ht="15" hidden="false" customHeight="false" outlineLevel="0" collapsed="false">
      <c r="A594" s="24" t="str">
        <f aca="false">IF($B594="","",ROW()-5)</f>
        <v/>
      </c>
      <c r="B594" s="25"/>
      <c r="C594" s="20"/>
      <c r="D594" s="26"/>
      <c r="E594" s="27"/>
      <c r="F594" s="20"/>
      <c r="G594" s="20"/>
      <c r="H594" s="26"/>
      <c r="I594" s="24" t="str">
        <f aca="false">IF($C594="","",IFERROR(INDEX(WorkerIDs,MATCH($C594,WorkerNames,0)),"?"))</f>
        <v/>
      </c>
      <c r="J594" s="18" t="str">
        <f aca="false">IF($B594="","",$B594-WEEKDAY($B594,2)+1)</f>
        <v/>
      </c>
      <c r="K594" s="28" t="str">
        <f aca="false">IF(OR($I594="",$I594="?",$D594&lt;&gt;"Advance",$B594=""),"",$I594&amp;"|"&amp;$J594&amp;"|"&amp;COUNTIFS($I$6:$I594,$I594,$J$6:$J594,$J594,$D$6:$D594,"Advance"))</f>
        <v/>
      </c>
      <c r="L594" s="29" t="str">
        <f aca="false">IF(OR($I594="",$I594="?",$B594=""),"",SUMPRODUCT((Weeks!$A$6:$A$58&lt;=$J594)*(Weeks!$Z$4:$AK$4=$I594)*Weeks!$Z$6:$AK$58)-SUMIFS($E$6:$E$1005,$I$6:$I$1005,$I594,$B$6:$B$1005,"&lt;="&amp;$B594))</f>
        <v/>
      </c>
      <c r="M594" s="19" t="str">
        <f aca="false">IF($B594&amp;$C594&amp;$D594&amp;$E594="","",IF($B594="","missing date",IF($C594="","missing worker",IF($I594="?","unknown worker - was the name changed on Workers?",IF($D594="","missing type",IF(N($E594)=0,"missing amount",IF(AND($E594&lt;0,$D594&lt;&gt;"Correction"),"negative amount - use a Correction to undo",IF(OR($B594&lt;Weeks!$A$6,$B594&gt;Weeks!$B$58),"date outside this workbook's year",IF(AND($D594="Advance",N($L594)&lt;0),"Warning: more than earned so far - worker now owes "&amp;ROUND(-$L594,0),"")))))))))</f>
        <v/>
      </c>
    </row>
    <row r="595" customFormat="false" ht="15" hidden="false" customHeight="false" outlineLevel="0" collapsed="false">
      <c r="A595" s="24" t="str">
        <f aca="false">IF($B595="","",ROW()-5)</f>
        <v/>
      </c>
      <c r="B595" s="25"/>
      <c r="C595" s="20"/>
      <c r="D595" s="26"/>
      <c r="E595" s="27"/>
      <c r="F595" s="20"/>
      <c r="G595" s="20"/>
      <c r="H595" s="26"/>
      <c r="I595" s="24" t="str">
        <f aca="false">IF($C595="","",IFERROR(INDEX(WorkerIDs,MATCH($C595,WorkerNames,0)),"?"))</f>
        <v/>
      </c>
      <c r="J595" s="18" t="str">
        <f aca="false">IF($B595="","",$B595-WEEKDAY($B595,2)+1)</f>
        <v/>
      </c>
      <c r="K595" s="28" t="str">
        <f aca="false">IF(OR($I595="",$I595="?",$D595&lt;&gt;"Advance",$B595=""),"",$I595&amp;"|"&amp;$J595&amp;"|"&amp;COUNTIFS($I$6:$I595,$I595,$J$6:$J595,$J595,$D$6:$D595,"Advance"))</f>
        <v/>
      </c>
      <c r="L595" s="29" t="str">
        <f aca="false">IF(OR($I595="",$I595="?",$B595=""),"",SUMPRODUCT((Weeks!$A$6:$A$58&lt;=$J595)*(Weeks!$Z$4:$AK$4=$I595)*Weeks!$Z$6:$AK$58)-SUMIFS($E$6:$E$1005,$I$6:$I$1005,$I595,$B$6:$B$1005,"&lt;="&amp;$B595))</f>
        <v/>
      </c>
      <c r="M595" s="19" t="str">
        <f aca="false">IF($B595&amp;$C595&amp;$D595&amp;$E595="","",IF($B595="","missing date",IF($C595="","missing worker",IF($I595="?","unknown worker - was the name changed on Workers?",IF($D595="","missing type",IF(N($E595)=0,"missing amount",IF(AND($E595&lt;0,$D595&lt;&gt;"Correction"),"negative amount - use a Correction to undo",IF(OR($B595&lt;Weeks!$A$6,$B595&gt;Weeks!$B$58),"date outside this workbook's year",IF(AND($D595="Advance",N($L595)&lt;0),"Warning: more than earned so far - worker now owes "&amp;ROUND(-$L595,0),"")))))))))</f>
        <v/>
      </c>
    </row>
    <row r="596" customFormat="false" ht="15" hidden="false" customHeight="false" outlineLevel="0" collapsed="false">
      <c r="A596" s="24" t="str">
        <f aca="false">IF($B596="","",ROW()-5)</f>
        <v/>
      </c>
      <c r="B596" s="25"/>
      <c r="C596" s="20"/>
      <c r="D596" s="26"/>
      <c r="E596" s="27"/>
      <c r="F596" s="20"/>
      <c r="G596" s="20"/>
      <c r="H596" s="26"/>
      <c r="I596" s="24" t="str">
        <f aca="false">IF($C596="","",IFERROR(INDEX(WorkerIDs,MATCH($C596,WorkerNames,0)),"?"))</f>
        <v/>
      </c>
      <c r="J596" s="18" t="str">
        <f aca="false">IF($B596="","",$B596-WEEKDAY($B596,2)+1)</f>
        <v/>
      </c>
      <c r="K596" s="28" t="str">
        <f aca="false">IF(OR($I596="",$I596="?",$D596&lt;&gt;"Advance",$B596=""),"",$I596&amp;"|"&amp;$J596&amp;"|"&amp;COUNTIFS($I$6:$I596,$I596,$J$6:$J596,$J596,$D$6:$D596,"Advance"))</f>
        <v/>
      </c>
      <c r="L596" s="29" t="str">
        <f aca="false">IF(OR($I596="",$I596="?",$B596=""),"",SUMPRODUCT((Weeks!$A$6:$A$58&lt;=$J596)*(Weeks!$Z$4:$AK$4=$I596)*Weeks!$Z$6:$AK$58)-SUMIFS($E$6:$E$1005,$I$6:$I$1005,$I596,$B$6:$B$1005,"&lt;="&amp;$B596))</f>
        <v/>
      </c>
      <c r="M596" s="19" t="str">
        <f aca="false">IF($B596&amp;$C596&amp;$D596&amp;$E596="","",IF($B596="","missing date",IF($C596="","missing worker",IF($I596="?","unknown worker - was the name changed on Workers?",IF($D596="","missing type",IF(N($E596)=0,"missing amount",IF(AND($E596&lt;0,$D596&lt;&gt;"Correction"),"negative amount - use a Correction to undo",IF(OR($B596&lt;Weeks!$A$6,$B596&gt;Weeks!$B$58),"date outside this workbook's year",IF(AND($D596="Advance",N($L596)&lt;0),"Warning: more than earned so far - worker now owes "&amp;ROUND(-$L596,0),"")))))))))</f>
        <v/>
      </c>
    </row>
    <row r="597" customFormat="false" ht="15" hidden="false" customHeight="false" outlineLevel="0" collapsed="false">
      <c r="A597" s="24" t="str">
        <f aca="false">IF($B597="","",ROW()-5)</f>
        <v/>
      </c>
      <c r="B597" s="25"/>
      <c r="C597" s="20"/>
      <c r="D597" s="26"/>
      <c r="E597" s="27"/>
      <c r="F597" s="20"/>
      <c r="G597" s="20"/>
      <c r="H597" s="26"/>
      <c r="I597" s="24" t="str">
        <f aca="false">IF($C597="","",IFERROR(INDEX(WorkerIDs,MATCH($C597,WorkerNames,0)),"?"))</f>
        <v/>
      </c>
      <c r="J597" s="18" t="str">
        <f aca="false">IF($B597="","",$B597-WEEKDAY($B597,2)+1)</f>
        <v/>
      </c>
      <c r="K597" s="28" t="str">
        <f aca="false">IF(OR($I597="",$I597="?",$D597&lt;&gt;"Advance",$B597=""),"",$I597&amp;"|"&amp;$J597&amp;"|"&amp;COUNTIFS($I$6:$I597,$I597,$J$6:$J597,$J597,$D$6:$D597,"Advance"))</f>
        <v/>
      </c>
      <c r="L597" s="29" t="str">
        <f aca="false">IF(OR($I597="",$I597="?",$B597=""),"",SUMPRODUCT((Weeks!$A$6:$A$58&lt;=$J597)*(Weeks!$Z$4:$AK$4=$I597)*Weeks!$Z$6:$AK$58)-SUMIFS($E$6:$E$1005,$I$6:$I$1005,$I597,$B$6:$B$1005,"&lt;="&amp;$B597))</f>
        <v/>
      </c>
      <c r="M597" s="19" t="str">
        <f aca="false">IF($B597&amp;$C597&amp;$D597&amp;$E597="","",IF($B597="","missing date",IF($C597="","missing worker",IF($I597="?","unknown worker - was the name changed on Workers?",IF($D597="","missing type",IF(N($E597)=0,"missing amount",IF(AND($E597&lt;0,$D597&lt;&gt;"Correction"),"negative amount - use a Correction to undo",IF(OR($B597&lt;Weeks!$A$6,$B597&gt;Weeks!$B$58),"date outside this workbook's year",IF(AND($D597="Advance",N($L597)&lt;0),"Warning: more than earned so far - worker now owes "&amp;ROUND(-$L597,0),"")))))))))</f>
        <v/>
      </c>
    </row>
    <row r="598" customFormat="false" ht="15" hidden="false" customHeight="false" outlineLevel="0" collapsed="false">
      <c r="A598" s="24" t="str">
        <f aca="false">IF($B598="","",ROW()-5)</f>
        <v/>
      </c>
      <c r="B598" s="25"/>
      <c r="C598" s="20"/>
      <c r="D598" s="26"/>
      <c r="E598" s="27"/>
      <c r="F598" s="20"/>
      <c r="G598" s="20"/>
      <c r="H598" s="26"/>
      <c r="I598" s="24" t="str">
        <f aca="false">IF($C598="","",IFERROR(INDEX(WorkerIDs,MATCH($C598,WorkerNames,0)),"?"))</f>
        <v/>
      </c>
      <c r="J598" s="18" t="str">
        <f aca="false">IF($B598="","",$B598-WEEKDAY($B598,2)+1)</f>
        <v/>
      </c>
      <c r="K598" s="28" t="str">
        <f aca="false">IF(OR($I598="",$I598="?",$D598&lt;&gt;"Advance",$B598=""),"",$I598&amp;"|"&amp;$J598&amp;"|"&amp;COUNTIFS($I$6:$I598,$I598,$J$6:$J598,$J598,$D$6:$D598,"Advance"))</f>
        <v/>
      </c>
      <c r="L598" s="29" t="str">
        <f aca="false">IF(OR($I598="",$I598="?",$B598=""),"",SUMPRODUCT((Weeks!$A$6:$A$58&lt;=$J598)*(Weeks!$Z$4:$AK$4=$I598)*Weeks!$Z$6:$AK$58)-SUMIFS($E$6:$E$1005,$I$6:$I$1005,$I598,$B$6:$B$1005,"&lt;="&amp;$B598))</f>
        <v/>
      </c>
      <c r="M598" s="19" t="str">
        <f aca="false">IF($B598&amp;$C598&amp;$D598&amp;$E598="","",IF($B598="","missing date",IF($C598="","missing worker",IF($I598="?","unknown worker - was the name changed on Workers?",IF($D598="","missing type",IF(N($E598)=0,"missing amount",IF(AND($E598&lt;0,$D598&lt;&gt;"Correction"),"negative amount - use a Correction to undo",IF(OR($B598&lt;Weeks!$A$6,$B598&gt;Weeks!$B$58),"date outside this workbook's year",IF(AND($D598="Advance",N($L598)&lt;0),"Warning: more than earned so far - worker now owes "&amp;ROUND(-$L598,0),"")))))))))</f>
        <v/>
      </c>
    </row>
    <row r="599" customFormat="false" ht="15" hidden="false" customHeight="false" outlineLevel="0" collapsed="false">
      <c r="A599" s="24" t="str">
        <f aca="false">IF($B599="","",ROW()-5)</f>
        <v/>
      </c>
      <c r="B599" s="25"/>
      <c r="C599" s="20"/>
      <c r="D599" s="26"/>
      <c r="E599" s="27"/>
      <c r="F599" s="20"/>
      <c r="G599" s="20"/>
      <c r="H599" s="26"/>
      <c r="I599" s="24" t="str">
        <f aca="false">IF($C599="","",IFERROR(INDEX(WorkerIDs,MATCH($C599,WorkerNames,0)),"?"))</f>
        <v/>
      </c>
      <c r="J599" s="18" t="str">
        <f aca="false">IF($B599="","",$B599-WEEKDAY($B599,2)+1)</f>
        <v/>
      </c>
      <c r="K599" s="28" t="str">
        <f aca="false">IF(OR($I599="",$I599="?",$D599&lt;&gt;"Advance",$B599=""),"",$I599&amp;"|"&amp;$J599&amp;"|"&amp;COUNTIFS($I$6:$I599,$I599,$J$6:$J599,$J599,$D$6:$D599,"Advance"))</f>
        <v/>
      </c>
      <c r="L599" s="29" t="str">
        <f aca="false">IF(OR($I599="",$I599="?",$B599=""),"",SUMPRODUCT((Weeks!$A$6:$A$58&lt;=$J599)*(Weeks!$Z$4:$AK$4=$I599)*Weeks!$Z$6:$AK$58)-SUMIFS($E$6:$E$1005,$I$6:$I$1005,$I599,$B$6:$B$1005,"&lt;="&amp;$B599))</f>
        <v/>
      </c>
      <c r="M599" s="19" t="str">
        <f aca="false">IF($B599&amp;$C599&amp;$D599&amp;$E599="","",IF($B599="","missing date",IF($C599="","missing worker",IF($I599="?","unknown worker - was the name changed on Workers?",IF($D599="","missing type",IF(N($E599)=0,"missing amount",IF(AND($E599&lt;0,$D599&lt;&gt;"Correction"),"negative amount - use a Correction to undo",IF(OR($B599&lt;Weeks!$A$6,$B599&gt;Weeks!$B$58),"date outside this workbook's year",IF(AND($D599="Advance",N($L599)&lt;0),"Warning: more than earned so far - worker now owes "&amp;ROUND(-$L599,0),"")))))))))</f>
        <v/>
      </c>
    </row>
    <row r="600" customFormat="false" ht="15" hidden="false" customHeight="false" outlineLevel="0" collapsed="false">
      <c r="A600" s="24" t="str">
        <f aca="false">IF($B600="","",ROW()-5)</f>
        <v/>
      </c>
      <c r="B600" s="25"/>
      <c r="C600" s="20"/>
      <c r="D600" s="26"/>
      <c r="E600" s="27"/>
      <c r="F600" s="20"/>
      <c r="G600" s="20"/>
      <c r="H600" s="26"/>
      <c r="I600" s="24" t="str">
        <f aca="false">IF($C600="","",IFERROR(INDEX(WorkerIDs,MATCH($C600,WorkerNames,0)),"?"))</f>
        <v/>
      </c>
      <c r="J600" s="18" t="str">
        <f aca="false">IF($B600="","",$B600-WEEKDAY($B600,2)+1)</f>
        <v/>
      </c>
      <c r="K600" s="28" t="str">
        <f aca="false">IF(OR($I600="",$I600="?",$D600&lt;&gt;"Advance",$B600=""),"",$I600&amp;"|"&amp;$J600&amp;"|"&amp;COUNTIFS($I$6:$I600,$I600,$J$6:$J600,$J600,$D$6:$D600,"Advance"))</f>
        <v/>
      </c>
      <c r="L600" s="29" t="str">
        <f aca="false">IF(OR($I600="",$I600="?",$B600=""),"",SUMPRODUCT((Weeks!$A$6:$A$58&lt;=$J600)*(Weeks!$Z$4:$AK$4=$I600)*Weeks!$Z$6:$AK$58)-SUMIFS($E$6:$E$1005,$I$6:$I$1005,$I600,$B$6:$B$1005,"&lt;="&amp;$B600))</f>
        <v/>
      </c>
      <c r="M600" s="19" t="str">
        <f aca="false">IF($B600&amp;$C600&amp;$D600&amp;$E600="","",IF($B600="","missing date",IF($C600="","missing worker",IF($I600="?","unknown worker - was the name changed on Workers?",IF($D600="","missing type",IF(N($E600)=0,"missing amount",IF(AND($E600&lt;0,$D600&lt;&gt;"Correction"),"negative amount - use a Correction to undo",IF(OR($B600&lt;Weeks!$A$6,$B600&gt;Weeks!$B$58),"date outside this workbook's year",IF(AND($D600="Advance",N($L600)&lt;0),"Warning: more than earned so far - worker now owes "&amp;ROUND(-$L600,0),"")))))))))</f>
        <v/>
      </c>
    </row>
    <row r="601" customFormat="false" ht="15" hidden="false" customHeight="false" outlineLevel="0" collapsed="false">
      <c r="A601" s="24" t="str">
        <f aca="false">IF($B601="","",ROW()-5)</f>
        <v/>
      </c>
      <c r="B601" s="25"/>
      <c r="C601" s="20"/>
      <c r="D601" s="26"/>
      <c r="E601" s="27"/>
      <c r="F601" s="20"/>
      <c r="G601" s="20"/>
      <c r="H601" s="26"/>
      <c r="I601" s="24" t="str">
        <f aca="false">IF($C601="","",IFERROR(INDEX(WorkerIDs,MATCH($C601,WorkerNames,0)),"?"))</f>
        <v/>
      </c>
      <c r="J601" s="18" t="str">
        <f aca="false">IF($B601="","",$B601-WEEKDAY($B601,2)+1)</f>
        <v/>
      </c>
      <c r="K601" s="28" t="str">
        <f aca="false">IF(OR($I601="",$I601="?",$D601&lt;&gt;"Advance",$B601=""),"",$I601&amp;"|"&amp;$J601&amp;"|"&amp;COUNTIFS($I$6:$I601,$I601,$J$6:$J601,$J601,$D$6:$D601,"Advance"))</f>
        <v/>
      </c>
      <c r="L601" s="29" t="str">
        <f aca="false">IF(OR($I601="",$I601="?",$B601=""),"",SUMPRODUCT((Weeks!$A$6:$A$58&lt;=$J601)*(Weeks!$Z$4:$AK$4=$I601)*Weeks!$Z$6:$AK$58)-SUMIFS($E$6:$E$1005,$I$6:$I$1005,$I601,$B$6:$B$1005,"&lt;="&amp;$B601))</f>
        <v/>
      </c>
      <c r="M601" s="19" t="str">
        <f aca="false">IF($B601&amp;$C601&amp;$D601&amp;$E601="","",IF($B601="","missing date",IF($C601="","missing worker",IF($I601="?","unknown worker - was the name changed on Workers?",IF($D601="","missing type",IF(N($E601)=0,"missing amount",IF(AND($E601&lt;0,$D601&lt;&gt;"Correction"),"negative amount - use a Correction to undo",IF(OR($B601&lt;Weeks!$A$6,$B601&gt;Weeks!$B$58),"date outside this workbook's year",IF(AND($D601="Advance",N($L601)&lt;0),"Warning: more than earned so far - worker now owes "&amp;ROUND(-$L601,0),"")))))))))</f>
        <v/>
      </c>
    </row>
    <row r="602" customFormat="false" ht="15" hidden="false" customHeight="false" outlineLevel="0" collapsed="false">
      <c r="A602" s="24" t="str">
        <f aca="false">IF($B602="","",ROW()-5)</f>
        <v/>
      </c>
      <c r="B602" s="25"/>
      <c r="C602" s="20"/>
      <c r="D602" s="26"/>
      <c r="E602" s="27"/>
      <c r="F602" s="20"/>
      <c r="G602" s="20"/>
      <c r="H602" s="26"/>
      <c r="I602" s="24" t="str">
        <f aca="false">IF($C602="","",IFERROR(INDEX(WorkerIDs,MATCH($C602,WorkerNames,0)),"?"))</f>
        <v/>
      </c>
      <c r="J602" s="18" t="str">
        <f aca="false">IF($B602="","",$B602-WEEKDAY($B602,2)+1)</f>
        <v/>
      </c>
      <c r="K602" s="28" t="str">
        <f aca="false">IF(OR($I602="",$I602="?",$D602&lt;&gt;"Advance",$B602=""),"",$I602&amp;"|"&amp;$J602&amp;"|"&amp;COUNTIFS($I$6:$I602,$I602,$J$6:$J602,$J602,$D$6:$D602,"Advance"))</f>
        <v/>
      </c>
      <c r="L602" s="29" t="str">
        <f aca="false">IF(OR($I602="",$I602="?",$B602=""),"",SUMPRODUCT((Weeks!$A$6:$A$58&lt;=$J602)*(Weeks!$Z$4:$AK$4=$I602)*Weeks!$Z$6:$AK$58)-SUMIFS($E$6:$E$1005,$I$6:$I$1005,$I602,$B$6:$B$1005,"&lt;="&amp;$B602))</f>
        <v/>
      </c>
      <c r="M602" s="19" t="str">
        <f aca="false">IF($B602&amp;$C602&amp;$D602&amp;$E602="","",IF($B602="","missing date",IF($C602="","missing worker",IF($I602="?","unknown worker - was the name changed on Workers?",IF($D602="","missing type",IF(N($E602)=0,"missing amount",IF(AND($E602&lt;0,$D602&lt;&gt;"Correction"),"negative amount - use a Correction to undo",IF(OR($B602&lt;Weeks!$A$6,$B602&gt;Weeks!$B$58),"date outside this workbook's year",IF(AND($D602="Advance",N($L602)&lt;0),"Warning: more than earned so far - worker now owes "&amp;ROUND(-$L602,0),"")))))))))</f>
        <v/>
      </c>
    </row>
    <row r="603" customFormat="false" ht="15" hidden="false" customHeight="false" outlineLevel="0" collapsed="false">
      <c r="A603" s="24" t="str">
        <f aca="false">IF($B603="","",ROW()-5)</f>
        <v/>
      </c>
      <c r="B603" s="25"/>
      <c r="C603" s="20"/>
      <c r="D603" s="26"/>
      <c r="E603" s="27"/>
      <c r="F603" s="20"/>
      <c r="G603" s="20"/>
      <c r="H603" s="26"/>
      <c r="I603" s="24" t="str">
        <f aca="false">IF($C603="","",IFERROR(INDEX(WorkerIDs,MATCH($C603,WorkerNames,0)),"?"))</f>
        <v/>
      </c>
      <c r="J603" s="18" t="str">
        <f aca="false">IF($B603="","",$B603-WEEKDAY($B603,2)+1)</f>
        <v/>
      </c>
      <c r="K603" s="28" t="str">
        <f aca="false">IF(OR($I603="",$I603="?",$D603&lt;&gt;"Advance",$B603=""),"",$I603&amp;"|"&amp;$J603&amp;"|"&amp;COUNTIFS($I$6:$I603,$I603,$J$6:$J603,$J603,$D$6:$D603,"Advance"))</f>
        <v/>
      </c>
      <c r="L603" s="29" t="str">
        <f aca="false">IF(OR($I603="",$I603="?",$B603=""),"",SUMPRODUCT((Weeks!$A$6:$A$58&lt;=$J603)*(Weeks!$Z$4:$AK$4=$I603)*Weeks!$Z$6:$AK$58)-SUMIFS($E$6:$E$1005,$I$6:$I$1005,$I603,$B$6:$B$1005,"&lt;="&amp;$B603))</f>
        <v/>
      </c>
      <c r="M603" s="19" t="str">
        <f aca="false">IF($B603&amp;$C603&amp;$D603&amp;$E603="","",IF($B603="","missing date",IF($C603="","missing worker",IF($I603="?","unknown worker - was the name changed on Workers?",IF($D603="","missing type",IF(N($E603)=0,"missing amount",IF(AND($E603&lt;0,$D603&lt;&gt;"Correction"),"negative amount - use a Correction to undo",IF(OR($B603&lt;Weeks!$A$6,$B603&gt;Weeks!$B$58),"date outside this workbook's year",IF(AND($D603="Advance",N($L603)&lt;0),"Warning: more than earned so far - worker now owes "&amp;ROUND(-$L603,0),"")))))))))</f>
        <v/>
      </c>
    </row>
    <row r="604" customFormat="false" ht="15" hidden="false" customHeight="false" outlineLevel="0" collapsed="false">
      <c r="A604" s="24" t="str">
        <f aca="false">IF($B604="","",ROW()-5)</f>
        <v/>
      </c>
      <c r="B604" s="25"/>
      <c r="C604" s="20"/>
      <c r="D604" s="26"/>
      <c r="E604" s="27"/>
      <c r="F604" s="20"/>
      <c r="G604" s="20"/>
      <c r="H604" s="26"/>
      <c r="I604" s="24" t="str">
        <f aca="false">IF($C604="","",IFERROR(INDEX(WorkerIDs,MATCH($C604,WorkerNames,0)),"?"))</f>
        <v/>
      </c>
      <c r="J604" s="18" t="str">
        <f aca="false">IF($B604="","",$B604-WEEKDAY($B604,2)+1)</f>
        <v/>
      </c>
      <c r="K604" s="28" t="str">
        <f aca="false">IF(OR($I604="",$I604="?",$D604&lt;&gt;"Advance",$B604=""),"",$I604&amp;"|"&amp;$J604&amp;"|"&amp;COUNTIFS($I$6:$I604,$I604,$J$6:$J604,$J604,$D$6:$D604,"Advance"))</f>
        <v/>
      </c>
      <c r="L604" s="29" t="str">
        <f aca="false">IF(OR($I604="",$I604="?",$B604=""),"",SUMPRODUCT((Weeks!$A$6:$A$58&lt;=$J604)*(Weeks!$Z$4:$AK$4=$I604)*Weeks!$Z$6:$AK$58)-SUMIFS($E$6:$E$1005,$I$6:$I$1005,$I604,$B$6:$B$1005,"&lt;="&amp;$B604))</f>
        <v/>
      </c>
      <c r="M604" s="19" t="str">
        <f aca="false">IF($B604&amp;$C604&amp;$D604&amp;$E604="","",IF($B604="","missing date",IF($C604="","missing worker",IF($I604="?","unknown worker - was the name changed on Workers?",IF($D604="","missing type",IF(N($E604)=0,"missing amount",IF(AND($E604&lt;0,$D604&lt;&gt;"Correction"),"negative amount - use a Correction to undo",IF(OR($B604&lt;Weeks!$A$6,$B604&gt;Weeks!$B$58),"date outside this workbook's year",IF(AND($D604="Advance",N($L604)&lt;0),"Warning: more than earned so far - worker now owes "&amp;ROUND(-$L604,0),"")))))))))</f>
        <v/>
      </c>
    </row>
    <row r="605" customFormat="false" ht="15" hidden="false" customHeight="false" outlineLevel="0" collapsed="false">
      <c r="A605" s="24" t="str">
        <f aca="false">IF($B605="","",ROW()-5)</f>
        <v/>
      </c>
      <c r="B605" s="25"/>
      <c r="C605" s="20"/>
      <c r="D605" s="26"/>
      <c r="E605" s="27"/>
      <c r="F605" s="20"/>
      <c r="G605" s="20"/>
      <c r="H605" s="26"/>
      <c r="I605" s="24" t="str">
        <f aca="false">IF($C605="","",IFERROR(INDEX(WorkerIDs,MATCH($C605,WorkerNames,0)),"?"))</f>
        <v/>
      </c>
      <c r="J605" s="18" t="str">
        <f aca="false">IF($B605="","",$B605-WEEKDAY($B605,2)+1)</f>
        <v/>
      </c>
      <c r="K605" s="28" t="str">
        <f aca="false">IF(OR($I605="",$I605="?",$D605&lt;&gt;"Advance",$B605=""),"",$I605&amp;"|"&amp;$J605&amp;"|"&amp;COUNTIFS($I$6:$I605,$I605,$J$6:$J605,$J605,$D$6:$D605,"Advance"))</f>
        <v/>
      </c>
      <c r="L605" s="29" t="str">
        <f aca="false">IF(OR($I605="",$I605="?",$B605=""),"",SUMPRODUCT((Weeks!$A$6:$A$58&lt;=$J605)*(Weeks!$Z$4:$AK$4=$I605)*Weeks!$Z$6:$AK$58)-SUMIFS($E$6:$E$1005,$I$6:$I$1005,$I605,$B$6:$B$1005,"&lt;="&amp;$B605))</f>
        <v/>
      </c>
      <c r="M605" s="19" t="str">
        <f aca="false">IF($B605&amp;$C605&amp;$D605&amp;$E605="","",IF($B605="","missing date",IF($C605="","missing worker",IF($I605="?","unknown worker - was the name changed on Workers?",IF($D605="","missing type",IF(N($E605)=0,"missing amount",IF(AND($E605&lt;0,$D605&lt;&gt;"Correction"),"negative amount - use a Correction to undo",IF(OR($B605&lt;Weeks!$A$6,$B605&gt;Weeks!$B$58),"date outside this workbook's year",IF(AND($D605="Advance",N($L605)&lt;0),"Warning: more than earned so far - worker now owes "&amp;ROUND(-$L605,0),"")))))))))</f>
        <v/>
      </c>
    </row>
    <row r="606" customFormat="false" ht="15" hidden="false" customHeight="false" outlineLevel="0" collapsed="false">
      <c r="A606" s="24" t="str">
        <f aca="false">IF($B606="","",ROW()-5)</f>
        <v/>
      </c>
      <c r="B606" s="25"/>
      <c r="C606" s="20"/>
      <c r="D606" s="26"/>
      <c r="E606" s="27"/>
      <c r="F606" s="20"/>
      <c r="G606" s="20"/>
      <c r="H606" s="26"/>
      <c r="I606" s="24" t="str">
        <f aca="false">IF($C606="","",IFERROR(INDEX(WorkerIDs,MATCH($C606,WorkerNames,0)),"?"))</f>
        <v/>
      </c>
      <c r="J606" s="18" t="str">
        <f aca="false">IF($B606="","",$B606-WEEKDAY($B606,2)+1)</f>
        <v/>
      </c>
      <c r="K606" s="28" t="str">
        <f aca="false">IF(OR($I606="",$I606="?",$D606&lt;&gt;"Advance",$B606=""),"",$I606&amp;"|"&amp;$J606&amp;"|"&amp;COUNTIFS($I$6:$I606,$I606,$J$6:$J606,$J606,$D$6:$D606,"Advance"))</f>
        <v/>
      </c>
      <c r="L606" s="29" t="str">
        <f aca="false">IF(OR($I606="",$I606="?",$B606=""),"",SUMPRODUCT((Weeks!$A$6:$A$58&lt;=$J606)*(Weeks!$Z$4:$AK$4=$I606)*Weeks!$Z$6:$AK$58)-SUMIFS($E$6:$E$1005,$I$6:$I$1005,$I606,$B$6:$B$1005,"&lt;="&amp;$B606))</f>
        <v/>
      </c>
      <c r="M606" s="19" t="str">
        <f aca="false">IF($B606&amp;$C606&amp;$D606&amp;$E606="","",IF($B606="","missing date",IF($C606="","missing worker",IF($I606="?","unknown worker - was the name changed on Workers?",IF($D606="","missing type",IF(N($E606)=0,"missing amount",IF(AND($E606&lt;0,$D606&lt;&gt;"Correction"),"negative amount - use a Correction to undo",IF(OR($B606&lt;Weeks!$A$6,$B606&gt;Weeks!$B$58),"date outside this workbook's year",IF(AND($D606="Advance",N($L606)&lt;0),"Warning: more than earned so far - worker now owes "&amp;ROUND(-$L606,0),"")))))))))</f>
        <v/>
      </c>
    </row>
    <row r="607" customFormat="false" ht="15" hidden="false" customHeight="false" outlineLevel="0" collapsed="false">
      <c r="A607" s="24" t="str">
        <f aca="false">IF($B607="","",ROW()-5)</f>
        <v/>
      </c>
      <c r="B607" s="25"/>
      <c r="C607" s="20"/>
      <c r="D607" s="26"/>
      <c r="E607" s="27"/>
      <c r="F607" s="20"/>
      <c r="G607" s="20"/>
      <c r="H607" s="26"/>
      <c r="I607" s="24" t="str">
        <f aca="false">IF($C607="","",IFERROR(INDEX(WorkerIDs,MATCH($C607,WorkerNames,0)),"?"))</f>
        <v/>
      </c>
      <c r="J607" s="18" t="str">
        <f aca="false">IF($B607="","",$B607-WEEKDAY($B607,2)+1)</f>
        <v/>
      </c>
      <c r="K607" s="28" t="str">
        <f aca="false">IF(OR($I607="",$I607="?",$D607&lt;&gt;"Advance",$B607=""),"",$I607&amp;"|"&amp;$J607&amp;"|"&amp;COUNTIFS($I$6:$I607,$I607,$J$6:$J607,$J607,$D$6:$D607,"Advance"))</f>
        <v/>
      </c>
      <c r="L607" s="29" t="str">
        <f aca="false">IF(OR($I607="",$I607="?",$B607=""),"",SUMPRODUCT((Weeks!$A$6:$A$58&lt;=$J607)*(Weeks!$Z$4:$AK$4=$I607)*Weeks!$Z$6:$AK$58)-SUMIFS($E$6:$E$1005,$I$6:$I$1005,$I607,$B$6:$B$1005,"&lt;="&amp;$B607))</f>
        <v/>
      </c>
      <c r="M607" s="19" t="str">
        <f aca="false">IF($B607&amp;$C607&amp;$D607&amp;$E607="","",IF($B607="","missing date",IF($C607="","missing worker",IF($I607="?","unknown worker - was the name changed on Workers?",IF($D607="","missing type",IF(N($E607)=0,"missing amount",IF(AND($E607&lt;0,$D607&lt;&gt;"Correction"),"negative amount - use a Correction to undo",IF(OR($B607&lt;Weeks!$A$6,$B607&gt;Weeks!$B$58),"date outside this workbook's year",IF(AND($D607="Advance",N($L607)&lt;0),"Warning: more than earned so far - worker now owes "&amp;ROUND(-$L607,0),"")))))))))</f>
        <v/>
      </c>
    </row>
    <row r="608" customFormat="false" ht="15" hidden="false" customHeight="false" outlineLevel="0" collapsed="false">
      <c r="A608" s="24" t="str">
        <f aca="false">IF($B608="","",ROW()-5)</f>
        <v/>
      </c>
      <c r="B608" s="25"/>
      <c r="C608" s="20"/>
      <c r="D608" s="26"/>
      <c r="E608" s="27"/>
      <c r="F608" s="20"/>
      <c r="G608" s="20"/>
      <c r="H608" s="26"/>
      <c r="I608" s="24" t="str">
        <f aca="false">IF($C608="","",IFERROR(INDEX(WorkerIDs,MATCH($C608,WorkerNames,0)),"?"))</f>
        <v/>
      </c>
      <c r="J608" s="18" t="str">
        <f aca="false">IF($B608="","",$B608-WEEKDAY($B608,2)+1)</f>
        <v/>
      </c>
      <c r="K608" s="28" t="str">
        <f aca="false">IF(OR($I608="",$I608="?",$D608&lt;&gt;"Advance",$B608=""),"",$I608&amp;"|"&amp;$J608&amp;"|"&amp;COUNTIFS($I$6:$I608,$I608,$J$6:$J608,$J608,$D$6:$D608,"Advance"))</f>
        <v/>
      </c>
      <c r="L608" s="29" t="str">
        <f aca="false">IF(OR($I608="",$I608="?",$B608=""),"",SUMPRODUCT((Weeks!$A$6:$A$58&lt;=$J608)*(Weeks!$Z$4:$AK$4=$I608)*Weeks!$Z$6:$AK$58)-SUMIFS($E$6:$E$1005,$I$6:$I$1005,$I608,$B$6:$B$1005,"&lt;="&amp;$B608))</f>
        <v/>
      </c>
      <c r="M608" s="19" t="str">
        <f aca="false">IF($B608&amp;$C608&amp;$D608&amp;$E608="","",IF($B608="","missing date",IF($C608="","missing worker",IF($I608="?","unknown worker - was the name changed on Workers?",IF($D608="","missing type",IF(N($E608)=0,"missing amount",IF(AND($E608&lt;0,$D608&lt;&gt;"Correction"),"negative amount - use a Correction to undo",IF(OR($B608&lt;Weeks!$A$6,$B608&gt;Weeks!$B$58),"date outside this workbook's year",IF(AND($D608="Advance",N($L608)&lt;0),"Warning: more than earned so far - worker now owes "&amp;ROUND(-$L608,0),"")))))))))</f>
        <v/>
      </c>
    </row>
    <row r="609" customFormat="false" ht="15" hidden="false" customHeight="false" outlineLevel="0" collapsed="false">
      <c r="A609" s="24" t="str">
        <f aca="false">IF($B609="","",ROW()-5)</f>
        <v/>
      </c>
      <c r="B609" s="25"/>
      <c r="C609" s="20"/>
      <c r="D609" s="26"/>
      <c r="E609" s="27"/>
      <c r="F609" s="20"/>
      <c r="G609" s="20"/>
      <c r="H609" s="26"/>
      <c r="I609" s="24" t="str">
        <f aca="false">IF($C609="","",IFERROR(INDEX(WorkerIDs,MATCH($C609,WorkerNames,0)),"?"))</f>
        <v/>
      </c>
      <c r="J609" s="18" t="str">
        <f aca="false">IF($B609="","",$B609-WEEKDAY($B609,2)+1)</f>
        <v/>
      </c>
      <c r="K609" s="28" t="str">
        <f aca="false">IF(OR($I609="",$I609="?",$D609&lt;&gt;"Advance",$B609=""),"",$I609&amp;"|"&amp;$J609&amp;"|"&amp;COUNTIFS($I$6:$I609,$I609,$J$6:$J609,$J609,$D$6:$D609,"Advance"))</f>
        <v/>
      </c>
      <c r="L609" s="29" t="str">
        <f aca="false">IF(OR($I609="",$I609="?",$B609=""),"",SUMPRODUCT((Weeks!$A$6:$A$58&lt;=$J609)*(Weeks!$Z$4:$AK$4=$I609)*Weeks!$Z$6:$AK$58)-SUMIFS($E$6:$E$1005,$I$6:$I$1005,$I609,$B$6:$B$1005,"&lt;="&amp;$B609))</f>
        <v/>
      </c>
      <c r="M609" s="19" t="str">
        <f aca="false">IF($B609&amp;$C609&amp;$D609&amp;$E609="","",IF($B609="","missing date",IF($C609="","missing worker",IF($I609="?","unknown worker - was the name changed on Workers?",IF($D609="","missing type",IF(N($E609)=0,"missing amount",IF(AND($E609&lt;0,$D609&lt;&gt;"Correction"),"negative amount - use a Correction to undo",IF(OR($B609&lt;Weeks!$A$6,$B609&gt;Weeks!$B$58),"date outside this workbook's year",IF(AND($D609="Advance",N($L609)&lt;0),"Warning: more than earned so far - worker now owes "&amp;ROUND(-$L609,0),"")))))))))</f>
        <v/>
      </c>
    </row>
    <row r="610" customFormat="false" ht="15" hidden="false" customHeight="false" outlineLevel="0" collapsed="false">
      <c r="A610" s="24" t="str">
        <f aca="false">IF($B610="","",ROW()-5)</f>
        <v/>
      </c>
      <c r="B610" s="25"/>
      <c r="C610" s="20"/>
      <c r="D610" s="26"/>
      <c r="E610" s="27"/>
      <c r="F610" s="20"/>
      <c r="G610" s="20"/>
      <c r="H610" s="26"/>
      <c r="I610" s="24" t="str">
        <f aca="false">IF($C610="","",IFERROR(INDEX(WorkerIDs,MATCH($C610,WorkerNames,0)),"?"))</f>
        <v/>
      </c>
      <c r="J610" s="18" t="str">
        <f aca="false">IF($B610="","",$B610-WEEKDAY($B610,2)+1)</f>
        <v/>
      </c>
      <c r="K610" s="28" t="str">
        <f aca="false">IF(OR($I610="",$I610="?",$D610&lt;&gt;"Advance",$B610=""),"",$I610&amp;"|"&amp;$J610&amp;"|"&amp;COUNTIFS($I$6:$I610,$I610,$J$6:$J610,$J610,$D$6:$D610,"Advance"))</f>
        <v/>
      </c>
      <c r="L610" s="29" t="str">
        <f aca="false">IF(OR($I610="",$I610="?",$B610=""),"",SUMPRODUCT((Weeks!$A$6:$A$58&lt;=$J610)*(Weeks!$Z$4:$AK$4=$I610)*Weeks!$Z$6:$AK$58)-SUMIFS($E$6:$E$1005,$I$6:$I$1005,$I610,$B$6:$B$1005,"&lt;="&amp;$B610))</f>
        <v/>
      </c>
      <c r="M610" s="19" t="str">
        <f aca="false">IF($B610&amp;$C610&amp;$D610&amp;$E610="","",IF($B610="","missing date",IF($C610="","missing worker",IF($I610="?","unknown worker - was the name changed on Workers?",IF($D610="","missing type",IF(N($E610)=0,"missing amount",IF(AND($E610&lt;0,$D610&lt;&gt;"Correction"),"negative amount - use a Correction to undo",IF(OR($B610&lt;Weeks!$A$6,$B610&gt;Weeks!$B$58),"date outside this workbook's year",IF(AND($D610="Advance",N($L610)&lt;0),"Warning: more than earned so far - worker now owes "&amp;ROUND(-$L610,0),"")))))))))</f>
        <v/>
      </c>
    </row>
    <row r="611" customFormat="false" ht="15" hidden="false" customHeight="false" outlineLevel="0" collapsed="false">
      <c r="A611" s="24" t="str">
        <f aca="false">IF($B611="","",ROW()-5)</f>
        <v/>
      </c>
      <c r="B611" s="25"/>
      <c r="C611" s="20"/>
      <c r="D611" s="26"/>
      <c r="E611" s="27"/>
      <c r="F611" s="20"/>
      <c r="G611" s="20"/>
      <c r="H611" s="26"/>
      <c r="I611" s="24" t="str">
        <f aca="false">IF($C611="","",IFERROR(INDEX(WorkerIDs,MATCH($C611,WorkerNames,0)),"?"))</f>
        <v/>
      </c>
      <c r="J611" s="18" t="str">
        <f aca="false">IF($B611="","",$B611-WEEKDAY($B611,2)+1)</f>
        <v/>
      </c>
      <c r="K611" s="28" t="str">
        <f aca="false">IF(OR($I611="",$I611="?",$D611&lt;&gt;"Advance",$B611=""),"",$I611&amp;"|"&amp;$J611&amp;"|"&amp;COUNTIFS($I$6:$I611,$I611,$J$6:$J611,$J611,$D$6:$D611,"Advance"))</f>
        <v/>
      </c>
      <c r="L611" s="29" t="str">
        <f aca="false">IF(OR($I611="",$I611="?",$B611=""),"",SUMPRODUCT((Weeks!$A$6:$A$58&lt;=$J611)*(Weeks!$Z$4:$AK$4=$I611)*Weeks!$Z$6:$AK$58)-SUMIFS($E$6:$E$1005,$I$6:$I$1005,$I611,$B$6:$B$1005,"&lt;="&amp;$B611))</f>
        <v/>
      </c>
      <c r="M611" s="19" t="str">
        <f aca="false">IF($B611&amp;$C611&amp;$D611&amp;$E611="","",IF($B611="","missing date",IF($C611="","missing worker",IF($I611="?","unknown worker - was the name changed on Workers?",IF($D611="","missing type",IF(N($E611)=0,"missing amount",IF(AND($E611&lt;0,$D611&lt;&gt;"Correction"),"negative amount - use a Correction to undo",IF(OR($B611&lt;Weeks!$A$6,$B611&gt;Weeks!$B$58),"date outside this workbook's year",IF(AND($D611="Advance",N($L611)&lt;0),"Warning: more than earned so far - worker now owes "&amp;ROUND(-$L611,0),"")))))))))</f>
        <v/>
      </c>
    </row>
    <row r="612" customFormat="false" ht="15" hidden="false" customHeight="false" outlineLevel="0" collapsed="false">
      <c r="A612" s="24" t="str">
        <f aca="false">IF($B612="","",ROW()-5)</f>
        <v/>
      </c>
      <c r="B612" s="25"/>
      <c r="C612" s="20"/>
      <c r="D612" s="26"/>
      <c r="E612" s="27"/>
      <c r="F612" s="20"/>
      <c r="G612" s="20"/>
      <c r="H612" s="26"/>
      <c r="I612" s="24" t="str">
        <f aca="false">IF($C612="","",IFERROR(INDEX(WorkerIDs,MATCH($C612,WorkerNames,0)),"?"))</f>
        <v/>
      </c>
      <c r="J612" s="18" t="str">
        <f aca="false">IF($B612="","",$B612-WEEKDAY($B612,2)+1)</f>
        <v/>
      </c>
      <c r="K612" s="28" t="str">
        <f aca="false">IF(OR($I612="",$I612="?",$D612&lt;&gt;"Advance",$B612=""),"",$I612&amp;"|"&amp;$J612&amp;"|"&amp;COUNTIFS($I$6:$I612,$I612,$J$6:$J612,$J612,$D$6:$D612,"Advance"))</f>
        <v/>
      </c>
      <c r="L612" s="29" t="str">
        <f aca="false">IF(OR($I612="",$I612="?",$B612=""),"",SUMPRODUCT((Weeks!$A$6:$A$58&lt;=$J612)*(Weeks!$Z$4:$AK$4=$I612)*Weeks!$Z$6:$AK$58)-SUMIFS($E$6:$E$1005,$I$6:$I$1005,$I612,$B$6:$B$1005,"&lt;="&amp;$B612))</f>
        <v/>
      </c>
      <c r="M612" s="19" t="str">
        <f aca="false">IF($B612&amp;$C612&amp;$D612&amp;$E612="","",IF($B612="","missing date",IF($C612="","missing worker",IF($I612="?","unknown worker - was the name changed on Workers?",IF($D612="","missing type",IF(N($E612)=0,"missing amount",IF(AND($E612&lt;0,$D612&lt;&gt;"Correction"),"negative amount - use a Correction to undo",IF(OR($B612&lt;Weeks!$A$6,$B612&gt;Weeks!$B$58),"date outside this workbook's year",IF(AND($D612="Advance",N($L612)&lt;0),"Warning: more than earned so far - worker now owes "&amp;ROUND(-$L612,0),"")))))))))</f>
        <v/>
      </c>
    </row>
    <row r="613" customFormat="false" ht="15" hidden="false" customHeight="false" outlineLevel="0" collapsed="false">
      <c r="A613" s="24" t="str">
        <f aca="false">IF($B613="","",ROW()-5)</f>
        <v/>
      </c>
      <c r="B613" s="25"/>
      <c r="C613" s="20"/>
      <c r="D613" s="26"/>
      <c r="E613" s="27"/>
      <c r="F613" s="20"/>
      <c r="G613" s="20"/>
      <c r="H613" s="26"/>
      <c r="I613" s="24" t="str">
        <f aca="false">IF($C613="","",IFERROR(INDEX(WorkerIDs,MATCH($C613,WorkerNames,0)),"?"))</f>
        <v/>
      </c>
      <c r="J613" s="18" t="str">
        <f aca="false">IF($B613="","",$B613-WEEKDAY($B613,2)+1)</f>
        <v/>
      </c>
      <c r="K613" s="28" t="str">
        <f aca="false">IF(OR($I613="",$I613="?",$D613&lt;&gt;"Advance",$B613=""),"",$I613&amp;"|"&amp;$J613&amp;"|"&amp;COUNTIFS($I$6:$I613,$I613,$J$6:$J613,$J613,$D$6:$D613,"Advance"))</f>
        <v/>
      </c>
      <c r="L613" s="29" t="str">
        <f aca="false">IF(OR($I613="",$I613="?",$B613=""),"",SUMPRODUCT((Weeks!$A$6:$A$58&lt;=$J613)*(Weeks!$Z$4:$AK$4=$I613)*Weeks!$Z$6:$AK$58)-SUMIFS($E$6:$E$1005,$I$6:$I$1005,$I613,$B$6:$B$1005,"&lt;="&amp;$B613))</f>
        <v/>
      </c>
      <c r="M613" s="19" t="str">
        <f aca="false">IF($B613&amp;$C613&amp;$D613&amp;$E613="","",IF($B613="","missing date",IF($C613="","missing worker",IF($I613="?","unknown worker - was the name changed on Workers?",IF($D613="","missing type",IF(N($E613)=0,"missing amount",IF(AND($E613&lt;0,$D613&lt;&gt;"Correction"),"negative amount - use a Correction to undo",IF(OR($B613&lt;Weeks!$A$6,$B613&gt;Weeks!$B$58),"date outside this workbook's year",IF(AND($D613="Advance",N($L613)&lt;0),"Warning: more than earned so far - worker now owes "&amp;ROUND(-$L613,0),"")))))))))</f>
        <v/>
      </c>
    </row>
    <row r="614" customFormat="false" ht="15" hidden="false" customHeight="false" outlineLevel="0" collapsed="false">
      <c r="A614" s="24" t="str">
        <f aca="false">IF($B614="","",ROW()-5)</f>
        <v/>
      </c>
      <c r="B614" s="25"/>
      <c r="C614" s="20"/>
      <c r="D614" s="26"/>
      <c r="E614" s="27"/>
      <c r="F614" s="20"/>
      <c r="G614" s="20"/>
      <c r="H614" s="26"/>
      <c r="I614" s="24" t="str">
        <f aca="false">IF($C614="","",IFERROR(INDEX(WorkerIDs,MATCH($C614,WorkerNames,0)),"?"))</f>
        <v/>
      </c>
      <c r="J614" s="18" t="str">
        <f aca="false">IF($B614="","",$B614-WEEKDAY($B614,2)+1)</f>
        <v/>
      </c>
      <c r="K614" s="28" t="str">
        <f aca="false">IF(OR($I614="",$I614="?",$D614&lt;&gt;"Advance",$B614=""),"",$I614&amp;"|"&amp;$J614&amp;"|"&amp;COUNTIFS($I$6:$I614,$I614,$J$6:$J614,$J614,$D$6:$D614,"Advance"))</f>
        <v/>
      </c>
      <c r="L614" s="29" t="str">
        <f aca="false">IF(OR($I614="",$I614="?",$B614=""),"",SUMPRODUCT((Weeks!$A$6:$A$58&lt;=$J614)*(Weeks!$Z$4:$AK$4=$I614)*Weeks!$Z$6:$AK$58)-SUMIFS($E$6:$E$1005,$I$6:$I$1005,$I614,$B$6:$B$1005,"&lt;="&amp;$B614))</f>
        <v/>
      </c>
      <c r="M614" s="19" t="str">
        <f aca="false">IF($B614&amp;$C614&amp;$D614&amp;$E614="","",IF($B614="","missing date",IF($C614="","missing worker",IF($I614="?","unknown worker - was the name changed on Workers?",IF($D614="","missing type",IF(N($E614)=0,"missing amount",IF(AND($E614&lt;0,$D614&lt;&gt;"Correction"),"negative amount - use a Correction to undo",IF(OR($B614&lt;Weeks!$A$6,$B614&gt;Weeks!$B$58),"date outside this workbook's year",IF(AND($D614="Advance",N($L614)&lt;0),"Warning: more than earned so far - worker now owes "&amp;ROUND(-$L614,0),"")))))))))</f>
        <v/>
      </c>
    </row>
    <row r="615" customFormat="false" ht="15" hidden="false" customHeight="false" outlineLevel="0" collapsed="false">
      <c r="A615" s="24" t="str">
        <f aca="false">IF($B615="","",ROW()-5)</f>
        <v/>
      </c>
      <c r="B615" s="25"/>
      <c r="C615" s="20"/>
      <c r="D615" s="26"/>
      <c r="E615" s="27"/>
      <c r="F615" s="20"/>
      <c r="G615" s="20"/>
      <c r="H615" s="26"/>
      <c r="I615" s="24" t="str">
        <f aca="false">IF($C615="","",IFERROR(INDEX(WorkerIDs,MATCH($C615,WorkerNames,0)),"?"))</f>
        <v/>
      </c>
      <c r="J615" s="18" t="str">
        <f aca="false">IF($B615="","",$B615-WEEKDAY($B615,2)+1)</f>
        <v/>
      </c>
      <c r="K615" s="28" t="str">
        <f aca="false">IF(OR($I615="",$I615="?",$D615&lt;&gt;"Advance",$B615=""),"",$I615&amp;"|"&amp;$J615&amp;"|"&amp;COUNTIFS($I$6:$I615,$I615,$J$6:$J615,$J615,$D$6:$D615,"Advance"))</f>
        <v/>
      </c>
      <c r="L615" s="29" t="str">
        <f aca="false">IF(OR($I615="",$I615="?",$B615=""),"",SUMPRODUCT((Weeks!$A$6:$A$58&lt;=$J615)*(Weeks!$Z$4:$AK$4=$I615)*Weeks!$Z$6:$AK$58)-SUMIFS($E$6:$E$1005,$I$6:$I$1005,$I615,$B$6:$B$1005,"&lt;="&amp;$B615))</f>
        <v/>
      </c>
      <c r="M615" s="19" t="str">
        <f aca="false">IF($B615&amp;$C615&amp;$D615&amp;$E615="","",IF($B615="","missing date",IF($C615="","missing worker",IF($I615="?","unknown worker - was the name changed on Workers?",IF($D615="","missing type",IF(N($E615)=0,"missing amount",IF(AND($E615&lt;0,$D615&lt;&gt;"Correction"),"negative amount - use a Correction to undo",IF(OR($B615&lt;Weeks!$A$6,$B615&gt;Weeks!$B$58),"date outside this workbook's year",IF(AND($D615="Advance",N($L615)&lt;0),"Warning: more than earned so far - worker now owes "&amp;ROUND(-$L615,0),"")))))))))</f>
        <v/>
      </c>
    </row>
    <row r="616" customFormat="false" ht="15" hidden="false" customHeight="false" outlineLevel="0" collapsed="false">
      <c r="A616" s="24" t="str">
        <f aca="false">IF($B616="","",ROW()-5)</f>
        <v/>
      </c>
      <c r="B616" s="25"/>
      <c r="C616" s="20"/>
      <c r="D616" s="26"/>
      <c r="E616" s="27"/>
      <c r="F616" s="20"/>
      <c r="G616" s="20"/>
      <c r="H616" s="26"/>
      <c r="I616" s="24" t="str">
        <f aca="false">IF($C616="","",IFERROR(INDEX(WorkerIDs,MATCH($C616,WorkerNames,0)),"?"))</f>
        <v/>
      </c>
      <c r="J616" s="18" t="str">
        <f aca="false">IF($B616="","",$B616-WEEKDAY($B616,2)+1)</f>
        <v/>
      </c>
      <c r="K616" s="28" t="str">
        <f aca="false">IF(OR($I616="",$I616="?",$D616&lt;&gt;"Advance",$B616=""),"",$I616&amp;"|"&amp;$J616&amp;"|"&amp;COUNTIFS($I$6:$I616,$I616,$J$6:$J616,$J616,$D$6:$D616,"Advance"))</f>
        <v/>
      </c>
      <c r="L616" s="29" t="str">
        <f aca="false">IF(OR($I616="",$I616="?",$B616=""),"",SUMPRODUCT((Weeks!$A$6:$A$58&lt;=$J616)*(Weeks!$Z$4:$AK$4=$I616)*Weeks!$Z$6:$AK$58)-SUMIFS($E$6:$E$1005,$I$6:$I$1005,$I616,$B$6:$B$1005,"&lt;="&amp;$B616))</f>
        <v/>
      </c>
      <c r="M616" s="19" t="str">
        <f aca="false">IF($B616&amp;$C616&amp;$D616&amp;$E616="","",IF($B616="","missing date",IF($C616="","missing worker",IF($I616="?","unknown worker - was the name changed on Workers?",IF($D616="","missing type",IF(N($E616)=0,"missing amount",IF(AND($E616&lt;0,$D616&lt;&gt;"Correction"),"negative amount - use a Correction to undo",IF(OR($B616&lt;Weeks!$A$6,$B616&gt;Weeks!$B$58),"date outside this workbook's year",IF(AND($D616="Advance",N($L616)&lt;0),"Warning: more than earned so far - worker now owes "&amp;ROUND(-$L616,0),"")))))))))</f>
        <v/>
      </c>
    </row>
    <row r="617" customFormat="false" ht="15" hidden="false" customHeight="false" outlineLevel="0" collapsed="false">
      <c r="A617" s="24" t="str">
        <f aca="false">IF($B617="","",ROW()-5)</f>
        <v/>
      </c>
      <c r="B617" s="25"/>
      <c r="C617" s="20"/>
      <c r="D617" s="26"/>
      <c r="E617" s="27"/>
      <c r="F617" s="20"/>
      <c r="G617" s="20"/>
      <c r="H617" s="26"/>
      <c r="I617" s="24" t="str">
        <f aca="false">IF($C617="","",IFERROR(INDEX(WorkerIDs,MATCH($C617,WorkerNames,0)),"?"))</f>
        <v/>
      </c>
      <c r="J617" s="18" t="str">
        <f aca="false">IF($B617="","",$B617-WEEKDAY($B617,2)+1)</f>
        <v/>
      </c>
      <c r="K617" s="28" t="str">
        <f aca="false">IF(OR($I617="",$I617="?",$D617&lt;&gt;"Advance",$B617=""),"",$I617&amp;"|"&amp;$J617&amp;"|"&amp;COUNTIFS($I$6:$I617,$I617,$J$6:$J617,$J617,$D$6:$D617,"Advance"))</f>
        <v/>
      </c>
      <c r="L617" s="29" t="str">
        <f aca="false">IF(OR($I617="",$I617="?",$B617=""),"",SUMPRODUCT((Weeks!$A$6:$A$58&lt;=$J617)*(Weeks!$Z$4:$AK$4=$I617)*Weeks!$Z$6:$AK$58)-SUMIFS($E$6:$E$1005,$I$6:$I$1005,$I617,$B$6:$B$1005,"&lt;="&amp;$B617))</f>
        <v/>
      </c>
      <c r="M617" s="19" t="str">
        <f aca="false">IF($B617&amp;$C617&amp;$D617&amp;$E617="","",IF($B617="","missing date",IF($C617="","missing worker",IF($I617="?","unknown worker - was the name changed on Workers?",IF($D617="","missing type",IF(N($E617)=0,"missing amount",IF(AND($E617&lt;0,$D617&lt;&gt;"Correction"),"negative amount - use a Correction to undo",IF(OR($B617&lt;Weeks!$A$6,$B617&gt;Weeks!$B$58),"date outside this workbook's year",IF(AND($D617="Advance",N($L617)&lt;0),"Warning: more than earned so far - worker now owes "&amp;ROUND(-$L617,0),"")))))))))</f>
        <v/>
      </c>
    </row>
    <row r="618" customFormat="false" ht="15" hidden="false" customHeight="false" outlineLevel="0" collapsed="false">
      <c r="A618" s="24" t="str">
        <f aca="false">IF($B618="","",ROW()-5)</f>
        <v/>
      </c>
      <c r="B618" s="25"/>
      <c r="C618" s="20"/>
      <c r="D618" s="26"/>
      <c r="E618" s="27"/>
      <c r="F618" s="20"/>
      <c r="G618" s="20"/>
      <c r="H618" s="26"/>
      <c r="I618" s="24" t="str">
        <f aca="false">IF($C618="","",IFERROR(INDEX(WorkerIDs,MATCH($C618,WorkerNames,0)),"?"))</f>
        <v/>
      </c>
      <c r="J618" s="18" t="str">
        <f aca="false">IF($B618="","",$B618-WEEKDAY($B618,2)+1)</f>
        <v/>
      </c>
      <c r="K618" s="28" t="str">
        <f aca="false">IF(OR($I618="",$I618="?",$D618&lt;&gt;"Advance",$B618=""),"",$I618&amp;"|"&amp;$J618&amp;"|"&amp;COUNTIFS($I$6:$I618,$I618,$J$6:$J618,$J618,$D$6:$D618,"Advance"))</f>
        <v/>
      </c>
      <c r="L618" s="29" t="str">
        <f aca="false">IF(OR($I618="",$I618="?",$B618=""),"",SUMPRODUCT((Weeks!$A$6:$A$58&lt;=$J618)*(Weeks!$Z$4:$AK$4=$I618)*Weeks!$Z$6:$AK$58)-SUMIFS($E$6:$E$1005,$I$6:$I$1005,$I618,$B$6:$B$1005,"&lt;="&amp;$B618))</f>
        <v/>
      </c>
      <c r="M618" s="19" t="str">
        <f aca="false">IF($B618&amp;$C618&amp;$D618&amp;$E618="","",IF($B618="","missing date",IF($C618="","missing worker",IF($I618="?","unknown worker - was the name changed on Workers?",IF($D618="","missing type",IF(N($E618)=0,"missing amount",IF(AND($E618&lt;0,$D618&lt;&gt;"Correction"),"negative amount - use a Correction to undo",IF(OR($B618&lt;Weeks!$A$6,$B618&gt;Weeks!$B$58),"date outside this workbook's year",IF(AND($D618="Advance",N($L618)&lt;0),"Warning: more than earned so far - worker now owes "&amp;ROUND(-$L618,0),"")))))))))</f>
        <v/>
      </c>
    </row>
    <row r="619" customFormat="false" ht="15" hidden="false" customHeight="false" outlineLevel="0" collapsed="false">
      <c r="A619" s="24" t="str">
        <f aca="false">IF($B619="","",ROW()-5)</f>
        <v/>
      </c>
      <c r="B619" s="25"/>
      <c r="C619" s="20"/>
      <c r="D619" s="26"/>
      <c r="E619" s="27"/>
      <c r="F619" s="20"/>
      <c r="G619" s="20"/>
      <c r="H619" s="26"/>
      <c r="I619" s="24" t="str">
        <f aca="false">IF($C619="","",IFERROR(INDEX(WorkerIDs,MATCH($C619,WorkerNames,0)),"?"))</f>
        <v/>
      </c>
      <c r="J619" s="18" t="str">
        <f aca="false">IF($B619="","",$B619-WEEKDAY($B619,2)+1)</f>
        <v/>
      </c>
      <c r="K619" s="28" t="str">
        <f aca="false">IF(OR($I619="",$I619="?",$D619&lt;&gt;"Advance",$B619=""),"",$I619&amp;"|"&amp;$J619&amp;"|"&amp;COUNTIFS($I$6:$I619,$I619,$J$6:$J619,$J619,$D$6:$D619,"Advance"))</f>
        <v/>
      </c>
      <c r="L619" s="29" t="str">
        <f aca="false">IF(OR($I619="",$I619="?",$B619=""),"",SUMPRODUCT((Weeks!$A$6:$A$58&lt;=$J619)*(Weeks!$Z$4:$AK$4=$I619)*Weeks!$Z$6:$AK$58)-SUMIFS($E$6:$E$1005,$I$6:$I$1005,$I619,$B$6:$B$1005,"&lt;="&amp;$B619))</f>
        <v/>
      </c>
      <c r="M619" s="19" t="str">
        <f aca="false">IF($B619&amp;$C619&amp;$D619&amp;$E619="","",IF($B619="","missing date",IF($C619="","missing worker",IF($I619="?","unknown worker - was the name changed on Workers?",IF($D619="","missing type",IF(N($E619)=0,"missing amount",IF(AND($E619&lt;0,$D619&lt;&gt;"Correction"),"negative amount - use a Correction to undo",IF(OR($B619&lt;Weeks!$A$6,$B619&gt;Weeks!$B$58),"date outside this workbook's year",IF(AND($D619="Advance",N($L619)&lt;0),"Warning: more than earned so far - worker now owes "&amp;ROUND(-$L619,0),"")))))))))</f>
        <v/>
      </c>
    </row>
    <row r="620" customFormat="false" ht="15" hidden="false" customHeight="false" outlineLevel="0" collapsed="false">
      <c r="A620" s="24" t="str">
        <f aca="false">IF($B620="","",ROW()-5)</f>
        <v/>
      </c>
      <c r="B620" s="25"/>
      <c r="C620" s="20"/>
      <c r="D620" s="26"/>
      <c r="E620" s="27"/>
      <c r="F620" s="20"/>
      <c r="G620" s="20"/>
      <c r="H620" s="26"/>
      <c r="I620" s="24" t="str">
        <f aca="false">IF($C620="","",IFERROR(INDEX(WorkerIDs,MATCH($C620,WorkerNames,0)),"?"))</f>
        <v/>
      </c>
      <c r="J620" s="18" t="str">
        <f aca="false">IF($B620="","",$B620-WEEKDAY($B620,2)+1)</f>
        <v/>
      </c>
      <c r="K620" s="28" t="str">
        <f aca="false">IF(OR($I620="",$I620="?",$D620&lt;&gt;"Advance",$B620=""),"",$I620&amp;"|"&amp;$J620&amp;"|"&amp;COUNTIFS($I$6:$I620,$I620,$J$6:$J620,$J620,$D$6:$D620,"Advance"))</f>
        <v/>
      </c>
      <c r="L620" s="29" t="str">
        <f aca="false">IF(OR($I620="",$I620="?",$B620=""),"",SUMPRODUCT((Weeks!$A$6:$A$58&lt;=$J620)*(Weeks!$Z$4:$AK$4=$I620)*Weeks!$Z$6:$AK$58)-SUMIFS($E$6:$E$1005,$I$6:$I$1005,$I620,$B$6:$B$1005,"&lt;="&amp;$B620))</f>
        <v/>
      </c>
      <c r="M620" s="19" t="str">
        <f aca="false">IF($B620&amp;$C620&amp;$D620&amp;$E620="","",IF($B620="","missing date",IF($C620="","missing worker",IF($I620="?","unknown worker - was the name changed on Workers?",IF($D620="","missing type",IF(N($E620)=0,"missing amount",IF(AND($E620&lt;0,$D620&lt;&gt;"Correction"),"negative amount - use a Correction to undo",IF(OR($B620&lt;Weeks!$A$6,$B620&gt;Weeks!$B$58),"date outside this workbook's year",IF(AND($D620="Advance",N($L620)&lt;0),"Warning: more than earned so far - worker now owes "&amp;ROUND(-$L620,0),"")))))))))</f>
        <v/>
      </c>
    </row>
    <row r="621" customFormat="false" ht="15" hidden="false" customHeight="false" outlineLevel="0" collapsed="false">
      <c r="A621" s="24" t="str">
        <f aca="false">IF($B621="","",ROW()-5)</f>
        <v/>
      </c>
      <c r="B621" s="25"/>
      <c r="C621" s="20"/>
      <c r="D621" s="26"/>
      <c r="E621" s="27"/>
      <c r="F621" s="20"/>
      <c r="G621" s="20"/>
      <c r="H621" s="26"/>
      <c r="I621" s="24" t="str">
        <f aca="false">IF($C621="","",IFERROR(INDEX(WorkerIDs,MATCH($C621,WorkerNames,0)),"?"))</f>
        <v/>
      </c>
      <c r="J621" s="18" t="str">
        <f aca="false">IF($B621="","",$B621-WEEKDAY($B621,2)+1)</f>
        <v/>
      </c>
      <c r="K621" s="28" t="str">
        <f aca="false">IF(OR($I621="",$I621="?",$D621&lt;&gt;"Advance",$B621=""),"",$I621&amp;"|"&amp;$J621&amp;"|"&amp;COUNTIFS($I$6:$I621,$I621,$J$6:$J621,$J621,$D$6:$D621,"Advance"))</f>
        <v/>
      </c>
      <c r="L621" s="29" t="str">
        <f aca="false">IF(OR($I621="",$I621="?",$B621=""),"",SUMPRODUCT((Weeks!$A$6:$A$58&lt;=$J621)*(Weeks!$Z$4:$AK$4=$I621)*Weeks!$Z$6:$AK$58)-SUMIFS($E$6:$E$1005,$I$6:$I$1005,$I621,$B$6:$B$1005,"&lt;="&amp;$B621))</f>
        <v/>
      </c>
      <c r="M621" s="19" t="str">
        <f aca="false">IF($B621&amp;$C621&amp;$D621&amp;$E621="","",IF($B621="","missing date",IF($C621="","missing worker",IF($I621="?","unknown worker - was the name changed on Workers?",IF($D621="","missing type",IF(N($E621)=0,"missing amount",IF(AND($E621&lt;0,$D621&lt;&gt;"Correction"),"negative amount - use a Correction to undo",IF(OR($B621&lt;Weeks!$A$6,$B621&gt;Weeks!$B$58),"date outside this workbook's year",IF(AND($D621="Advance",N($L621)&lt;0),"Warning: more than earned so far - worker now owes "&amp;ROUND(-$L621,0),"")))))))))</f>
        <v/>
      </c>
    </row>
    <row r="622" customFormat="false" ht="15" hidden="false" customHeight="false" outlineLevel="0" collapsed="false">
      <c r="A622" s="24" t="str">
        <f aca="false">IF($B622="","",ROW()-5)</f>
        <v/>
      </c>
      <c r="B622" s="25"/>
      <c r="C622" s="20"/>
      <c r="D622" s="26"/>
      <c r="E622" s="27"/>
      <c r="F622" s="20"/>
      <c r="G622" s="20"/>
      <c r="H622" s="26"/>
      <c r="I622" s="24" t="str">
        <f aca="false">IF($C622="","",IFERROR(INDEX(WorkerIDs,MATCH($C622,WorkerNames,0)),"?"))</f>
        <v/>
      </c>
      <c r="J622" s="18" t="str">
        <f aca="false">IF($B622="","",$B622-WEEKDAY($B622,2)+1)</f>
        <v/>
      </c>
      <c r="K622" s="28" t="str">
        <f aca="false">IF(OR($I622="",$I622="?",$D622&lt;&gt;"Advance",$B622=""),"",$I622&amp;"|"&amp;$J622&amp;"|"&amp;COUNTIFS($I$6:$I622,$I622,$J$6:$J622,$J622,$D$6:$D622,"Advance"))</f>
        <v/>
      </c>
      <c r="L622" s="29" t="str">
        <f aca="false">IF(OR($I622="",$I622="?",$B622=""),"",SUMPRODUCT((Weeks!$A$6:$A$58&lt;=$J622)*(Weeks!$Z$4:$AK$4=$I622)*Weeks!$Z$6:$AK$58)-SUMIFS($E$6:$E$1005,$I$6:$I$1005,$I622,$B$6:$B$1005,"&lt;="&amp;$B622))</f>
        <v/>
      </c>
      <c r="M622" s="19" t="str">
        <f aca="false">IF($B622&amp;$C622&amp;$D622&amp;$E622="","",IF($B622="","missing date",IF($C622="","missing worker",IF($I622="?","unknown worker - was the name changed on Workers?",IF($D622="","missing type",IF(N($E622)=0,"missing amount",IF(AND($E622&lt;0,$D622&lt;&gt;"Correction"),"negative amount - use a Correction to undo",IF(OR($B622&lt;Weeks!$A$6,$B622&gt;Weeks!$B$58),"date outside this workbook's year",IF(AND($D622="Advance",N($L622)&lt;0),"Warning: more than earned so far - worker now owes "&amp;ROUND(-$L622,0),"")))))))))</f>
        <v/>
      </c>
    </row>
    <row r="623" customFormat="false" ht="15" hidden="false" customHeight="false" outlineLevel="0" collapsed="false">
      <c r="A623" s="24" t="str">
        <f aca="false">IF($B623="","",ROW()-5)</f>
        <v/>
      </c>
      <c r="B623" s="25"/>
      <c r="C623" s="20"/>
      <c r="D623" s="26"/>
      <c r="E623" s="27"/>
      <c r="F623" s="20"/>
      <c r="G623" s="20"/>
      <c r="H623" s="26"/>
      <c r="I623" s="24" t="str">
        <f aca="false">IF($C623="","",IFERROR(INDEX(WorkerIDs,MATCH($C623,WorkerNames,0)),"?"))</f>
        <v/>
      </c>
      <c r="J623" s="18" t="str">
        <f aca="false">IF($B623="","",$B623-WEEKDAY($B623,2)+1)</f>
        <v/>
      </c>
      <c r="K623" s="28" t="str">
        <f aca="false">IF(OR($I623="",$I623="?",$D623&lt;&gt;"Advance",$B623=""),"",$I623&amp;"|"&amp;$J623&amp;"|"&amp;COUNTIFS($I$6:$I623,$I623,$J$6:$J623,$J623,$D$6:$D623,"Advance"))</f>
        <v/>
      </c>
      <c r="L623" s="29" t="str">
        <f aca="false">IF(OR($I623="",$I623="?",$B623=""),"",SUMPRODUCT((Weeks!$A$6:$A$58&lt;=$J623)*(Weeks!$Z$4:$AK$4=$I623)*Weeks!$Z$6:$AK$58)-SUMIFS($E$6:$E$1005,$I$6:$I$1005,$I623,$B$6:$B$1005,"&lt;="&amp;$B623))</f>
        <v/>
      </c>
      <c r="M623" s="19" t="str">
        <f aca="false">IF($B623&amp;$C623&amp;$D623&amp;$E623="","",IF($B623="","missing date",IF($C623="","missing worker",IF($I623="?","unknown worker - was the name changed on Workers?",IF($D623="","missing type",IF(N($E623)=0,"missing amount",IF(AND($E623&lt;0,$D623&lt;&gt;"Correction"),"negative amount - use a Correction to undo",IF(OR($B623&lt;Weeks!$A$6,$B623&gt;Weeks!$B$58),"date outside this workbook's year",IF(AND($D623="Advance",N($L623)&lt;0),"Warning: more than earned so far - worker now owes "&amp;ROUND(-$L623,0),"")))))))))</f>
        <v/>
      </c>
    </row>
    <row r="624" customFormat="false" ht="15" hidden="false" customHeight="false" outlineLevel="0" collapsed="false">
      <c r="A624" s="24" t="str">
        <f aca="false">IF($B624="","",ROW()-5)</f>
        <v/>
      </c>
      <c r="B624" s="25"/>
      <c r="C624" s="20"/>
      <c r="D624" s="26"/>
      <c r="E624" s="27"/>
      <c r="F624" s="20"/>
      <c r="G624" s="20"/>
      <c r="H624" s="26"/>
      <c r="I624" s="24" t="str">
        <f aca="false">IF($C624="","",IFERROR(INDEX(WorkerIDs,MATCH($C624,WorkerNames,0)),"?"))</f>
        <v/>
      </c>
      <c r="J624" s="18" t="str">
        <f aca="false">IF($B624="","",$B624-WEEKDAY($B624,2)+1)</f>
        <v/>
      </c>
      <c r="K624" s="28" t="str">
        <f aca="false">IF(OR($I624="",$I624="?",$D624&lt;&gt;"Advance",$B624=""),"",$I624&amp;"|"&amp;$J624&amp;"|"&amp;COUNTIFS($I$6:$I624,$I624,$J$6:$J624,$J624,$D$6:$D624,"Advance"))</f>
        <v/>
      </c>
      <c r="L624" s="29" t="str">
        <f aca="false">IF(OR($I624="",$I624="?",$B624=""),"",SUMPRODUCT((Weeks!$A$6:$A$58&lt;=$J624)*(Weeks!$Z$4:$AK$4=$I624)*Weeks!$Z$6:$AK$58)-SUMIFS($E$6:$E$1005,$I$6:$I$1005,$I624,$B$6:$B$1005,"&lt;="&amp;$B624))</f>
        <v/>
      </c>
      <c r="M624" s="19" t="str">
        <f aca="false">IF($B624&amp;$C624&amp;$D624&amp;$E624="","",IF($B624="","missing date",IF($C624="","missing worker",IF($I624="?","unknown worker - was the name changed on Workers?",IF($D624="","missing type",IF(N($E624)=0,"missing amount",IF(AND($E624&lt;0,$D624&lt;&gt;"Correction"),"negative amount - use a Correction to undo",IF(OR($B624&lt;Weeks!$A$6,$B624&gt;Weeks!$B$58),"date outside this workbook's year",IF(AND($D624="Advance",N($L624)&lt;0),"Warning: more than earned so far - worker now owes "&amp;ROUND(-$L624,0),"")))))))))</f>
        <v/>
      </c>
    </row>
    <row r="625" customFormat="false" ht="15" hidden="false" customHeight="false" outlineLevel="0" collapsed="false">
      <c r="A625" s="24" t="str">
        <f aca="false">IF($B625="","",ROW()-5)</f>
        <v/>
      </c>
      <c r="B625" s="25"/>
      <c r="C625" s="20"/>
      <c r="D625" s="26"/>
      <c r="E625" s="27"/>
      <c r="F625" s="20"/>
      <c r="G625" s="20"/>
      <c r="H625" s="26"/>
      <c r="I625" s="24" t="str">
        <f aca="false">IF($C625="","",IFERROR(INDEX(WorkerIDs,MATCH($C625,WorkerNames,0)),"?"))</f>
        <v/>
      </c>
      <c r="J625" s="18" t="str">
        <f aca="false">IF($B625="","",$B625-WEEKDAY($B625,2)+1)</f>
        <v/>
      </c>
      <c r="K625" s="28" t="str">
        <f aca="false">IF(OR($I625="",$I625="?",$D625&lt;&gt;"Advance",$B625=""),"",$I625&amp;"|"&amp;$J625&amp;"|"&amp;COUNTIFS($I$6:$I625,$I625,$J$6:$J625,$J625,$D$6:$D625,"Advance"))</f>
        <v/>
      </c>
      <c r="L625" s="29" t="str">
        <f aca="false">IF(OR($I625="",$I625="?",$B625=""),"",SUMPRODUCT((Weeks!$A$6:$A$58&lt;=$J625)*(Weeks!$Z$4:$AK$4=$I625)*Weeks!$Z$6:$AK$58)-SUMIFS($E$6:$E$1005,$I$6:$I$1005,$I625,$B$6:$B$1005,"&lt;="&amp;$B625))</f>
        <v/>
      </c>
      <c r="M625" s="19" t="str">
        <f aca="false">IF($B625&amp;$C625&amp;$D625&amp;$E625="","",IF($B625="","missing date",IF($C625="","missing worker",IF($I625="?","unknown worker - was the name changed on Workers?",IF($D625="","missing type",IF(N($E625)=0,"missing amount",IF(AND($E625&lt;0,$D625&lt;&gt;"Correction"),"negative amount - use a Correction to undo",IF(OR($B625&lt;Weeks!$A$6,$B625&gt;Weeks!$B$58),"date outside this workbook's year",IF(AND($D625="Advance",N($L625)&lt;0),"Warning: more than earned so far - worker now owes "&amp;ROUND(-$L625,0),"")))))))))</f>
        <v/>
      </c>
    </row>
    <row r="626" customFormat="false" ht="15" hidden="false" customHeight="false" outlineLevel="0" collapsed="false">
      <c r="A626" s="24" t="str">
        <f aca="false">IF($B626="","",ROW()-5)</f>
        <v/>
      </c>
      <c r="B626" s="25"/>
      <c r="C626" s="20"/>
      <c r="D626" s="26"/>
      <c r="E626" s="27"/>
      <c r="F626" s="20"/>
      <c r="G626" s="20"/>
      <c r="H626" s="26"/>
      <c r="I626" s="24" t="str">
        <f aca="false">IF($C626="","",IFERROR(INDEX(WorkerIDs,MATCH($C626,WorkerNames,0)),"?"))</f>
        <v/>
      </c>
      <c r="J626" s="18" t="str">
        <f aca="false">IF($B626="","",$B626-WEEKDAY($B626,2)+1)</f>
        <v/>
      </c>
      <c r="K626" s="28" t="str">
        <f aca="false">IF(OR($I626="",$I626="?",$D626&lt;&gt;"Advance",$B626=""),"",$I626&amp;"|"&amp;$J626&amp;"|"&amp;COUNTIFS($I$6:$I626,$I626,$J$6:$J626,$J626,$D$6:$D626,"Advance"))</f>
        <v/>
      </c>
      <c r="L626" s="29" t="str">
        <f aca="false">IF(OR($I626="",$I626="?",$B626=""),"",SUMPRODUCT((Weeks!$A$6:$A$58&lt;=$J626)*(Weeks!$Z$4:$AK$4=$I626)*Weeks!$Z$6:$AK$58)-SUMIFS($E$6:$E$1005,$I$6:$I$1005,$I626,$B$6:$B$1005,"&lt;="&amp;$B626))</f>
        <v/>
      </c>
      <c r="M626" s="19" t="str">
        <f aca="false">IF($B626&amp;$C626&amp;$D626&amp;$E626="","",IF($B626="","missing date",IF($C626="","missing worker",IF($I626="?","unknown worker - was the name changed on Workers?",IF($D626="","missing type",IF(N($E626)=0,"missing amount",IF(AND($E626&lt;0,$D626&lt;&gt;"Correction"),"negative amount - use a Correction to undo",IF(OR($B626&lt;Weeks!$A$6,$B626&gt;Weeks!$B$58),"date outside this workbook's year",IF(AND($D626="Advance",N($L626)&lt;0),"Warning: more than earned so far - worker now owes "&amp;ROUND(-$L626,0),"")))))))))</f>
        <v/>
      </c>
    </row>
    <row r="627" customFormat="false" ht="15" hidden="false" customHeight="false" outlineLevel="0" collapsed="false">
      <c r="A627" s="24" t="str">
        <f aca="false">IF($B627="","",ROW()-5)</f>
        <v/>
      </c>
      <c r="B627" s="25"/>
      <c r="C627" s="20"/>
      <c r="D627" s="26"/>
      <c r="E627" s="27"/>
      <c r="F627" s="20"/>
      <c r="G627" s="20"/>
      <c r="H627" s="26"/>
      <c r="I627" s="24" t="str">
        <f aca="false">IF($C627="","",IFERROR(INDEX(WorkerIDs,MATCH($C627,WorkerNames,0)),"?"))</f>
        <v/>
      </c>
      <c r="J627" s="18" t="str">
        <f aca="false">IF($B627="","",$B627-WEEKDAY($B627,2)+1)</f>
        <v/>
      </c>
      <c r="K627" s="28" t="str">
        <f aca="false">IF(OR($I627="",$I627="?",$D627&lt;&gt;"Advance",$B627=""),"",$I627&amp;"|"&amp;$J627&amp;"|"&amp;COUNTIFS($I$6:$I627,$I627,$J$6:$J627,$J627,$D$6:$D627,"Advance"))</f>
        <v/>
      </c>
      <c r="L627" s="29" t="str">
        <f aca="false">IF(OR($I627="",$I627="?",$B627=""),"",SUMPRODUCT((Weeks!$A$6:$A$58&lt;=$J627)*(Weeks!$Z$4:$AK$4=$I627)*Weeks!$Z$6:$AK$58)-SUMIFS($E$6:$E$1005,$I$6:$I$1005,$I627,$B$6:$B$1005,"&lt;="&amp;$B627))</f>
        <v/>
      </c>
      <c r="M627" s="19" t="str">
        <f aca="false">IF($B627&amp;$C627&amp;$D627&amp;$E627="","",IF($B627="","missing date",IF($C627="","missing worker",IF($I627="?","unknown worker - was the name changed on Workers?",IF($D627="","missing type",IF(N($E627)=0,"missing amount",IF(AND($E627&lt;0,$D627&lt;&gt;"Correction"),"negative amount - use a Correction to undo",IF(OR($B627&lt;Weeks!$A$6,$B627&gt;Weeks!$B$58),"date outside this workbook's year",IF(AND($D627="Advance",N($L627)&lt;0),"Warning: more than earned so far - worker now owes "&amp;ROUND(-$L627,0),"")))))))))</f>
        <v/>
      </c>
    </row>
    <row r="628" customFormat="false" ht="15" hidden="false" customHeight="false" outlineLevel="0" collapsed="false">
      <c r="A628" s="24" t="str">
        <f aca="false">IF($B628="","",ROW()-5)</f>
        <v/>
      </c>
      <c r="B628" s="25"/>
      <c r="C628" s="20"/>
      <c r="D628" s="26"/>
      <c r="E628" s="27"/>
      <c r="F628" s="20"/>
      <c r="G628" s="20"/>
      <c r="H628" s="26"/>
      <c r="I628" s="24" t="str">
        <f aca="false">IF($C628="","",IFERROR(INDEX(WorkerIDs,MATCH($C628,WorkerNames,0)),"?"))</f>
        <v/>
      </c>
      <c r="J628" s="18" t="str">
        <f aca="false">IF($B628="","",$B628-WEEKDAY($B628,2)+1)</f>
        <v/>
      </c>
      <c r="K628" s="28" t="str">
        <f aca="false">IF(OR($I628="",$I628="?",$D628&lt;&gt;"Advance",$B628=""),"",$I628&amp;"|"&amp;$J628&amp;"|"&amp;COUNTIFS($I$6:$I628,$I628,$J$6:$J628,$J628,$D$6:$D628,"Advance"))</f>
        <v/>
      </c>
      <c r="L628" s="29" t="str">
        <f aca="false">IF(OR($I628="",$I628="?",$B628=""),"",SUMPRODUCT((Weeks!$A$6:$A$58&lt;=$J628)*(Weeks!$Z$4:$AK$4=$I628)*Weeks!$Z$6:$AK$58)-SUMIFS($E$6:$E$1005,$I$6:$I$1005,$I628,$B$6:$B$1005,"&lt;="&amp;$B628))</f>
        <v/>
      </c>
      <c r="M628" s="19" t="str">
        <f aca="false">IF($B628&amp;$C628&amp;$D628&amp;$E628="","",IF($B628="","missing date",IF($C628="","missing worker",IF($I628="?","unknown worker - was the name changed on Workers?",IF($D628="","missing type",IF(N($E628)=0,"missing amount",IF(AND($E628&lt;0,$D628&lt;&gt;"Correction"),"negative amount - use a Correction to undo",IF(OR($B628&lt;Weeks!$A$6,$B628&gt;Weeks!$B$58),"date outside this workbook's year",IF(AND($D628="Advance",N($L628)&lt;0),"Warning: more than earned so far - worker now owes "&amp;ROUND(-$L628,0),"")))))))))</f>
        <v/>
      </c>
    </row>
    <row r="629" customFormat="false" ht="15" hidden="false" customHeight="false" outlineLevel="0" collapsed="false">
      <c r="A629" s="24" t="str">
        <f aca="false">IF($B629="","",ROW()-5)</f>
        <v/>
      </c>
      <c r="B629" s="25"/>
      <c r="C629" s="20"/>
      <c r="D629" s="26"/>
      <c r="E629" s="27"/>
      <c r="F629" s="20"/>
      <c r="G629" s="20"/>
      <c r="H629" s="26"/>
      <c r="I629" s="24" t="str">
        <f aca="false">IF($C629="","",IFERROR(INDEX(WorkerIDs,MATCH($C629,WorkerNames,0)),"?"))</f>
        <v/>
      </c>
      <c r="J629" s="18" t="str">
        <f aca="false">IF($B629="","",$B629-WEEKDAY($B629,2)+1)</f>
        <v/>
      </c>
      <c r="K629" s="28" t="str">
        <f aca="false">IF(OR($I629="",$I629="?",$D629&lt;&gt;"Advance",$B629=""),"",$I629&amp;"|"&amp;$J629&amp;"|"&amp;COUNTIFS($I$6:$I629,$I629,$J$6:$J629,$J629,$D$6:$D629,"Advance"))</f>
        <v/>
      </c>
      <c r="L629" s="29" t="str">
        <f aca="false">IF(OR($I629="",$I629="?",$B629=""),"",SUMPRODUCT((Weeks!$A$6:$A$58&lt;=$J629)*(Weeks!$Z$4:$AK$4=$I629)*Weeks!$Z$6:$AK$58)-SUMIFS($E$6:$E$1005,$I$6:$I$1005,$I629,$B$6:$B$1005,"&lt;="&amp;$B629))</f>
        <v/>
      </c>
      <c r="M629" s="19" t="str">
        <f aca="false">IF($B629&amp;$C629&amp;$D629&amp;$E629="","",IF($B629="","missing date",IF($C629="","missing worker",IF($I629="?","unknown worker - was the name changed on Workers?",IF($D629="","missing type",IF(N($E629)=0,"missing amount",IF(AND($E629&lt;0,$D629&lt;&gt;"Correction"),"negative amount - use a Correction to undo",IF(OR($B629&lt;Weeks!$A$6,$B629&gt;Weeks!$B$58),"date outside this workbook's year",IF(AND($D629="Advance",N($L629)&lt;0),"Warning: more than earned so far - worker now owes "&amp;ROUND(-$L629,0),"")))))))))</f>
        <v/>
      </c>
    </row>
    <row r="630" customFormat="false" ht="15" hidden="false" customHeight="false" outlineLevel="0" collapsed="false">
      <c r="A630" s="24" t="str">
        <f aca="false">IF($B630="","",ROW()-5)</f>
        <v/>
      </c>
      <c r="B630" s="25"/>
      <c r="C630" s="20"/>
      <c r="D630" s="26"/>
      <c r="E630" s="27"/>
      <c r="F630" s="20"/>
      <c r="G630" s="20"/>
      <c r="H630" s="26"/>
      <c r="I630" s="24" t="str">
        <f aca="false">IF($C630="","",IFERROR(INDEX(WorkerIDs,MATCH($C630,WorkerNames,0)),"?"))</f>
        <v/>
      </c>
      <c r="J630" s="18" t="str">
        <f aca="false">IF($B630="","",$B630-WEEKDAY($B630,2)+1)</f>
        <v/>
      </c>
      <c r="K630" s="28" t="str">
        <f aca="false">IF(OR($I630="",$I630="?",$D630&lt;&gt;"Advance",$B630=""),"",$I630&amp;"|"&amp;$J630&amp;"|"&amp;COUNTIFS($I$6:$I630,$I630,$J$6:$J630,$J630,$D$6:$D630,"Advance"))</f>
        <v/>
      </c>
      <c r="L630" s="29" t="str">
        <f aca="false">IF(OR($I630="",$I630="?",$B630=""),"",SUMPRODUCT((Weeks!$A$6:$A$58&lt;=$J630)*(Weeks!$Z$4:$AK$4=$I630)*Weeks!$Z$6:$AK$58)-SUMIFS($E$6:$E$1005,$I$6:$I$1005,$I630,$B$6:$B$1005,"&lt;="&amp;$B630))</f>
        <v/>
      </c>
      <c r="M630" s="19" t="str">
        <f aca="false">IF($B630&amp;$C630&amp;$D630&amp;$E630="","",IF($B630="","missing date",IF($C630="","missing worker",IF($I630="?","unknown worker - was the name changed on Workers?",IF($D630="","missing type",IF(N($E630)=0,"missing amount",IF(AND($E630&lt;0,$D630&lt;&gt;"Correction"),"negative amount - use a Correction to undo",IF(OR($B630&lt;Weeks!$A$6,$B630&gt;Weeks!$B$58),"date outside this workbook's year",IF(AND($D630="Advance",N($L630)&lt;0),"Warning: more than earned so far - worker now owes "&amp;ROUND(-$L630,0),"")))))))))</f>
        <v/>
      </c>
    </row>
    <row r="631" customFormat="false" ht="15" hidden="false" customHeight="false" outlineLevel="0" collapsed="false">
      <c r="A631" s="24" t="str">
        <f aca="false">IF($B631="","",ROW()-5)</f>
        <v/>
      </c>
      <c r="B631" s="25"/>
      <c r="C631" s="20"/>
      <c r="D631" s="26"/>
      <c r="E631" s="27"/>
      <c r="F631" s="20"/>
      <c r="G631" s="20"/>
      <c r="H631" s="26"/>
      <c r="I631" s="24" t="str">
        <f aca="false">IF($C631="","",IFERROR(INDEX(WorkerIDs,MATCH($C631,WorkerNames,0)),"?"))</f>
        <v/>
      </c>
      <c r="J631" s="18" t="str">
        <f aca="false">IF($B631="","",$B631-WEEKDAY($B631,2)+1)</f>
        <v/>
      </c>
      <c r="K631" s="28" t="str">
        <f aca="false">IF(OR($I631="",$I631="?",$D631&lt;&gt;"Advance",$B631=""),"",$I631&amp;"|"&amp;$J631&amp;"|"&amp;COUNTIFS($I$6:$I631,$I631,$J$6:$J631,$J631,$D$6:$D631,"Advance"))</f>
        <v/>
      </c>
      <c r="L631" s="29" t="str">
        <f aca="false">IF(OR($I631="",$I631="?",$B631=""),"",SUMPRODUCT((Weeks!$A$6:$A$58&lt;=$J631)*(Weeks!$Z$4:$AK$4=$I631)*Weeks!$Z$6:$AK$58)-SUMIFS($E$6:$E$1005,$I$6:$I$1005,$I631,$B$6:$B$1005,"&lt;="&amp;$B631))</f>
        <v/>
      </c>
      <c r="M631" s="19" t="str">
        <f aca="false">IF($B631&amp;$C631&amp;$D631&amp;$E631="","",IF($B631="","missing date",IF($C631="","missing worker",IF($I631="?","unknown worker - was the name changed on Workers?",IF($D631="","missing type",IF(N($E631)=0,"missing amount",IF(AND($E631&lt;0,$D631&lt;&gt;"Correction"),"negative amount - use a Correction to undo",IF(OR($B631&lt;Weeks!$A$6,$B631&gt;Weeks!$B$58),"date outside this workbook's year",IF(AND($D631="Advance",N($L631)&lt;0),"Warning: more than earned so far - worker now owes "&amp;ROUND(-$L631,0),"")))))))))</f>
        <v/>
      </c>
    </row>
    <row r="632" customFormat="false" ht="15" hidden="false" customHeight="false" outlineLevel="0" collapsed="false">
      <c r="A632" s="24" t="str">
        <f aca="false">IF($B632="","",ROW()-5)</f>
        <v/>
      </c>
      <c r="B632" s="25"/>
      <c r="C632" s="20"/>
      <c r="D632" s="26"/>
      <c r="E632" s="27"/>
      <c r="F632" s="20"/>
      <c r="G632" s="20"/>
      <c r="H632" s="26"/>
      <c r="I632" s="24" t="str">
        <f aca="false">IF($C632="","",IFERROR(INDEX(WorkerIDs,MATCH($C632,WorkerNames,0)),"?"))</f>
        <v/>
      </c>
      <c r="J632" s="18" t="str">
        <f aca="false">IF($B632="","",$B632-WEEKDAY($B632,2)+1)</f>
        <v/>
      </c>
      <c r="K632" s="28" t="str">
        <f aca="false">IF(OR($I632="",$I632="?",$D632&lt;&gt;"Advance",$B632=""),"",$I632&amp;"|"&amp;$J632&amp;"|"&amp;COUNTIFS($I$6:$I632,$I632,$J$6:$J632,$J632,$D$6:$D632,"Advance"))</f>
        <v/>
      </c>
      <c r="L632" s="29" t="str">
        <f aca="false">IF(OR($I632="",$I632="?",$B632=""),"",SUMPRODUCT((Weeks!$A$6:$A$58&lt;=$J632)*(Weeks!$Z$4:$AK$4=$I632)*Weeks!$Z$6:$AK$58)-SUMIFS($E$6:$E$1005,$I$6:$I$1005,$I632,$B$6:$B$1005,"&lt;="&amp;$B632))</f>
        <v/>
      </c>
      <c r="M632" s="19" t="str">
        <f aca="false">IF($B632&amp;$C632&amp;$D632&amp;$E632="","",IF($B632="","missing date",IF($C632="","missing worker",IF($I632="?","unknown worker - was the name changed on Workers?",IF($D632="","missing type",IF(N($E632)=0,"missing amount",IF(AND($E632&lt;0,$D632&lt;&gt;"Correction"),"negative amount - use a Correction to undo",IF(OR($B632&lt;Weeks!$A$6,$B632&gt;Weeks!$B$58),"date outside this workbook's year",IF(AND($D632="Advance",N($L632)&lt;0),"Warning: more than earned so far - worker now owes "&amp;ROUND(-$L632,0),"")))))))))</f>
        <v/>
      </c>
    </row>
    <row r="633" customFormat="false" ht="15" hidden="false" customHeight="false" outlineLevel="0" collapsed="false">
      <c r="A633" s="24" t="str">
        <f aca="false">IF($B633="","",ROW()-5)</f>
        <v/>
      </c>
      <c r="B633" s="25"/>
      <c r="C633" s="20"/>
      <c r="D633" s="26"/>
      <c r="E633" s="27"/>
      <c r="F633" s="20"/>
      <c r="G633" s="20"/>
      <c r="H633" s="26"/>
      <c r="I633" s="24" t="str">
        <f aca="false">IF($C633="","",IFERROR(INDEX(WorkerIDs,MATCH($C633,WorkerNames,0)),"?"))</f>
        <v/>
      </c>
      <c r="J633" s="18" t="str">
        <f aca="false">IF($B633="","",$B633-WEEKDAY($B633,2)+1)</f>
        <v/>
      </c>
      <c r="K633" s="28" t="str">
        <f aca="false">IF(OR($I633="",$I633="?",$D633&lt;&gt;"Advance",$B633=""),"",$I633&amp;"|"&amp;$J633&amp;"|"&amp;COUNTIFS($I$6:$I633,$I633,$J$6:$J633,$J633,$D$6:$D633,"Advance"))</f>
        <v/>
      </c>
      <c r="L633" s="29" t="str">
        <f aca="false">IF(OR($I633="",$I633="?",$B633=""),"",SUMPRODUCT((Weeks!$A$6:$A$58&lt;=$J633)*(Weeks!$Z$4:$AK$4=$I633)*Weeks!$Z$6:$AK$58)-SUMIFS($E$6:$E$1005,$I$6:$I$1005,$I633,$B$6:$B$1005,"&lt;="&amp;$B633))</f>
        <v/>
      </c>
      <c r="M633" s="19" t="str">
        <f aca="false">IF($B633&amp;$C633&amp;$D633&amp;$E633="","",IF($B633="","missing date",IF($C633="","missing worker",IF($I633="?","unknown worker - was the name changed on Workers?",IF($D633="","missing type",IF(N($E633)=0,"missing amount",IF(AND($E633&lt;0,$D633&lt;&gt;"Correction"),"negative amount - use a Correction to undo",IF(OR($B633&lt;Weeks!$A$6,$B633&gt;Weeks!$B$58),"date outside this workbook's year",IF(AND($D633="Advance",N($L633)&lt;0),"Warning: more than earned so far - worker now owes "&amp;ROUND(-$L633,0),"")))))))))</f>
        <v/>
      </c>
    </row>
    <row r="634" customFormat="false" ht="15" hidden="false" customHeight="false" outlineLevel="0" collapsed="false">
      <c r="A634" s="24" t="str">
        <f aca="false">IF($B634="","",ROW()-5)</f>
        <v/>
      </c>
      <c r="B634" s="25"/>
      <c r="C634" s="20"/>
      <c r="D634" s="26"/>
      <c r="E634" s="27"/>
      <c r="F634" s="20"/>
      <c r="G634" s="20"/>
      <c r="H634" s="26"/>
      <c r="I634" s="24" t="str">
        <f aca="false">IF($C634="","",IFERROR(INDEX(WorkerIDs,MATCH($C634,WorkerNames,0)),"?"))</f>
        <v/>
      </c>
      <c r="J634" s="18" t="str">
        <f aca="false">IF($B634="","",$B634-WEEKDAY($B634,2)+1)</f>
        <v/>
      </c>
      <c r="K634" s="28" t="str">
        <f aca="false">IF(OR($I634="",$I634="?",$D634&lt;&gt;"Advance",$B634=""),"",$I634&amp;"|"&amp;$J634&amp;"|"&amp;COUNTIFS($I$6:$I634,$I634,$J$6:$J634,$J634,$D$6:$D634,"Advance"))</f>
        <v/>
      </c>
      <c r="L634" s="29" t="str">
        <f aca="false">IF(OR($I634="",$I634="?",$B634=""),"",SUMPRODUCT((Weeks!$A$6:$A$58&lt;=$J634)*(Weeks!$Z$4:$AK$4=$I634)*Weeks!$Z$6:$AK$58)-SUMIFS($E$6:$E$1005,$I$6:$I$1005,$I634,$B$6:$B$1005,"&lt;="&amp;$B634))</f>
        <v/>
      </c>
      <c r="M634" s="19" t="str">
        <f aca="false">IF($B634&amp;$C634&amp;$D634&amp;$E634="","",IF($B634="","missing date",IF($C634="","missing worker",IF($I634="?","unknown worker - was the name changed on Workers?",IF($D634="","missing type",IF(N($E634)=0,"missing amount",IF(AND($E634&lt;0,$D634&lt;&gt;"Correction"),"negative amount - use a Correction to undo",IF(OR($B634&lt;Weeks!$A$6,$B634&gt;Weeks!$B$58),"date outside this workbook's year",IF(AND($D634="Advance",N($L634)&lt;0),"Warning: more than earned so far - worker now owes "&amp;ROUND(-$L634,0),"")))))))))</f>
        <v/>
      </c>
    </row>
    <row r="635" customFormat="false" ht="15" hidden="false" customHeight="false" outlineLevel="0" collapsed="false">
      <c r="A635" s="24" t="str">
        <f aca="false">IF($B635="","",ROW()-5)</f>
        <v/>
      </c>
      <c r="B635" s="25"/>
      <c r="C635" s="20"/>
      <c r="D635" s="26"/>
      <c r="E635" s="27"/>
      <c r="F635" s="20"/>
      <c r="G635" s="20"/>
      <c r="H635" s="26"/>
      <c r="I635" s="24" t="str">
        <f aca="false">IF($C635="","",IFERROR(INDEX(WorkerIDs,MATCH($C635,WorkerNames,0)),"?"))</f>
        <v/>
      </c>
      <c r="J635" s="18" t="str">
        <f aca="false">IF($B635="","",$B635-WEEKDAY($B635,2)+1)</f>
        <v/>
      </c>
      <c r="K635" s="28" t="str">
        <f aca="false">IF(OR($I635="",$I635="?",$D635&lt;&gt;"Advance",$B635=""),"",$I635&amp;"|"&amp;$J635&amp;"|"&amp;COUNTIFS($I$6:$I635,$I635,$J$6:$J635,$J635,$D$6:$D635,"Advance"))</f>
        <v/>
      </c>
      <c r="L635" s="29" t="str">
        <f aca="false">IF(OR($I635="",$I635="?",$B635=""),"",SUMPRODUCT((Weeks!$A$6:$A$58&lt;=$J635)*(Weeks!$Z$4:$AK$4=$I635)*Weeks!$Z$6:$AK$58)-SUMIFS($E$6:$E$1005,$I$6:$I$1005,$I635,$B$6:$B$1005,"&lt;="&amp;$B635))</f>
        <v/>
      </c>
      <c r="M635" s="19" t="str">
        <f aca="false">IF($B635&amp;$C635&amp;$D635&amp;$E635="","",IF($B635="","missing date",IF($C635="","missing worker",IF($I635="?","unknown worker - was the name changed on Workers?",IF($D635="","missing type",IF(N($E635)=0,"missing amount",IF(AND($E635&lt;0,$D635&lt;&gt;"Correction"),"negative amount - use a Correction to undo",IF(OR($B635&lt;Weeks!$A$6,$B635&gt;Weeks!$B$58),"date outside this workbook's year",IF(AND($D635="Advance",N($L635)&lt;0),"Warning: more than earned so far - worker now owes "&amp;ROUND(-$L635,0),"")))))))))</f>
        <v/>
      </c>
    </row>
    <row r="636" customFormat="false" ht="15" hidden="false" customHeight="false" outlineLevel="0" collapsed="false">
      <c r="A636" s="24" t="str">
        <f aca="false">IF($B636="","",ROW()-5)</f>
        <v/>
      </c>
      <c r="B636" s="25"/>
      <c r="C636" s="20"/>
      <c r="D636" s="26"/>
      <c r="E636" s="27"/>
      <c r="F636" s="20"/>
      <c r="G636" s="20"/>
      <c r="H636" s="26"/>
      <c r="I636" s="24" t="str">
        <f aca="false">IF($C636="","",IFERROR(INDEX(WorkerIDs,MATCH($C636,WorkerNames,0)),"?"))</f>
        <v/>
      </c>
      <c r="J636" s="18" t="str">
        <f aca="false">IF($B636="","",$B636-WEEKDAY($B636,2)+1)</f>
        <v/>
      </c>
      <c r="K636" s="28" t="str">
        <f aca="false">IF(OR($I636="",$I636="?",$D636&lt;&gt;"Advance",$B636=""),"",$I636&amp;"|"&amp;$J636&amp;"|"&amp;COUNTIFS($I$6:$I636,$I636,$J$6:$J636,$J636,$D$6:$D636,"Advance"))</f>
        <v/>
      </c>
      <c r="L636" s="29" t="str">
        <f aca="false">IF(OR($I636="",$I636="?",$B636=""),"",SUMPRODUCT((Weeks!$A$6:$A$58&lt;=$J636)*(Weeks!$Z$4:$AK$4=$I636)*Weeks!$Z$6:$AK$58)-SUMIFS($E$6:$E$1005,$I$6:$I$1005,$I636,$B$6:$B$1005,"&lt;="&amp;$B636))</f>
        <v/>
      </c>
      <c r="M636" s="19" t="str">
        <f aca="false">IF($B636&amp;$C636&amp;$D636&amp;$E636="","",IF($B636="","missing date",IF($C636="","missing worker",IF($I636="?","unknown worker - was the name changed on Workers?",IF($D636="","missing type",IF(N($E636)=0,"missing amount",IF(AND($E636&lt;0,$D636&lt;&gt;"Correction"),"negative amount - use a Correction to undo",IF(OR($B636&lt;Weeks!$A$6,$B636&gt;Weeks!$B$58),"date outside this workbook's year",IF(AND($D636="Advance",N($L636)&lt;0),"Warning: more than earned so far - worker now owes "&amp;ROUND(-$L636,0),"")))))))))</f>
        <v/>
      </c>
    </row>
    <row r="637" customFormat="false" ht="15" hidden="false" customHeight="false" outlineLevel="0" collapsed="false">
      <c r="A637" s="24" t="str">
        <f aca="false">IF($B637="","",ROW()-5)</f>
        <v/>
      </c>
      <c r="B637" s="25"/>
      <c r="C637" s="20"/>
      <c r="D637" s="26"/>
      <c r="E637" s="27"/>
      <c r="F637" s="20"/>
      <c r="G637" s="20"/>
      <c r="H637" s="26"/>
      <c r="I637" s="24" t="str">
        <f aca="false">IF($C637="","",IFERROR(INDEX(WorkerIDs,MATCH($C637,WorkerNames,0)),"?"))</f>
        <v/>
      </c>
      <c r="J637" s="18" t="str">
        <f aca="false">IF($B637="","",$B637-WEEKDAY($B637,2)+1)</f>
        <v/>
      </c>
      <c r="K637" s="28" t="str">
        <f aca="false">IF(OR($I637="",$I637="?",$D637&lt;&gt;"Advance",$B637=""),"",$I637&amp;"|"&amp;$J637&amp;"|"&amp;COUNTIFS($I$6:$I637,$I637,$J$6:$J637,$J637,$D$6:$D637,"Advance"))</f>
        <v/>
      </c>
      <c r="L637" s="29" t="str">
        <f aca="false">IF(OR($I637="",$I637="?",$B637=""),"",SUMPRODUCT((Weeks!$A$6:$A$58&lt;=$J637)*(Weeks!$Z$4:$AK$4=$I637)*Weeks!$Z$6:$AK$58)-SUMIFS($E$6:$E$1005,$I$6:$I$1005,$I637,$B$6:$B$1005,"&lt;="&amp;$B637))</f>
        <v/>
      </c>
      <c r="M637" s="19" t="str">
        <f aca="false">IF($B637&amp;$C637&amp;$D637&amp;$E637="","",IF($B637="","missing date",IF($C637="","missing worker",IF($I637="?","unknown worker - was the name changed on Workers?",IF($D637="","missing type",IF(N($E637)=0,"missing amount",IF(AND($E637&lt;0,$D637&lt;&gt;"Correction"),"negative amount - use a Correction to undo",IF(OR($B637&lt;Weeks!$A$6,$B637&gt;Weeks!$B$58),"date outside this workbook's year",IF(AND($D637="Advance",N($L637)&lt;0),"Warning: more than earned so far - worker now owes "&amp;ROUND(-$L637,0),"")))))))))</f>
        <v/>
      </c>
    </row>
    <row r="638" customFormat="false" ht="15" hidden="false" customHeight="false" outlineLevel="0" collapsed="false">
      <c r="A638" s="24" t="str">
        <f aca="false">IF($B638="","",ROW()-5)</f>
        <v/>
      </c>
      <c r="B638" s="25"/>
      <c r="C638" s="20"/>
      <c r="D638" s="26"/>
      <c r="E638" s="27"/>
      <c r="F638" s="20"/>
      <c r="G638" s="20"/>
      <c r="H638" s="26"/>
      <c r="I638" s="24" t="str">
        <f aca="false">IF($C638="","",IFERROR(INDEX(WorkerIDs,MATCH($C638,WorkerNames,0)),"?"))</f>
        <v/>
      </c>
      <c r="J638" s="18" t="str">
        <f aca="false">IF($B638="","",$B638-WEEKDAY($B638,2)+1)</f>
        <v/>
      </c>
      <c r="K638" s="28" t="str">
        <f aca="false">IF(OR($I638="",$I638="?",$D638&lt;&gt;"Advance",$B638=""),"",$I638&amp;"|"&amp;$J638&amp;"|"&amp;COUNTIFS($I$6:$I638,$I638,$J$6:$J638,$J638,$D$6:$D638,"Advance"))</f>
        <v/>
      </c>
      <c r="L638" s="29" t="str">
        <f aca="false">IF(OR($I638="",$I638="?",$B638=""),"",SUMPRODUCT((Weeks!$A$6:$A$58&lt;=$J638)*(Weeks!$Z$4:$AK$4=$I638)*Weeks!$Z$6:$AK$58)-SUMIFS($E$6:$E$1005,$I$6:$I$1005,$I638,$B$6:$B$1005,"&lt;="&amp;$B638))</f>
        <v/>
      </c>
      <c r="M638" s="19" t="str">
        <f aca="false">IF($B638&amp;$C638&amp;$D638&amp;$E638="","",IF($B638="","missing date",IF($C638="","missing worker",IF($I638="?","unknown worker - was the name changed on Workers?",IF($D638="","missing type",IF(N($E638)=0,"missing amount",IF(AND($E638&lt;0,$D638&lt;&gt;"Correction"),"negative amount - use a Correction to undo",IF(OR($B638&lt;Weeks!$A$6,$B638&gt;Weeks!$B$58),"date outside this workbook's year",IF(AND($D638="Advance",N($L638)&lt;0),"Warning: more than earned so far - worker now owes "&amp;ROUND(-$L638,0),"")))))))))</f>
        <v/>
      </c>
    </row>
    <row r="639" customFormat="false" ht="15" hidden="false" customHeight="false" outlineLevel="0" collapsed="false">
      <c r="A639" s="24" t="str">
        <f aca="false">IF($B639="","",ROW()-5)</f>
        <v/>
      </c>
      <c r="B639" s="25"/>
      <c r="C639" s="20"/>
      <c r="D639" s="26"/>
      <c r="E639" s="27"/>
      <c r="F639" s="20"/>
      <c r="G639" s="20"/>
      <c r="H639" s="26"/>
      <c r="I639" s="24" t="str">
        <f aca="false">IF($C639="","",IFERROR(INDEX(WorkerIDs,MATCH($C639,WorkerNames,0)),"?"))</f>
        <v/>
      </c>
      <c r="J639" s="18" t="str">
        <f aca="false">IF($B639="","",$B639-WEEKDAY($B639,2)+1)</f>
        <v/>
      </c>
      <c r="K639" s="28" t="str">
        <f aca="false">IF(OR($I639="",$I639="?",$D639&lt;&gt;"Advance",$B639=""),"",$I639&amp;"|"&amp;$J639&amp;"|"&amp;COUNTIFS($I$6:$I639,$I639,$J$6:$J639,$J639,$D$6:$D639,"Advance"))</f>
        <v/>
      </c>
      <c r="L639" s="29" t="str">
        <f aca="false">IF(OR($I639="",$I639="?",$B639=""),"",SUMPRODUCT((Weeks!$A$6:$A$58&lt;=$J639)*(Weeks!$Z$4:$AK$4=$I639)*Weeks!$Z$6:$AK$58)-SUMIFS($E$6:$E$1005,$I$6:$I$1005,$I639,$B$6:$B$1005,"&lt;="&amp;$B639))</f>
        <v/>
      </c>
      <c r="M639" s="19" t="str">
        <f aca="false">IF($B639&amp;$C639&amp;$D639&amp;$E639="","",IF($B639="","missing date",IF($C639="","missing worker",IF($I639="?","unknown worker - was the name changed on Workers?",IF($D639="","missing type",IF(N($E639)=0,"missing amount",IF(AND($E639&lt;0,$D639&lt;&gt;"Correction"),"negative amount - use a Correction to undo",IF(OR($B639&lt;Weeks!$A$6,$B639&gt;Weeks!$B$58),"date outside this workbook's year",IF(AND($D639="Advance",N($L639)&lt;0),"Warning: more than earned so far - worker now owes "&amp;ROUND(-$L639,0),"")))))))))</f>
        <v/>
      </c>
    </row>
    <row r="640" customFormat="false" ht="15" hidden="false" customHeight="false" outlineLevel="0" collapsed="false">
      <c r="A640" s="24" t="str">
        <f aca="false">IF($B640="","",ROW()-5)</f>
        <v/>
      </c>
      <c r="B640" s="25"/>
      <c r="C640" s="20"/>
      <c r="D640" s="26"/>
      <c r="E640" s="27"/>
      <c r="F640" s="20"/>
      <c r="G640" s="20"/>
      <c r="H640" s="26"/>
      <c r="I640" s="24" t="str">
        <f aca="false">IF($C640="","",IFERROR(INDEX(WorkerIDs,MATCH($C640,WorkerNames,0)),"?"))</f>
        <v/>
      </c>
      <c r="J640" s="18" t="str">
        <f aca="false">IF($B640="","",$B640-WEEKDAY($B640,2)+1)</f>
        <v/>
      </c>
      <c r="K640" s="28" t="str">
        <f aca="false">IF(OR($I640="",$I640="?",$D640&lt;&gt;"Advance",$B640=""),"",$I640&amp;"|"&amp;$J640&amp;"|"&amp;COUNTIFS($I$6:$I640,$I640,$J$6:$J640,$J640,$D$6:$D640,"Advance"))</f>
        <v/>
      </c>
      <c r="L640" s="29" t="str">
        <f aca="false">IF(OR($I640="",$I640="?",$B640=""),"",SUMPRODUCT((Weeks!$A$6:$A$58&lt;=$J640)*(Weeks!$Z$4:$AK$4=$I640)*Weeks!$Z$6:$AK$58)-SUMIFS($E$6:$E$1005,$I$6:$I$1005,$I640,$B$6:$B$1005,"&lt;="&amp;$B640))</f>
        <v/>
      </c>
      <c r="M640" s="19" t="str">
        <f aca="false">IF($B640&amp;$C640&amp;$D640&amp;$E640="","",IF($B640="","missing date",IF($C640="","missing worker",IF($I640="?","unknown worker - was the name changed on Workers?",IF($D640="","missing type",IF(N($E640)=0,"missing amount",IF(AND($E640&lt;0,$D640&lt;&gt;"Correction"),"negative amount - use a Correction to undo",IF(OR($B640&lt;Weeks!$A$6,$B640&gt;Weeks!$B$58),"date outside this workbook's year",IF(AND($D640="Advance",N($L640)&lt;0),"Warning: more than earned so far - worker now owes "&amp;ROUND(-$L640,0),"")))))))))</f>
        <v/>
      </c>
    </row>
    <row r="641" customFormat="false" ht="15" hidden="false" customHeight="false" outlineLevel="0" collapsed="false">
      <c r="A641" s="24" t="str">
        <f aca="false">IF($B641="","",ROW()-5)</f>
        <v/>
      </c>
      <c r="B641" s="25"/>
      <c r="C641" s="20"/>
      <c r="D641" s="26"/>
      <c r="E641" s="27"/>
      <c r="F641" s="20"/>
      <c r="G641" s="20"/>
      <c r="H641" s="26"/>
      <c r="I641" s="24" t="str">
        <f aca="false">IF($C641="","",IFERROR(INDEX(WorkerIDs,MATCH($C641,WorkerNames,0)),"?"))</f>
        <v/>
      </c>
      <c r="J641" s="18" t="str">
        <f aca="false">IF($B641="","",$B641-WEEKDAY($B641,2)+1)</f>
        <v/>
      </c>
      <c r="K641" s="28" t="str">
        <f aca="false">IF(OR($I641="",$I641="?",$D641&lt;&gt;"Advance",$B641=""),"",$I641&amp;"|"&amp;$J641&amp;"|"&amp;COUNTIFS($I$6:$I641,$I641,$J$6:$J641,$J641,$D$6:$D641,"Advance"))</f>
        <v/>
      </c>
      <c r="L641" s="29" t="str">
        <f aca="false">IF(OR($I641="",$I641="?",$B641=""),"",SUMPRODUCT((Weeks!$A$6:$A$58&lt;=$J641)*(Weeks!$Z$4:$AK$4=$I641)*Weeks!$Z$6:$AK$58)-SUMIFS($E$6:$E$1005,$I$6:$I$1005,$I641,$B$6:$B$1005,"&lt;="&amp;$B641))</f>
        <v/>
      </c>
      <c r="M641" s="19" t="str">
        <f aca="false">IF($B641&amp;$C641&amp;$D641&amp;$E641="","",IF($B641="","missing date",IF($C641="","missing worker",IF($I641="?","unknown worker - was the name changed on Workers?",IF($D641="","missing type",IF(N($E641)=0,"missing amount",IF(AND($E641&lt;0,$D641&lt;&gt;"Correction"),"negative amount - use a Correction to undo",IF(OR($B641&lt;Weeks!$A$6,$B641&gt;Weeks!$B$58),"date outside this workbook's year",IF(AND($D641="Advance",N($L641)&lt;0),"Warning: more than earned so far - worker now owes "&amp;ROUND(-$L641,0),"")))))))))</f>
        <v/>
      </c>
    </row>
    <row r="642" customFormat="false" ht="15" hidden="false" customHeight="false" outlineLevel="0" collapsed="false">
      <c r="A642" s="24" t="str">
        <f aca="false">IF($B642="","",ROW()-5)</f>
        <v/>
      </c>
      <c r="B642" s="25"/>
      <c r="C642" s="20"/>
      <c r="D642" s="26"/>
      <c r="E642" s="27"/>
      <c r="F642" s="20"/>
      <c r="G642" s="20"/>
      <c r="H642" s="26"/>
      <c r="I642" s="24" t="str">
        <f aca="false">IF($C642="","",IFERROR(INDEX(WorkerIDs,MATCH($C642,WorkerNames,0)),"?"))</f>
        <v/>
      </c>
      <c r="J642" s="18" t="str">
        <f aca="false">IF($B642="","",$B642-WEEKDAY($B642,2)+1)</f>
        <v/>
      </c>
      <c r="K642" s="28" t="str">
        <f aca="false">IF(OR($I642="",$I642="?",$D642&lt;&gt;"Advance",$B642=""),"",$I642&amp;"|"&amp;$J642&amp;"|"&amp;COUNTIFS($I$6:$I642,$I642,$J$6:$J642,$J642,$D$6:$D642,"Advance"))</f>
        <v/>
      </c>
      <c r="L642" s="29" t="str">
        <f aca="false">IF(OR($I642="",$I642="?",$B642=""),"",SUMPRODUCT((Weeks!$A$6:$A$58&lt;=$J642)*(Weeks!$Z$4:$AK$4=$I642)*Weeks!$Z$6:$AK$58)-SUMIFS($E$6:$E$1005,$I$6:$I$1005,$I642,$B$6:$B$1005,"&lt;="&amp;$B642))</f>
        <v/>
      </c>
      <c r="M642" s="19" t="str">
        <f aca="false">IF($B642&amp;$C642&amp;$D642&amp;$E642="","",IF($B642="","missing date",IF($C642="","missing worker",IF($I642="?","unknown worker - was the name changed on Workers?",IF($D642="","missing type",IF(N($E642)=0,"missing amount",IF(AND($E642&lt;0,$D642&lt;&gt;"Correction"),"negative amount - use a Correction to undo",IF(OR($B642&lt;Weeks!$A$6,$B642&gt;Weeks!$B$58),"date outside this workbook's year",IF(AND($D642="Advance",N($L642)&lt;0),"Warning: more than earned so far - worker now owes "&amp;ROUND(-$L642,0),"")))))))))</f>
        <v/>
      </c>
    </row>
    <row r="643" customFormat="false" ht="15" hidden="false" customHeight="false" outlineLevel="0" collapsed="false">
      <c r="A643" s="24" t="str">
        <f aca="false">IF($B643="","",ROW()-5)</f>
        <v/>
      </c>
      <c r="B643" s="25"/>
      <c r="C643" s="20"/>
      <c r="D643" s="26"/>
      <c r="E643" s="27"/>
      <c r="F643" s="20"/>
      <c r="G643" s="20"/>
      <c r="H643" s="26"/>
      <c r="I643" s="24" t="str">
        <f aca="false">IF($C643="","",IFERROR(INDEX(WorkerIDs,MATCH($C643,WorkerNames,0)),"?"))</f>
        <v/>
      </c>
      <c r="J643" s="18" t="str">
        <f aca="false">IF($B643="","",$B643-WEEKDAY($B643,2)+1)</f>
        <v/>
      </c>
      <c r="K643" s="28" t="str">
        <f aca="false">IF(OR($I643="",$I643="?",$D643&lt;&gt;"Advance",$B643=""),"",$I643&amp;"|"&amp;$J643&amp;"|"&amp;COUNTIFS($I$6:$I643,$I643,$J$6:$J643,$J643,$D$6:$D643,"Advance"))</f>
        <v/>
      </c>
      <c r="L643" s="29" t="str">
        <f aca="false">IF(OR($I643="",$I643="?",$B643=""),"",SUMPRODUCT((Weeks!$A$6:$A$58&lt;=$J643)*(Weeks!$Z$4:$AK$4=$I643)*Weeks!$Z$6:$AK$58)-SUMIFS($E$6:$E$1005,$I$6:$I$1005,$I643,$B$6:$B$1005,"&lt;="&amp;$B643))</f>
        <v/>
      </c>
      <c r="M643" s="19" t="str">
        <f aca="false">IF($B643&amp;$C643&amp;$D643&amp;$E643="","",IF($B643="","missing date",IF($C643="","missing worker",IF($I643="?","unknown worker - was the name changed on Workers?",IF($D643="","missing type",IF(N($E643)=0,"missing amount",IF(AND($E643&lt;0,$D643&lt;&gt;"Correction"),"negative amount - use a Correction to undo",IF(OR($B643&lt;Weeks!$A$6,$B643&gt;Weeks!$B$58),"date outside this workbook's year",IF(AND($D643="Advance",N($L643)&lt;0),"Warning: more than earned so far - worker now owes "&amp;ROUND(-$L643,0),"")))))))))</f>
        <v/>
      </c>
    </row>
    <row r="644" customFormat="false" ht="15" hidden="false" customHeight="false" outlineLevel="0" collapsed="false">
      <c r="A644" s="24" t="str">
        <f aca="false">IF($B644="","",ROW()-5)</f>
        <v/>
      </c>
      <c r="B644" s="25"/>
      <c r="C644" s="20"/>
      <c r="D644" s="26"/>
      <c r="E644" s="27"/>
      <c r="F644" s="20"/>
      <c r="G644" s="20"/>
      <c r="H644" s="26"/>
      <c r="I644" s="24" t="str">
        <f aca="false">IF($C644="","",IFERROR(INDEX(WorkerIDs,MATCH($C644,WorkerNames,0)),"?"))</f>
        <v/>
      </c>
      <c r="J644" s="18" t="str">
        <f aca="false">IF($B644="","",$B644-WEEKDAY($B644,2)+1)</f>
        <v/>
      </c>
      <c r="K644" s="28" t="str">
        <f aca="false">IF(OR($I644="",$I644="?",$D644&lt;&gt;"Advance",$B644=""),"",$I644&amp;"|"&amp;$J644&amp;"|"&amp;COUNTIFS($I$6:$I644,$I644,$J$6:$J644,$J644,$D$6:$D644,"Advance"))</f>
        <v/>
      </c>
      <c r="L644" s="29" t="str">
        <f aca="false">IF(OR($I644="",$I644="?",$B644=""),"",SUMPRODUCT((Weeks!$A$6:$A$58&lt;=$J644)*(Weeks!$Z$4:$AK$4=$I644)*Weeks!$Z$6:$AK$58)-SUMIFS($E$6:$E$1005,$I$6:$I$1005,$I644,$B$6:$B$1005,"&lt;="&amp;$B644))</f>
        <v/>
      </c>
      <c r="M644" s="19" t="str">
        <f aca="false">IF($B644&amp;$C644&amp;$D644&amp;$E644="","",IF($B644="","missing date",IF($C644="","missing worker",IF($I644="?","unknown worker - was the name changed on Workers?",IF($D644="","missing type",IF(N($E644)=0,"missing amount",IF(AND($E644&lt;0,$D644&lt;&gt;"Correction"),"negative amount - use a Correction to undo",IF(OR($B644&lt;Weeks!$A$6,$B644&gt;Weeks!$B$58),"date outside this workbook's year",IF(AND($D644="Advance",N($L644)&lt;0),"Warning: more than earned so far - worker now owes "&amp;ROUND(-$L644,0),"")))))))))</f>
        <v/>
      </c>
    </row>
    <row r="645" customFormat="false" ht="15" hidden="false" customHeight="false" outlineLevel="0" collapsed="false">
      <c r="A645" s="24" t="str">
        <f aca="false">IF($B645="","",ROW()-5)</f>
        <v/>
      </c>
      <c r="B645" s="25"/>
      <c r="C645" s="20"/>
      <c r="D645" s="26"/>
      <c r="E645" s="27"/>
      <c r="F645" s="20"/>
      <c r="G645" s="20"/>
      <c r="H645" s="26"/>
      <c r="I645" s="24" t="str">
        <f aca="false">IF($C645="","",IFERROR(INDEX(WorkerIDs,MATCH($C645,WorkerNames,0)),"?"))</f>
        <v/>
      </c>
      <c r="J645" s="18" t="str">
        <f aca="false">IF($B645="","",$B645-WEEKDAY($B645,2)+1)</f>
        <v/>
      </c>
      <c r="K645" s="28" t="str">
        <f aca="false">IF(OR($I645="",$I645="?",$D645&lt;&gt;"Advance",$B645=""),"",$I645&amp;"|"&amp;$J645&amp;"|"&amp;COUNTIFS($I$6:$I645,$I645,$J$6:$J645,$J645,$D$6:$D645,"Advance"))</f>
        <v/>
      </c>
      <c r="L645" s="29" t="str">
        <f aca="false">IF(OR($I645="",$I645="?",$B645=""),"",SUMPRODUCT((Weeks!$A$6:$A$58&lt;=$J645)*(Weeks!$Z$4:$AK$4=$I645)*Weeks!$Z$6:$AK$58)-SUMIFS($E$6:$E$1005,$I$6:$I$1005,$I645,$B$6:$B$1005,"&lt;="&amp;$B645))</f>
        <v/>
      </c>
      <c r="M645" s="19" t="str">
        <f aca="false">IF($B645&amp;$C645&amp;$D645&amp;$E645="","",IF($B645="","missing date",IF($C645="","missing worker",IF($I645="?","unknown worker - was the name changed on Workers?",IF($D645="","missing type",IF(N($E645)=0,"missing amount",IF(AND($E645&lt;0,$D645&lt;&gt;"Correction"),"negative amount - use a Correction to undo",IF(OR($B645&lt;Weeks!$A$6,$B645&gt;Weeks!$B$58),"date outside this workbook's year",IF(AND($D645="Advance",N($L645)&lt;0),"Warning: more than earned so far - worker now owes "&amp;ROUND(-$L645,0),"")))))))))</f>
        <v/>
      </c>
    </row>
    <row r="646" customFormat="false" ht="15" hidden="false" customHeight="false" outlineLevel="0" collapsed="false">
      <c r="A646" s="24" t="str">
        <f aca="false">IF($B646="","",ROW()-5)</f>
        <v/>
      </c>
      <c r="B646" s="25"/>
      <c r="C646" s="20"/>
      <c r="D646" s="26"/>
      <c r="E646" s="27"/>
      <c r="F646" s="20"/>
      <c r="G646" s="20"/>
      <c r="H646" s="26"/>
      <c r="I646" s="24" t="str">
        <f aca="false">IF($C646="","",IFERROR(INDEX(WorkerIDs,MATCH($C646,WorkerNames,0)),"?"))</f>
        <v/>
      </c>
      <c r="J646" s="18" t="str">
        <f aca="false">IF($B646="","",$B646-WEEKDAY($B646,2)+1)</f>
        <v/>
      </c>
      <c r="K646" s="28" t="str">
        <f aca="false">IF(OR($I646="",$I646="?",$D646&lt;&gt;"Advance",$B646=""),"",$I646&amp;"|"&amp;$J646&amp;"|"&amp;COUNTIFS($I$6:$I646,$I646,$J$6:$J646,$J646,$D$6:$D646,"Advance"))</f>
        <v/>
      </c>
      <c r="L646" s="29" t="str">
        <f aca="false">IF(OR($I646="",$I646="?",$B646=""),"",SUMPRODUCT((Weeks!$A$6:$A$58&lt;=$J646)*(Weeks!$Z$4:$AK$4=$I646)*Weeks!$Z$6:$AK$58)-SUMIFS($E$6:$E$1005,$I$6:$I$1005,$I646,$B$6:$B$1005,"&lt;="&amp;$B646))</f>
        <v/>
      </c>
      <c r="M646" s="19" t="str">
        <f aca="false">IF($B646&amp;$C646&amp;$D646&amp;$E646="","",IF($B646="","missing date",IF($C646="","missing worker",IF($I646="?","unknown worker - was the name changed on Workers?",IF($D646="","missing type",IF(N($E646)=0,"missing amount",IF(AND($E646&lt;0,$D646&lt;&gt;"Correction"),"negative amount - use a Correction to undo",IF(OR($B646&lt;Weeks!$A$6,$B646&gt;Weeks!$B$58),"date outside this workbook's year",IF(AND($D646="Advance",N($L646)&lt;0),"Warning: more than earned so far - worker now owes "&amp;ROUND(-$L646,0),"")))))))))</f>
        <v/>
      </c>
    </row>
    <row r="647" customFormat="false" ht="15" hidden="false" customHeight="false" outlineLevel="0" collapsed="false">
      <c r="A647" s="24" t="str">
        <f aca="false">IF($B647="","",ROW()-5)</f>
        <v/>
      </c>
      <c r="B647" s="25"/>
      <c r="C647" s="20"/>
      <c r="D647" s="26"/>
      <c r="E647" s="27"/>
      <c r="F647" s="20"/>
      <c r="G647" s="20"/>
      <c r="H647" s="26"/>
      <c r="I647" s="24" t="str">
        <f aca="false">IF($C647="","",IFERROR(INDEX(WorkerIDs,MATCH($C647,WorkerNames,0)),"?"))</f>
        <v/>
      </c>
      <c r="J647" s="18" t="str">
        <f aca="false">IF($B647="","",$B647-WEEKDAY($B647,2)+1)</f>
        <v/>
      </c>
      <c r="K647" s="28" t="str">
        <f aca="false">IF(OR($I647="",$I647="?",$D647&lt;&gt;"Advance",$B647=""),"",$I647&amp;"|"&amp;$J647&amp;"|"&amp;COUNTIFS($I$6:$I647,$I647,$J$6:$J647,$J647,$D$6:$D647,"Advance"))</f>
        <v/>
      </c>
      <c r="L647" s="29" t="str">
        <f aca="false">IF(OR($I647="",$I647="?",$B647=""),"",SUMPRODUCT((Weeks!$A$6:$A$58&lt;=$J647)*(Weeks!$Z$4:$AK$4=$I647)*Weeks!$Z$6:$AK$58)-SUMIFS($E$6:$E$1005,$I$6:$I$1005,$I647,$B$6:$B$1005,"&lt;="&amp;$B647))</f>
        <v/>
      </c>
      <c r="M647" s="19" t="str">
        <f aca="false">IF($B647&amp;$C647&amp;$D647&amp;$E647="","",IF($B647="","missing date",IF($C647="","missing worker",IF($I647="?","unknown worker - was the name changed on Workers?",IF($D647="","missing type",IF(N($E647)=0,"missing amount",IF(AND($E647&lt;0,$D647&lt;&gt;"Correction"),"negative amount - use a Correction to undo",IF(OR($B647&lt;Weeks!$A$6,$B647&gt;Weeks!$B$58),"date outside this workbook's year",IF(AND($D647="Advance",N($L647)&lt;0),"Warning: more than earned so far - worker now owes "&amp;ROUND(-$L647,0),"")))))))))</f>
        <v/>
      </c>
    </row>
    <row r="648" customFormat="false" ht="15" hidden="false" customHeight="false" outlineLevel="0" collapsed="false">
      <c r="A648" s="24" t="str">
        <f aca="false">IF($B648="","",ROW()-5)</f>
        <v/>
      </c>
      <c r="B648" s="25"/>
      <c r="C648" s="20"/>
      <c r="D648" s="26"/>
      <c r="E648" s="27"/>
      <c r="F648" s="20"/>
      <c r="G648" s="20"/>
      <c r="H648" s="26"/>
      <c r="I648" s="24" t="str">
        <f aca="false">IF($C648="","",IFERROR(INDEX(WorkerIDs,MATCH($C648,WorkerNames,0)),"?"))</f>
        <v/>
      </c>
      <c r="J648" s="18" t="str">
        <f aca="false">IF($B648="","",$B648-WEEKDAY($B648,2)+1)</f>
        <v/>
      </c>
      <c r="K648" s="28" t="str">
        <f aca="false">IF(OR($I648="",$I648="?",$D648&lt;&gt;"Advance",$B648=""),"",$I648&amp;"|"&amp;$J648&amp;"|"&amp;COUNTIFS($I$6:$I648,$I648,$J$6:$J648,$J648,$D$6:$D648,"Advance"))</f>
        <v/>
      </c>
      <c r="L648" s="29" t="str">
        <f aca="false">IF(OR($I648="",$I648="?",$B648=""),"",SUMPRODUCT((Weeks!$A$6:$A$58&lt;=$J648)*(Weeks!$Z$4:$AK$4=$I648)*Weeks!$Z$6:$AK$58)-SUMIFS($E$6:$E$1005,$I$6:$I$1005,$I648,$B$6:$B$1005,"&lt;="&amp;$B648))</f>
        <v/>
      </c>
      <c r="M648" s="19" t="str">
        <f aca="false">IF($B648&amp;$C648&amp;$D648&amp;$E648="","",IF($B648="","missing date",IF($C648="","missing worker",IF($I648="?","unknown worker - was the name changed on Workers?",IF($D648="","missing type",IF(N($E648)=0,"missing amount",IF(AND($E648&lt;0,$D648&lt;&gt;"Correction"),"negative amount - use a Correction to undo",IF(OR($B648&lt;Weeks!$A$6,$B648&gt;Weeks!$B$58),"date outside this workbook's year",IF(AND($D648="Advance",N($L648)&lt;0),"Warning: more than earned so far - worker now owes "&amp;ROUND(-$L648,0),"")))))))))</f>
        <v/>
      </c>
    </row>
    <row r="649" customFormat="false" ht="15" hidden="false" customHeight="false" outlineLevel="0" collapsed="false">
      <c r="A649" s="24" t="str">
        <f aca="false">IF($B649="","",ROW()-5)</f>
        <v/>
      </c>
      <c r="B649" s="25"/>
      <c r="C649" s="20"/>
      <c r="D649" s="26"/>
      <c r="E649" s="27"/>
      <c r="F649" s="20"/>
      <c r="G649" s="20"/>
      <c r="H649" s="26"/>
      <c r="I649" s="24" t="str">
        <f aca="false">IF($C649="","",IFERROR(INDEX(WorkerIDs,MATCH($C649,WorkerNames,0)),"?"))</f>
        <v/>
      </c>
      <c r="J649" s="18" t="str">
        <f aca="false">IF($B649="","",$B649-WEEKDAY($B649,2)+1)</f>
        <v/>
      </c>
      <c r="K649" s="28" t="str">
        <f aca="false">IF(OR($I649="",$I649="?",$D649&lt;&gt;"Advance",$B649=""),"",$I649&amp;"|"&amp;$J649&amp;"|"&amp;COUNTIFS($I$6:$I649,$I649,$J$6:$J649,$J649,$D$6:$D649,"Advance"))</f>
        <v/>
      </c>
      <c r="L649" s="29" t="str">
        <f aca="false">IF(OR($I649="",$I649="?",$B649=""),"",SUMPRODUCT((Weeks!$A$6:$A$58&lt;=$J649)*(Weeks!$Z$4:$AK$4=$I649)*Weeks!$Z$6:$AK$58)-SUMIFS($E$6:$E$1005,$I$6:$I$1005,$I649,$B$6:$B$1005,"&lt;="&amp;$B649))</f>
        <v/>
      </c>
      <c r="M649" s="19" t="str">
        <f aca="false">IF($B649&amp;$C649&amp;$D649&amp;$E649="","",IF($B649="","missing date",IF($C649="","missing worker",IF($I649="?","unknown worker - was the name changed on Workers?",IF($D649="","missing type",IF(N($E649)=0,"missing amount",IF(AND($E649&lt;0,$D649&lt;&gt;"Correction"),"negative amount - use a Correction to undo",IF(OR($B649&lt;Weeks!$A$6,$B649&gt;Weeks!$B$58),"date outside this workbook's year",IF(AND($D649="Advance",N($L649)&lt;0),"Warning: more than earned so far - worker now owes "&amp;ROUND(-$L649,0),"")))))))))</f>
        <v/>
      </c>
    </row>
    <row r="650" customFormat="false" ht="15" hidden="false" customHeight="false" outlineLevel="0" collapsed="false">
      <c r="A650" s="24" t="str">
        <f aca="false">IF($B650="","",ROW()-5)</f>
        <v/>
      </c>
      <c r="B650" s="25"/>
      <c r="C650" s="20"/>
      <c r="D650" s="26"/>
      <c r="E650" s="27"/>
      <c r="F650" s="20"/>
      <c r="G650" s="20"/>
      <c r="H650" s="26"/>
      <c r="I650" s="24" t="str">
        <f aca="false">IF($C650="","",IFERROR(INDEX(WorkerIDs,MATCH($C650,WorkerNames,0)),"?"))</f>
        <v/>
      </c>
      <c r="J650" s="18" t="str">
        <f aca="false">IF($B650="","",$B650-WEEKDAY($B650,2)+1)</f>
        <v/>
      </c>
      <c r="K650" s="28" t="str">
        <f aca="false">IF(OR($I650="",$I650="?",$D650&lt;&gt;"Advance",$B650=""),"",$I650&amp;"|"&amp;$J650&amp;"|"&amp;COUNTIFS($I$6:$I650,$I650,$J$6:$J650,$J650,$D$6:$D650,"Advance"))</f>
        <v/>
      </c>
      <c r="L650" s="29" t="str">
        <f aca="false">IF(OR($I650="",$I650="?",$B650=""),"",SUMPRODUCT((Weeks!$A$6:$A$58&lt;=$J650)*(Weeks!$Z$4:$AK$4=$I650)*Weeks!$Z$6:$AK$58)-SUMIFS($E$6:$E$1005,$I$6:$I$1005,$I650,$B$6:$B$1005,"&lt;="&amp;$B650))</f>
        <v/>
      </c>
      <c r="M650" s="19" t="str">
        <f aca="false">IF($B650&amp;$C650&amp;$D650&amp;$E650="","",IF($B650="","missing date",IF($C650="","missing worker",IF($I650="?","unknown worker - was the name changed on Workers?",IF($D650="","missing type",IF(N($E650)=0,"missing amount",IF(AND($E650&lt;0,$D650&lt;&gt;"Correction"),"negative amount - use a Correction to undo",IF(OR($B650&lt;Weeks!$A$6,$B650&gt;Weeks!$B$58),"date outside this workbook's year",IF(AND($D650="Advance",N($L650)&lt;0),"Warning: more than earned so far - worker now owes "&amp;ROUND(-$L650,0),"")))))))))</f>
        <v/>
      </c>
    </row>
    <row r="651" customFormat="false" ht="15" hidden="false" customHeight="false" outlineLevel="0" collapsed="false">
      <c r="A651" s="24" t="str">
        <f aca="false">IF($B651="","",ROW()-5)</f>
        <v/>
      </c>
      <c r="B651" s="25"/>
      <c r="C651" s="20"/>
      <c r="D651" s="26"/>
      <c r="E651" s="27"/>
      <c r="F651" s="20"/>
      <c r="G651" s="20"/>
      <c r="H651" s="26"/>
      <c r="I651" s="24" t="str">
        <f aca="false">IF($C651="","",IFERROR(INDEX(WorkerIDs,MATCH($C651,WorkerNames,0)),"?"))</f>
        <v/>
      </c>
      <c r="J651" s="18" t="str">
        <f aca="false">IF($B651="","",$B651-WEEKDAY($B651,2)+1)</f>
        <v/>
      </c>
      <c r="K651" s="28" t="str">
        <f aca="false">IF(OR($I651="",$I651="?",$D651&lt;&gt;"Advance",$B651=""),"",$I651&amp;"|"&amp;$J651&amp;"|"&amp;COUNTIFS($I$6:$I651,$I651,$J$6:$J651,$J651,$D$6:$D651,"Advance"))</f>
        <v/>
      </c>
      <c r="L651" s="29" t="str">
        <f aca="false">IF(OR($I651="",$I651="?",$B651=""),"",SUMPRODUCT((Weeks!$A$6:$A$58&lt;=$J651)*(Weeks!$Z$4:$AK$4=$I651)*Weeks!$Z$6:$AK$58)-SUMIFS($E$6:$E$1005,$I$6:$I$1005,$I651,$B$6:$B$1005,"&lt;="&amp;$B651))</f>
        <v/>
      </c>
      <c r="M651" s="19" t="str">
        <f aca="false">IF($B651&amp;$C651&amp;$D651&amp;$E651="","",IF($B651="","missing date",IF($C651="","missing worker",IF($I651="?","unknown worker - was the name changed on Workers?",IF($D651="","missing type",IF(N($E651)=0,"missing amount",IF(AND($E651&lt;0,$D651&lt;&gt;"Correction"),"negative amount - use a Correction to undo",IF(OR($B651&lt;Weeks!$A$6,$B651&gt;Weeks!$B$58),"date outside this workbook's year",IF(AND($D651="Advance",N($L651)&lt;0),"Warning: more than earned so far - worker now owes "&amp;ROUND(-$L651,0),"")))))))))</f>
        <v/>
      </c>
    </row>
    <row r="652" customFormat="false" ht="15" hidden="false" customHeight="false" outlineLevel="0" collapsed="false">
      <c r="A652" s="24" t="str">
        <f aca="false">IF($B652="","",ROW()-5)</f>
        <v/>
      </c>
      <c r="B652" s="25"/>
      <c r="C652" s="20"/>
      <c r="D652" s="26"/>
      <c r="E652" s="27"/>
      <c r="F652" s="20"/>
      <c r="G652" s="20"/>
      <c r="H652" s="26"/>
      <c r="I652" s="24" t="str">
        <f aca="false">IF($C652="","",IFERROR(INDEX(WorkerIDs,MATCH($C652,WorkerNames,0)),"?"))</f>
        <v/>
      </c>
      <c r="J652" s="18" t="str">
        <f aca="false">IF($B652="","",$B652-WEEKDAY($B652,2)+1)</f>
        <v/>
      </c>
      <c r="K652" s="28" t="str">
        <f aca="false">IF(OR($I652="",$I652="?",$D652&lt;&gt;"Advance",$B652=""),"",$I652&amp;"|"&amp;$J652&amp;"|"&amp;COUNTIFS($I$6:$I652,$I652,$J$6:$J652,$J652,$D$6:$D652,"Advance"))</f>
        <v/>
      </c>
      <c r="L652" s="29" t="str">
        <f aca="false">IF(OR($I652="",$I652="?",$B652=""),"",SUMPRODUCT((Weeks!$A$6:$A$58&lt;=$J652)*(Weeks!$Z$4:$AK$4=$I652)*Weeks!$Z$6:$AK$58)-SUMIFS($E$6:$E$1005,$I$6:$I$1005,$I652,$B$6:$B$1005,"&lt;="&amp;$B652))</f>
        <v/>
      </c>
      <c r="M652" s="19" t="str">
        <f aca="false">IF($B652&amp;$C652&amp;$D652&amp;$E652="","",IF($B652="","missing date",IF($C652="","missing worker",IF($I652="?","unknown worker - was the name changed on Workers?",IF($D652="","missing type",IF(N($E652)=0,"missing amount",IF(AND($E652&lt;0,$D652&lt;&gt;"Correction"),"negative amount - use a Correction to undo",IF(OR($B652&lt;Weeks!$A$6,$B652&gt;Weeks!$B$58),"date outside this workbook's year",IF(AND($D652="Advance",N($L652)&lt;0),"Warning: more than earned so far - worker now owes "&amp;ROUND(-$L652,0),"")))))))))</f>
        <v/>
      </c>
    </row>
    <row r="653" customFormat="false" ht="15" hidden="false" customHeight="false" outlineLevel="0" collapsed="false">
      <c r="A653" s="24" t="str">
        <f aca="false">IF($B653="","",ROW()-5)</f>
        <v/>
      </c>
      <c r="B653" s="25"/>
      <c r="C653" s="20"/>
      <c r="D653" s="26"/>
      <c r="E653" s="27"/>
      <c r="F653" s="20"/>
      <c r="G653" s="20"/>
      <c r="H653" s="26"/>
      <c r="I653" s="24" t="str">
        <f aca="false">IF($C653="","",IFERROR(INDEX(WorkerIDs,MATCH($C653,WorkerNames,0)),"?"))</f>
        <v/>
      </c>
      <c r="J653" s="18" t="str">
        <f aca="false">IF($B653="","",$B653-WEEKDAY($B653,2)+1)</f>
        <v/>
      </c>
      <c r="K653" s="28" t="str">
        <f aca="false">IF(OR($I653="",$I653="?",$D653&lt;&gt;"Advance",$B653=""),"",$I653&amp;"|"&amp;$J653&amp;"|"&amp;COUNTIFS($I$6:$I653,$I653,$J$6:$J653,$J653,$D$6:$D653,"Advance"))</f>
        <v/>
      </c>
      <c r="L653" s="29" t="str">
        <f aca="false">IF(OR($I653="",$I653="?",$B653=""),"",SUMPRODUCT((Weeks!$A$6:$A$58&lt;=$J653)*(Weeks!$Z$4:$AK$4=$I653)*Weeks!$Z$6:$AK$58)-SUMIFS($E$6:$E$1005,$I$6:$I$1005,$I653,$B$6:$B$1005,"&lt;="&amp;$B653))</f>
        <v/>
      </c>
      <c r="M653" s="19" t="str">
        <f aca="false">IF($B653&amp;$C653&amp;$D653&amp;$E653="","",IF($B653="","missing date",IF($C653="","missing worker",IF($I653="?","unknown worker - was the name changed on Workers?",IF($D653="","missing type",IF(N($E653)=0,"missing amount",IF(AND($E653&lt;0,$D653&lt;&gt;"Correction"),"negative amount - use a Correction to undo",IF(OR($B653&lt;Weeks!$A$6,$B653&gt;Weeks!$B$58),"date outside this workbook's year",IF(AND($D653="Advance",N($L653)&lt;0),"Warning: more than earned so far - worker now owes "&amp;ROUND(-$L653,0),"")))))))))</f>
        <v/>
      </c>
    </row>
    <row r="654" customFormat="false" ht="15" hidden="false" customHeight="false" outlineLevel="0" collapsed="false">
      <c r="A654" s="24" t="str">
        <f aca="false">IF($B654="","",ROW()-5)</f>
        <v/>
      </c>
      <c r="B654" s="25"/>
      <c r="C654" s="20"/>
      <c r="D654" s="26"/>
      <c r="E654" s="27"/>
      <c r="F654" s="20"/>
      <c r="G654" s="20"/>
      <c r="H654" s="26"/>
      <c r="I654" s="24" t="str">
        <f aca="false">IF($C654="","",IFERROR(INDEX(WorkerIDs,MATCH($C654,WorkerNames,0)),"?"))</f>
        <v/>
      </c>
      <c r="J654" s="18" t="str">
        <f aca="false">IF($B654="","",$B654-WEEKDAY($B654,2)+1)</f>
        <v/>
      </c>
      <c r="K654" s="28" t="str">
        <f aca="false">IF(OR($I654="",$I654="?",$D654&lt;&gt;"Advance",$B654=""),"",$I654&amp;"|"&amp;$J654&amp;"|"&amp;COUNTIFS($I$6:$I654,$I654,$J$6:$J654,$J654,$D$6:$D654,"Advance"))</f>
        <v/>
      </c>
      <c r="L654" s="29" t="str">
        <f aca="false">IF(OR($I654="",$I654="?",$B654=""),"",SUMPRODUCT((Weeks!$A$6:$A$58&lt;=$J654)*(Weeks!$Z$4:$AK$4=$I654)*Weeks!$Z$6:$AK$58)-SUMIFS($E$6:$E$1005,$I$6:$I$1005,$I654,$B$6:$B$1005,"&lt;="&amp;$B654))</f>
        <v/>
      </c>
      <c r="M654" s="19" t="str">
        <f aca="false">IF($B654&amp;$C654&amp;$D654&amp;$E654="","",IF($B654="","missing date",IF($C654="","missing worker",IF($I654="?","unknown worker - was the name changed on Workers?",IF($D654="","missing type",IF(N($E654)=0,"missing amount",IF(AND($E654&lt;0,$D654&lt;&gt;"Correction"),"negative amount - use a Correction to undo",IF(OR($B654&lt;Weeks!$A$6,$B654&gt;Weeks!$B$58),"date outside this workbook's year",IF(AND($D654="Advance",N($L654)&lt;0),"Warning: more than earned so far - worker now owes "&amp;ROUND(-$L654,0),"")))))))))</f>
        <v/>
      </c>
    </row>
    <row r="655" customFormat="false" ht="15" hidden="false" customHeight="false" outlineLevel="0" collapsed="false">
      <c r="A655" s="24" t="str">
        <f aca="false">IF($B655="","",ROW()-5)</f>
        <v/>
      </c>
      <c r="B655" s="25"/>
      <c r="C655" s="20"/>
      <c r="D655" s="26"/>
      <c r="E655" s="27"/>
      <c r="F655" s="20"/>
      <c r="G655" s="20"/>
      <c r="H655" s="26"/>
      <c r="I655" s="24" t="str">
        <f aca="false">IF($C655="","",IFERROR(INDEX(WorkerIDs,MATCH($C655,WorkerNames,0)),"?"))</f>
        <v/>
      </c>
      <c r="J655" s="18" t="str">
        <f aca="false">IF($B655="","",$B655-WEEKDAY($B655,2)+1)</f>
        <v/>
      </c>
      <c r="K655" s="28" t="str">
        <f aca="false">IF(OR($I655="",$I655="?",$D655&lt;&gt;"Advance",$B655=""),"",$I655&amp;"|"&amp;$J655&amp;"|"&amp;COUNTIFS($I$6:$I655,$I655,$J$6:$J655,$J655,$D$6:$D655,"Advance"))</f>
        <v/>
      </c>
      <c r="L655" s="29" t="str">
        <f aca="false">IF(OR($I655="",$I655="?",$B655=""),"",SUMPRODUCT((Weeks!$A$6:$A$58&lt;=$J655)*(Weeks!$Z$4:$AK$4=$I655)*Weeks!$Z$6:$AK$58)-SUMIFS($E$6:$E$1005,$I$6:$I$1005,$I655,$B$6:$B$1005,"&lt;="&amp;$B655))</f>
        <v/>
      </c>
      <c r="M655" s="19" t="str">
        <f aca="false">IF($B655&amp;$C655&amp;$D655&amp;$E655="","",IF($B655="","missing date",IF($C655="","missing worker",IF($I655="?","unknown worker - was the name changed on Workers?",IF($D655="","missing type",IF(N($E655)=0,"missing amount",IF(AND($E655&lt;0,$D655&lt;&gt;"Correction"),"negative amount - use a Correction to undo",IF(OR($B655&lt;Weeks!$A$6,$B655&gt;Weeks!$B$58),"date outside this workbook's year",IF(AND($D655="Advance",N($L655)&lt;0),"Warning: more than earned so far - worker now owes "&amp;ROUND(-$L655,0),"")))))))))</f>
        <v/>
      </c>
    </row>
    <row r="656" customFormat="false" ht="15" hidden="false" customHeight="false" outlineLevel="0" collapsed="false">
      <c r="A656" s="24" t="str">
        <f aca="false">IF($B656="","",ROW()-5)</f>
        <v/>
      </c>
      <c r="B656" s="25"/>
      <c r="C656" s="20"/>
      <c r="D656" s="26"/>
      <c r="E656" s="27"/>
      <c r="F656" s="20"/>
      <c r="G656" s="20"/>
      <c r="H656" s="26"/>
      <c r="I656" s="24" t="str">
        <f aca="false">IF($C656="","",IFERROR(INDEX(WorkerIDs,MATCH($C656,WorkerNames,0)),"?"))</f>
        <v/>
      </c>
      <c r="J656" s="18" t="str">
        <f aca="false">IF($B656="","",$B656-WEEKDAY($B656,2)+1)</f>
        <v/>
      </c>
      <c r="K656" s="28" t="str">
        <f aca="false">IF(OR($I656="",$I656="?",$D656&lt;&gt;"Advance",$B656=""),"",$I656&amp;"|"&amp;$J656&amp;"|"&amp;COUNTIFS($I$6:$I656,$I656,$J$6:$J656,$J656,$D$6:$D656,"Advance"))</f>
        <v/>
      </c>
      <c r="L656" s="29" t="str">
        <f aca="false">IF(OR($I656="",$I656="?",$B656=""),"",SUMPRODUCT((Weeks!$A$6:$A$58&lt;=$J656)*(Weeks!$Z$4:$AK$4=$I656)*Weeks!$Z$6:$AK$58)-SUMIFS($E$6:$E$1005,$I$6:$I$1005,$I656,$B$6:$B$1005,"&lt;="&amp;$B656))</f>
        <v/>
      </c>
      <c r="M656" s="19" t="str">
        <f aca="false">IF($B656&amp;$C656&amp;$D656&amp;$E656="","",IF($B656="","missing date",IF($C656="","missing worker",IF($I656="?","unknown worker - was the name changed on Workers?",IF($D656="","missing type",IF(N($E656)=0,"missing amount",IF(AND($E656&lt;0,$D656&lt;&gt;"Correction"),"negative amount - use a Correction to undo",IF(OR($B656&lt;Weeks!$A$6,$B656&gt;Weeks!$B$58),"date outside this workbook's year",IF(AND($D656="Advance",N($L656)&lt;0),"Warning: more than earned so far - worker now owes "&amp;ROUND(-$L656,0),"")))))))))</f>
        <v/>
      </c>
    </row>
    <row r="657" customFormat="false" ht="15" hidden="false" customHeight="false" outlineLevel="0" collapsed="false">
      <c r="A657" s="24" t="str">
        <f aca="false">IF($B657="","",ROW()-5)</f>
        <v/>
      </c>
      <c r="B657" s="25"/>
      <c r="C657" s="20"/>
      <c r="D657" s="26"/>
      <c r="E657" s="27"/>
      <c r="F657" s="20"/>
      <c r="G657" s="20"/>
      <c r="H657" s="26"/>
      <c r="I657" s="24" t="str">
        <f aca="false">IF($C657="","",IFERROR(INDEX(WorkerIDs,MATCH($C657,WorkerNames,0)),"?"))</f>
        <v/>
      </c>
      <c r="J657" s="18" t="str">
        <f aca="false">IF($B657="","",$B657-WEEKDAY($B657,2)+1)</f>
        <v/>
      </c>
      <c r="K657" s="28" t="str">
        <f aca="false">IF(OR($I657="",$I657="?",$D657&lt;&gt;"Advance",$B657=""),"",$I657&amp;"|"&amp;$J657&amp;"|"&amp;COUNTIFS($I$6:$I657,$I657,$J$6:$J657,$J657,$D$6:$D657,"Advance"))</f>
        <v/>
      </c>
      <c r="L657" s="29" t="str">
        <f aca="false">IF(OR($I657="",$I657="?",$B657=""),"",SUMPRODUCT((Weeks!$A$6:$A$58&lt;=$J657)*(Weeks!$Z$4:$AK$4=$I657)*Weeks!$Z$6:$AK$58)-SUMIFS($E$6:$E$1005,$I$6:$I$1005,$I657,$B$6:$B$1005,"&lt;="&amp;$B657))</f>
        <v/>
      </c>
      <c r="M657" s="19" t="str">
        <f aca="false">IF($B657&amp;$C657&amp;$D657&amp;$E657="","",IF($B657="","missing date",IF($C657="","missing worker",IF($I657="?","unknown worker - was the name changed on Workers?",IF($D657="","missing type",IF(N($E657)=0,"missing amount",IF(AND($E657&lt;0,$D657&lt;&gt;"Correction"),"negative amount - use a Correction to undo",IF(OR($B657&lt;Weeks!$A$6,$B657&gt;Weeks!$B$58),"date outside this workbook's year",IF(AND($D657="Advance",N($L657)&lt;0),"Warning: more than earned so far - worker now owes "&amp;ROUND(-$L657,0),"")))))))))</f>
        <v/>
      </c>
    </row>
    <row r="658" customFormat="false" ht="15" hidden="false" customHeight="false" outlineLevel="0" collapsed="false">
      <c r="A658" s="24" t="str">
        <f aca="false">IF($B658="","",ROW()-5)</f>
        <v/>
      </c>
      <c r="B658" s="25"/>
      <c r="C658" s="20"/>
      <c r="D658" s="26"/>
      <c r="E658" s="27"/>
      <c r="F658" s="20"/>
      <c r="G658" s="20"/>
      <c r="H658" s="26"/>
      <c r="I658" s="24" t="str">
        <f aca="false">IF($C658="","",IFERROR(INDEX(WorkerIDs,MATCH($C658,WorkerNames,0)),"?"))</f>
        <v/>
      </c>
      <c r="J658" s="18" t="str">
        <f aca="false">IF($B658="","",$B658-WEEKDAY($B658,2)+1)</f>
        <v/>
      </c>
      <c r="K658" s="28" t="str">
        <f aca="false">IF(OR($I658="",$I658="?",$D658&lt;&gt;"Advance",$B658=""),"",$I658&amp;"|"&amp;$J658&amp;"|"&amp;COUNTIFS($I$6:$I658,$I658,$J$6:$J658,$J658,$D$6:$D658,"Advance"))</f>
        <v/>
      </c>
      <c r="L658" s="29" t="str">
        <f aca="false">IF(OR($I658="",$I658="?",$B658=""),"",SUMPRODUCT((Weeks!$A$6:$A$58&lt;=$J658)*(Weeks!$Z$4:$AK$4=$I658)*Weeks!$Z$6:$AK$58)-SUMIFS($E$6:$E$1005,$I$6:$I$1005,$I658,$B$6:$B$1005,"&lt;="&amp;$B658))</f>
        <v/>
      </c>
      <c r="M658" s="19" t="str">
        <f aca="false">IF($B658&amp;$C658&amp;$D658&amp;$E658="","",IF($B658="","missing date",IF($C658="","missing worker",IF($I658="?","unknown worker - was the name changed on Workers?",IF($D658="","missing type",IF(N($E658)=0,"missing amount",IF(AND($E658&lt;0,$D658&lt;&gt;"Correction"),"negative amount - use a Correction to undo",IF(OR($B658&lt;Weeks!$A$6,$B658&gt;Weeks!$B$58),"date outside this workbook's year",IF(AND($D658="Advance",N($L658)&lt;0),"Warning: more than earned so far - worker now owes "&amp;ROUND(-$L658,0),"")))))))))</f>
        <v/>
      </c>
    </row>
    <row r="659" customFormat="false" ht="15" hidden="false" customHeight="false" outlineLevel="0" collapsed="false">
      <c r="A659" s="24" t="str">
        <f aca="false">IF($B659="","",ROW()-5)</f>
        <v/>
      </c>
      <c r="B659" s="25"/>
      <c r="C659" s="20"/>
      <c r="D659" s="26"/>
      <c r="E659" s="27"/>
      <c r="F659" s="20"/>
      <c r="G659" s="20"/>
      <c r="H659" s="26"/>
      <c r="I659" s="24" t="str">
        <f aca="false">IF($C659="","",IFERROR(INDEX(WorkerIDs,MATCH($C659,WorkerNames,0)),"?"))</f>
        <v/>
      </c>
      <c r="J659" s="18" t="str">
        <f aca="false">IF($B659="","",$B659-WEEKDAY($B659,2)+1)</f>
        <v/>
      </c>
      <c r="K659" s="28" t="str">
        <f aca="false">IF(OR($I659="",$I659="?",$D659&lt;&gt;"Advance",$B659=""),"",$I659&amp;"|"&amp;$J659&amp;"|"&amp;COUNTIFS($I$6:$I659,$I659,$J$6:$J659,$J659,$D$6:$D659,"Advance"))</f>
        <v/>
      </c>
      <c r="L659" s="29" t="str">
        <f aca="false">IF(OR($I659="",$I659="?",$B659=""),"",SUMPRODUCT((Weeks!$A$6:$A$58&lt;=$J659)*(Weeks!$Z$4:$AK$4=$I659)*Weeks!$Z$6:$AK$58)-SUMIFS($E$6:$E$1005,$I$6:$I$1005,$I659,$B$6:$B$1005,"&lt;="&amp;$B659))</f>
        <v/>
      </c>
      <c r="M659" s="19" t="str">
        <f aca="false">IF($B659&amp;$C659&amp;$D659&amp;$E659="","",IF($B659="","missing date",IF($C659="","missing worker",IF($I659="?","unknown worker - was the name changed on Workers?",IF($D659="","missing type",IF(N($E659)=0,"missing amount",IF(AND($E659&lt;0,$D659&lt;&gt;"Correction"),"negative amount - use a Correction to undo",IF(OR($B659&lt;Weeks!$A$6,$B659&gt;Weeks!$B$58),"date outside this workbook's year",IF(AND($D659="Advance",N($L659)&lt;0),"Warning: more than earned so far - worker now owes "&amp;ROUND(-$L659,0),"")))))))))</f>
        <v/>
      </c>
    </row>
    <row r="660" customFormat="false" ht="15" hidden="false" customHeight="false" outlineLevel="0" collapsed="false">
      <c r="A660" s="24" t="str">
        <f aca="false">IF($B660="","",ROW()-5)</f>
        <v/>
      </c>
      <c r="B660" s="25"/>
      <c r="C660" s="20"/>
      <c r="D660" s="26"/>
      <c r="E660" s="27"/>
      <c r="F660" s="20"/>
      <c r="G660" s="20"/>
      <c r="H660" s="26"/>
      <c r="I660" s="24" t="str">
        <f aca="false">IF($C660="","",IFERROR(INDEX(WorkerIDs,MATCH($C660,WorkerNames,0)),"?"))</f>
        <v/>
      </c>
      <c r="J660" s="18" t="str">
        <f aca="false">IF($B660="","",$B660-WEEKDAY($B660,2)+1)</f>
        <v/>
      </c>
      <c r="K660" s="28" t="str">
        <f aca="false">IF(OR($I660="",$I660="?",$D660&lt;&gt;"Advance",$B660=""),"",$I660&amp;"|"&amp;$J660&amp;"|"&amp;COUNTIFS($I$6:$I660,$I660,$J$6:$J660,$J660,$D$6:$D660,"Advance"))</f>
        <v/>
      </c>
      <c r="L660" s="29" t="str">
        <f aca="false">IF(OR($I660="",$I660="?",$B660=""),"",SUMPRODUCT((Weeks!$A$6:$A$58&lt;=$J660)*(Weeks!$Z$4:$AK$4=$I660)*Weeks!$Z$6:$AK$58)-SUMIFS($E$6:$E$1005,$I$6:$I$1005,$I660,$B$6:$B$1005,"&lt;="&amp;$B660))</f>
        <v/>
      </c>
      <c r="M660" s="19" t="str">
        <f aca="false">IF($B660&amp;$C660&amp;$D660&amp;$E660="","",IF($B660="","missing date",IF($C660="","missing worker",IF($I660="?","unknown worker - was the name changed on Workers?",IF($D660="","missing type",IF(N($E660)=0,"missing amount",IF(AND($E660&lt;0,$D660&lt;&gt;"Correction"),"negative amount - use a Correction to undo",IF(OR($B660&lt;Weeks!$A$6,$B660&gt;Weeks!$B$58),"date outside this workbook's year",IF(AND($D660="Advance",N($L660)&lt;0),"Warning: more than earned so far - worker now owes "&amp;ROUND(-$L660,0),"")))))))))</f>
        <v/>
      </c>
    </row>
    <row r="661" customFormat="false" ht="15" hidden="false" customHeight="false" outlineLevel="0" collapsed="false">
      <c r="A661" s="24" t="str">
        <f aca="false">IF($B661="","",ROW()-5)</f>
        <v/>
      </c>
      <c r="B661" s="25"/>
      <c r="C661" s="20"/>
      <c r="D661" s="26"/>
      <c r="E661" s="27"/>
      <c r="F661" s="20"/>
      <c r="G661" s="20"/>
      <c r="H661" s="26"/>
      <c r="I661" s="24" t="str">
        <f aca="false">IF($C661="","",IFERROR(INDEX(WorkerIDs,MATCH($C661,WorkerNames,0)),"?"))</f>
        <v/>
      </c>
      <c r="J661" s="18" t="str">
        <f aca="false">IF($B661="","",$B661-WEEKDAY($B661,2)+1)</f>
        <v/>
      </c>
      <c r="K661" s="28" t="str">
        <f aca="false">IF(OR($I661="",$I661="?",$D661&lt;&gt;"Advance",$B661=""),"",$I661&amp;"|"&amp;$J661&amp;"|"&amp;COUNTIFS($I$6:$I661,$I661,$J$6:$J661,$J661,$D$6:$D661,"Advance"))</f>
        <v/>
      </c>
      <c r="L661" s="29" t="str">
        <f aca="false">IF(OR($I661="",$I661="?",$B661=""),"",SUMPRODUCT((Weeks!$A$6:$A$58&lt;=$J661)*(Weeks!$Z$4:$AK$4=$I661)*Weeks!$Z$6:$AK$58)-SUMIFS($E$6:$E$1005,$I$6:$I$1005,$I661,$B$6:$B$1005,"&lt;="&amp;$B661))</f>
        <v/>
      </c>
      <c r="M661" s="19" t="str">
        <f aca="false">IF($B661&amp;$C661&amp;$D661&amp;$E661="","",IF($B661="","missing date",IF($C661="","missing worker",IF($I661="?","unknown worker - was the name changed on Workers?",IF($D661="","missing type",IF(N($E661)=0,"missing amount",IF(AND($E661&lt;0,$D661&lt;&gt;"Correction"),"negative amount - use a Correction to undo",IF(OR($B661&lt;Weeks!$A$6,$B661&gt;Weeks!$B$58),"date outside this workbook's year",IF(AND($D661="Advance",N($L661)&lt;0),"Warning: more than earned so far - worker now owes "&amp;ROUND(-$L661,0),"")))))))))</f>
        <v/>
      </c>
    </row>
    <row r="662" customFormat="false" ht="15" hidden="false" customHeight="false" outlineLevel="0" collapsed="false">
      <c r="A662" s="24" t="str">
        <f aca="false">IF($B662="","",ROW()-5)</f>
        <v/>
      </c>
      <c r="B662" s="25"/>
      <c r="C662" s="20"/>
      <c r="D662" s="26"/>
      <c r="E662" s="27"/>
      <c r="F662" s="20"/>
      <c r="G662" s="20"/>
      <c r="H662" s="26"/>
      <c r="I662" s="24" t="str">
        <f aca="false">IF($C662="","",IFERROR(INDEX(WorkerIDs,MATCH($C662,WorkerNames,0)),"?"))</f>
        <v/>
      </c>
      <c r="J662" s="18" t="str">
        <f aca="false">IF($B662="","",$B662-WEEKDAY($B662,2)+1)</f>
        <v/>
      </c>
      <c r="K662" s="28" t="str">
        <f aca="false">IF(OR($I662="",$I662="?",$D662&lt;&gt;"Advance",$B662=""),"",$I662&amp;"|"&amp;$J662&amp;"|"&amp;COUNTIFS($I$6:$I662,$I662,$J$6:$J662,$J662,$D$6:$D662,"Advance"))</f>
        <v/>
      </c>
      <c r="L662" s="29" t="str">
        <f aca="false">IF(OR($I662="",$I662="?",$B662=""),"",SUMPRODUCT((Weeks!$A$6:$A$58&lt;=$J662)*(Weeks!$Z$4:$AK$4=$I662)*Weeks!$Z$6:$AK$58)-SUMIFS($E$6:$E$1005,$I$6:$I$1005,$I662,$B$6:$B$1005,"&lt;="&amp;$B662))</f>
        <v/>
      </c>
      <c r="M662" s="19" t="str">
        <f aca="false">IF($B662&amp;$C662&amp;$D662&amp;$E662="","",IF($B662="","missing date",IF($C662="","missing worker",IF($I662="?","unknown worker - was the name changed on Workers?",IF($D662="","missing type",IF(N($E662)=0,"missing amount",IF(AND($E662&lt;0,$D662&lt;&gt;"Correction"),"negative amount - use a Correction to undo",IF(OR($B662&lt;Weeks!$A$6,$B662&gt;Weeks!$B$58),"date outside this workbook's year",IF(AND($D662="Advance",N($L662)&lt;0),"Warning: more than earned so far - worker now owes "&amp;ROUND(-$L662,0),"")))))))))</f>
        <v/>
      </c>
    </row>
    <row r="663" customFormat="false" ht="15" hidden="false" customHeight="false" outlineLevel="0" collapsed="false">
      <c r="A663" s="24" t="str">
        <f aca="false">IF($B663="","",ROW()-5)</f>
        <v/>
      </c>
      <c r="B663" s="25"/>
      <c r="C663" s="20"/>
      <c r="D663" s="26"/>
      <c r="E663" s="27"/>
      <c r="F663" s="20"/>
      <c r="G663" s="20"/>
      <c r="H663" s="26"/>
      <c r="I663" s="24" t="str">
        <f aca="false">IF($C663="","",IFERROR(INDEX(WorkerIDs,MATCH($C663,WorkerNames,0)),"?"))</f>
        <v/>
      </c>
      <c r="J663" s="18" t="str">
        <f aca="false">IF($B663="","",$B663-WEEKDAY($B663,2)+1)</f>
        <v/>
      </c>
      <c r="K663" s="28" t="str">
        <f aca="false">IF(OR($I663="",$I663="?",$D663&lt;&gt;"Advance",$B663=""),"",$I663&amp;"|"&amp;$J663&amp;"|"&amp;COUNTIFS($I$6:$I663,$I663,$J$6:$J663,$J663,$D$6:$D663,"Advance"))</f>
        <v/>
      </c>
      <c r="L663" s="29" t="str">
        <f aca="false">IF(OR($I663="",$I663="?",$B663=""),"",SUMPRODUCT((Weeks!$A$6:$A$58&lt;=$J663)*(Weeks!$Z$4:$AK$4=$I663)*Weeks!$Z$6:$AK$58)-SUMIFS($E$6:$E$1005,$I$6:$I$1005,$I663,$B$6:$B$1005,"&lt;="&amp;$B663))</f>
        <v/>
      </c>
      <c r="M663" s="19" t="str">
        <f aca="false">IF($B663&amp;$C663&amp;$D663&amp;$E663="","",IF($B663="","missing date",IF($C663="","missing worker",IF($I663="?","unknown worker - was the name changed on Workers?",IF($D663="","missing type",IF(N($E663)=0,"missing amount",IF(AND($E663&lt;0,$D663&lt;&gt;"Correction"),"negative amount - use a Correction to undo",IF(OR($B663&lt;Weeks!$A$6,$B663&gt;Weeks!$B$58),"date outside this workbook's year",IF(AND($D663="Advance",N($L663)&lt;0),"Warning: more than earned so far - worker now owes "&amp;ROUND(-$L663,0),"")))))))))</f>
        <v/>
      </c>
    </row>
    <row r="664" customFormat="false" ht="15" hidden="false" customHeight="false" outlineLevel="0" collapsed="false">
      <c r="A664" s="24" t="str">
        <f aca="false">IF($B664="","",ROW()-5)</f>
        <v/>
      </c>
      <c r="B664" s="25"/>
      <c r="C664" s="20"/>
      <c r="D664" s="26"/>
      <c r="E664" s="27"/>
      <c r="F664" s="20"/>
      <c r="G664" s="20"/>
      <c r="H664" s="26"/>
      <c r="I664" s="24" t="str">
        <f aca="false">IF($C664="","",IFERROR(INDEX(WorkerIDs,MATCH($C664,WorkerNames,0)),"?"))</f>
        <v/>
      </c>
      <c r="J664" s="18" t="str">
        <f aca="false">IF($B664="","",$B664-WEEKDAY($B664,2)+1)</f>
        <v/>
      </c>
      <c r="K664" s="28" t="str">
        <f aca="false">IF(OR($I664="",$I664="?",$D664&lt;&gt;"Advance",$B664=""),"",$I664&amp;"|"&amp;$J664&amp;"|"&amp;COUNTIFS($I$6:$I664,$I664,$J$6:$J664,$J664,$D$6:$D664,"Advance"))</f>
        <v/>
      </c>
      <c r="L664" s="29" t="str">
        <f aca="false">IF(OR($I664="",$I664="?",$B664=""),"",SUMPRODUCT((Weeks!$A$6:$A$58&lt;=$J664)*(Weeks!$Z$4:$AK$4=$I664)*Weeks!$Z$6:$AK$58)-SUMIFS($E$6:$E$1005,$I$6:$I$1005,$I664,$B$6:$B$1005,"&lt;="&amp;$B664))</f>
        <v/>
      </c>
      <c r="M664" s="19" t="str">
        <f aca="false">IF($B664&amp;$C664&amp;$D664&amp;$E664="","",IF($B664="","missing date",IF($C664="","missing worker",IF($I664="?","unknown worker - was the name changed on Workers?",IF($D664="","missing type",IF(N($E664)=0,"missing amount",IF(AND($E664&lt;0,$D664&lt;&gt;"Correction"),"negative amount - use a Correction to undo",IF(OR($B664&lt;Weeks!$A$6,$B664&gt;Weeks!$B$58),"date outside this workbook's year",IF(AND($D664="Advance",N($L664)&lt;0),"Warning: more than earned so far - worker now owes "&amp;ROUND(-$L664,0),"")))))))))</f>
        <v/>
      </c>
    </row>
    <row r="665" customFormat="false" ht="15" hidden="false" customHeight="false" outlineLevel="0" collapsed="false">
      <c r="A665" s="24" t="str">
        <f aca="false">IF($B665="","",ROW()-5)</f>
        <v/>
      </c>
      <c r="B665" s="25"/>
      <c r="C665" s="20"/>
      <c r="D665" s="26"/>
      <c r="E665" s="27"/>
      <c r="F665" s="20"/>
      <c r="G665" s="20"/>
      <c r="H665" s="26"/>
      <c r="I665" s="24" t="str">
        <f aca="false">IF($C665="","",IFERROR(INDEX(WorkerIDs,MATCH($C665,WorkerNames,0)),"?"))</f>
        <v/>
      </c>
      <c r="J665" s="18" t="str">
        <f aca="false">IF($B665="","",$B665-WEEKDAY($B665,2)+1)</f>
        <v/>
      </c>
      <c r="K665" s="28" t="str">
        <f aca="false">IF(OR($I665="",$I665="?",$D665&lt;&gt;"Advance",$B665=""),"",$I665&amp;"|"&amp;$J665&amp;"|"&amp;COUNTIFS($I$6:$I665,$I665,$J$6:$J665,$J665,$D$6:$D665,"Advance"))</f>
        <v/>
      </c>
      <c r="L665" s="29" t="str">
        <f aca="false">IF(OR($I665="",$I665="?",$B665=""),"",SUMPRODUCT((Weeks!$A$6:$A$58&lt;=$J665)*(Weeks!$Z$4:$AK$4=$I665)*Weeks!$Z$6:$AK$58)-SUMIFS($E$6:$E$1005,$I$6:$I$1005,$I665,$B$6:$B$1005,"&lt;="&amp;$B665))</f>
        <v/>
      </c>
      <c r="M665" s="19" t="str">
        <f aca="false">IF($B665&amp;$C665&amp;$D665&amp;$E665="","",IF($B665="","missing date",IF($C665="","missing worker",IF($I665="?","unknown worker - was the name changed on Workers?",IF($D665="","missing type",IF(N($E665)=0,"missing amount",IF(AND($E665&lt;0,$D665&lt;&gt;"Correction"),"negative amount - use a Correction to undo",IF(OR($B665&lt;Weeks!$A$6,$B665&gt;Weeks!$B$58),"date outside this workbook's year",IF(AND($D665="Advance",N($L665)&lt;0),"Warning: more than earned so far - worker now owes "&amp;ROUND(-$L665,0),"")))))))))</f>
        <v/>
      </c>
    </row>
    <row r="666" customFormat="false" ht="15" hidden="false" customHeight="false" outlineLevel="0" collapsed="false">
      <c r="A666" s="24" t="str">
        <f aca="false">IF($B666="","",ROW()-5)</f>
        <v/>
      </c>
      <c r="B666" s="25"/>
      <c r="C666" s="20"/>
      <c r="D666" s="26"/>
      <c r="E666" s="27"/>
      <c r="F666" s="20"/>
      <c r="G666" s="20"/>
      <c r="H666" s="26"/>
      <c r="I666" s="24" t="str">
        <f aca="false">IF($C666="","",IFERROR(INDEX(WorkerIDs,MATCH($C666,WorkerNames,0)),"?"))</f>
        <v/>
      </c>
      <c r="J666" s="18" t="str">
        <f aca="false">IF($B666="","",$B666-WEEKDAY($B666,2)+1)</f>
        <v/>
      </c>
      <c r="K666" s="28" t="str">
        <f aca="false">IF(OR($I666="",$I666="?",$D666&lt;&gt;"Advance",$B666=""),"",$I666&amp;"|"&amp;$J666&amp;"|"&amp;COUNTIFS($I$6:$I666,$I666,$J$6:$J666,$J666,$D$6:$D666,"Advance"))</f>
        <v/>
      </c>
      <c r="L666" s="29" t="str">
        <f aca="false">IF(OR($I666="",$I666="?",$B666=""),"",SUMPRODUCT((Weeks!$A$6:$A$58&lt;=$J666)*(Weeks!$Z$4:$AK$4=$I666)*Weeks!$Z$6:$AK$58)-SUMIFS($E$6:$E$1005,$I$6:$I$1005,$I666,$B$6:$B$1005,"&lt;="&amp;$B666))</f>
        <v/>
      </c>
      <c r="M666" s="19" t="str">
        <f aca="false">IF($B666&amp;$C666&amp;$D666&amp;$E666="","",IF($B666="","missing date",IF($C666="","missing worker",IF($I666="?","unknown worker - was the name changed on Workers?",IF($D666="","missing type",IF(N($E666)=0,"missing amount",IF(AND($E666&lt;0,$D666&lt;&gt;"Correction"),"negative amount - use a Correction to undo",IF(OR($B666&lt;Weeks!$A$6,$B666&gt;Weeks!$B$58),"date outside this workbook's year",IF(AND($D666="Advance",N($L666)&lt;0),"Warning: more than earned so far - worker now owes "&amp;ROUND(-$L666,0),"")))))))))</f>
        <v/>
      </c>
    </row>
    <row r="667" customFormat="false" ht="15" hidden="false" customHeight="false" outlineLevel="0" collapsed="false">
      <c r="A667" s="24" t="str">
        <f aca="false">IF($B667="","",ROW()-5)</f>
        <v/>
      </c>
      <c r="B667" s="25"/>
      <c r="C667" s="20"/>
      <c r="D667" s="26"/>
      <c r="E667" s="27"/>
      <c r="F667" s="20"/>
      <c r="G667" s="20"/>
      <c r="H667" s="26"/>
      <c r="I667" s="24" t="str">
        <f aca="false">IF($C667="","",IFERROR(INDEX(WorkerIDs,MATCH($C667,WorkerNames,0)),"?"))</f>
        <v/>
      </c>
      <c r="J667" s="18" t="str">
        <f aca="false">IF($B667="","",$B667-WEEKDAY($B667,2)+1)</f>
        <v/>
      </c>
      <c r="K667" s="28" t="str">
        <f aca="false">IF(OR($I667="",$I667="?",$D667&lt;&gt;"Advance",$B667=""),"",$I667&amp;"|"&amp;$J667&amp;"|"&amp;COUNTIFS($I$6:$I667,$I667,$J$6:$J667,$J667,$D$6:$D667,"Advance"))</f>
        <v/>
      </c>
      <c r="L667" s="29" t="str">
        <f aca="false">IF(OR($I667="",$I667="?",$B667=""),"",SUMPRODUCT((Weeks!$A$6:$A$58&lt;=$J667)*(Weeks!$Z$4:$AK$4=$I667)*Weeks!$Z$6:$AK$58)-SUMIFS($E$6:$E$1005,$I$6:$I$1005,$I667,$B$6:$B$1005,"&lt;="&amp;$B667))</f>
        <v/>
      </c>
      <c r="M667" s="19" t="str">
        <f aca="false">IF($B667&amp;$C667&amp;$D667&amp;$E667="","",IF($B667="","missing date",IF($C667="","missing worker",IF($I667="?","unknown worker - was the name changed on Workers?",IF($D667="","missing type",IF(N($E667)=0,"missing amount",IF(AND($E667&lt;0,$D667&lt;&gt;"Correction"),"negative amount - use a Correction to undo",IF(OR($B667&lt;Weeks!$A$6,$B667&gt;Weeks!$B$58),"date outside this workbook's year",IF(AND($D667="Advance",N($L667)&lt;0),"Warning: more than earned so far - worker now owes "&amp;ROUND(-$L667,0),"")))))))))</f>
        <v/>
      </c>
    </row>
    <row r="668" customFormat="false" ht="15" hidden="false" customHeight="false" outlineLevel="0" collapsed="false">
      <c r="A668" s="24" t="str">
        <f aca="false">IF($B668="","",ROW()-5)</f>
        <v/>
      </c>
      <c r="B668" s="25"/>
      <c r="C668" s="20"/>
      <c r="D668" s="26"/>
      <c r="E668" s="27"/>
      <c r="F668" s="20"/>
      <c r="G668" s="20"/>
      <c r="H668" s="26"/>
      <c r="I668" s="24" t="str">
        <f aca="false">IF($C668="","",IFERROR(INDEX(WorkerIDs,MATCH($C668,WorkerNames,0)),"?"))</f>
        <v/>
      </c>
      <c r="J668" s="18" t="str">
        <f aca="false">IF($B668="","",$B668-WEEKDAY($B668,2)+1)</f>
        <v/>
      </c>
      <c r="K668" s="28" t="str">
        <f aca="false">IF(OR($I668="",$I668="?",$D668&lt;&gt;"Advance",$B668=""),"",$I668&amp;"|"&amp;$J668&amp;"|"&amp;COUNTIFS($I$6:$I668,$I668,$J$6:$J668,$J668,$D$6:$D668,"Advance"))</f>
        <v/>
      </c>
      <c r="L668" s="29" t="str">
        <f aca="false">IF(OR($I668="",$I668="?",$B668=""),"",SUMPRODUCT((Weeks!$A$6:$A$58&lt;=$J668)*(Weeks!$Z$4:$AK$4=$I668)*Weeks!$Z$6:$AK$58)-SUMIFS($E$6:$E$1005,$I$6:$I$1005,$I668,$B$6:$B$1005,"&lt;="&amp;$B668))</f>
        <v/>
      </c>
      <c r="M668" s="19" t="str">
        <f aca="false">IF($B668&amp;$C668&amp;$D668&amp;$E668="","",IF($B668="","missing date",IF($C668="","missing worker",IF($I668="?","unknown worker - was the name changed on Workers?",IF($D668="","missing type",IF(N($E668)=0,"missing amount",IF(AND($E668&lt;0,$D668&lt;&gt;"Correction"),"negative amount - use a Correction to undo",IF(OR($B668&lt;Weeks!$A$6,$B668&gt;Weeks!$B$58),"date outside this workbook's year",IF(AND($D668="Advance",N($L668)&lt;0),"Warning: more than earned so far - worker now owes "&amp;ROUND(-$L668,0),"")))))))))</f>
        <v/>
      </c>
    </row>
    <row r="669" customFormat="false" ht="15" hidden="false" customHeight="false" outlineLevel="0" collapsed="false">
      <c r="A669" s="24" t="str">
        <f aca="false">IF($B669="","",ROW()-5)</f>
        <v/>
      </c>
      <c r="B669" s="25"/>
      <c r="C669" s="20"/>
      <c r="D669" s="26"/>
      <c r="E669" s="27"/>
      <c r="F669" s="20"/>
      <c r="G669" s="20"/>
      <c r="H669" s="26"/>
      <c r="I669" s="24" t="str">
        <f aca="false">IF($C669="","",IFERROR(INDEX(WorkerIDs,MATCH($C669,WorkerNames,0)),"?"))</f>
        <v/>
      </c>
      <c r="J669" s="18" t="str">
        <f aca="false">IF($B669="","",$B669-WEEKDAY($B669,2)+1)</f>
        <v/>
      </c>
      <c r="K669" s="28" t="str">
        <f aca="false">IF(OR($I669="",$I669="?",$D669&lt;&gt;"Advance",$B669=""),"",$I669&amp;"|"&amp;$J669&amp;"|"&amp;COUNTIFS($I$6:$I669,$I669,$J$6:$J669,$J669,$D$6:$D669,"Advance"))</f>
        <v/>
      </c>
      <c r="L669" s="29" t="str">
        <f aca="false">IF(OR($I669="",$I669="?",$B669=""),"",SUMPRODUCT((Weeks!$A$6:$A$58&lt;=$J669)*(Weeks!$Z$4:$AK$4=$I669)*Weeks!$Z$6:$AK$58)-SUMIFS($E$6:$E$1005,$I$6:$I$1005,$I669,$B$6:$B$1005,"&lt;="&amp;$B669))</f>
        <v/>
      </c>
      <c r="M669" s="19" t="str">
        <f aca="false">IF($B669&amp;$C669&amp;$D669&amp;$E669="","",IF($B669="","missing date",IF($C669="","missing worker",IF($I669="?","unknown worker - was the name changed on Workers?",IF($D669="","missing type",IF(N($E669)=0,"missing amount",IF(AND($E669&lt;0,$D669&lt;&gt;"Correction"),"negative amount - use a Correction to undo",IF(OR($B669&lt;Weeks!$A$6,$B669&gt;Weeks!$B$58),"date outside this workbook's year",IF(AND($D669="Advance",N($L669)&lt;0),"Warning: more than earned so far - worker now owes "&amp;ROUND(-$L669,0),"")))))))))</f>
        <v/>
      </c>
    </row>
    <row r="670" customFormat="false" ht="15" hidden="false" customHeight="false" outlineLevel="0" collapsed="false">
      <c r="A670" s="24" t="str">
        <f aca="false">IF($B670="","",ROW()-5)</f>
        <v/>
      </c>
      <c r="B670" s="25"/>
      <c r="C670" s="20"/>
      <c r="D670" s="26"/>
      <c r="E670" s="27"/>
      <c r="F670" s="20"/>
      <c r="G670" s="20"/>
      <c r="H670" s="26"/>
      <c r="I670" s="24" t="str">
        <f aca="false">IF($C670="","",IFERROR(INDEX(WorkerIDs,MATCH($C670,WorkerNames,0)),"?"))</f>
        <v/>
      </c>
      <c r="J670" s="18" t="str">
        <f aca="false">IF($B670="","",$B670-WEEKDAY($B670,2)+1)</f>
        <v/>
      </c>
      <c r="K670" s="28" t="str">
        <f aca="false">IF(OR($I670="",$I670="?",$D670&lt;&gt;"Advance",$B670=""),"",$I670&amp;"|"&amp;$J670&amp;"|"&amp;COUNTIFS($I$6:$I670,$I670,$J$6:$J670,$J670,$D$6:$D670,"Advance"))</f>
        <v/>
      </c>
      <c r="L670" s="29" t="str">
        <f aca="false">IF(OR($I670="",$I670="?",$B670=""),"",SUMPRODUCT((Weeks!$A$6:$A$58&lt;=$J670)*(Weeks!$Z$4:$AK$4=$I670)*Weeks!$Z$6:$AK$58)-SUMIFS($E$6:$E$1005,$I$6:$I$1005,$I670,$B$6:$B$1005,"&lt;="&amp;$B670))</f>
        <v/>
      </c>
      <c r="M670" s="19" t="str">
        <f aca="false">IF($B670&amp;$C670&amp;$D670&amp;$E670="","",IF($B670="","missing date",IF($C670="","missing worker",IF($I670="?","unknown worker - was the name changed on Workers?",IF($D670="","missing type",IF(N($E670)=0,"missing amount",IF(AND($E670&lt;0,$D670&lt;&gt;"Correction"),"negative amount - use a Correction to undo",IF(OR($B670&lt;Weeks!$A$6,$B670&gt;Weeks!$B$58),"date outside this workbook's year",IF(AND($D670="Advance",N($L670)&lt;0),"Warning: more than earned so far - worker now owes "&amp;ROUND(-$L670,0),"")))))))))</f>
        <v/>
      </c>
    </row>
    <row r="671" customFormat="false" ht="15" hidden="false" customHeight="false" outlineLevel="0" collapsed="false">
      <c r="A671" s="24" t="str">
        <f aca="false">IF($B671="","",ROW()-5)</f>
        <v/>
      </c>
      <c r="B671" s="25"/>
      <c r="C671" s="20"/>
      <c r="D671" s="26"/>
      <c r="E671" s="27"/>
      <c r="F671" s="20"/>
      <c r="G671" s="20"/>
      <c r="H671" s="26"/>
      <c r="I671" s="24" t="str">
        <f aca="false">IF($C671="","",IFERROR(INDEX(WorkerIDs,MATCH($C671,WorkerNames,0)),"?"))</f>
        <v/>
      </c>
      <c r="J671" s="18" t="str">
        <f aca="false">IF($B671="","",$B671-WEEKDAY($B671,2)+1)</f>
        <v/>
      </c>
      <c r="K671" s="28" t="str">
        <f aca="false">IF(OR($I671="",$I671="?",$D671&lt;&gt;"Advance",$B671=""),"",$I671&amp;"|"&amp;$J671&amp;"|"&amp;COUNTIFS($I$6:$I671,$I671,$J$6:$J671,$J671,$D$6:$D671,"Advance"))</f>
        <v/>
      </c>
      <c r="L671" s="29" t="str">
        <f aca="false">IF(OR($I671="",$I671="?",$B671=""),"",SUMPRODUCT((Weeks!$A$6:$A$58&lt;=$J671)*(Weeks!$Z$4:$AK$4=$I671)*Weeks!$Z$6:$AK$58)-SUMIFS($E$6:$E$1005,$I$6:$I$1005,$I671,$B$6:$B$1005,"&lt;="&amp;$B671))</f>
        <v/>
      </c>
      <c r="M671" s="19" t="str">
        <f aca="false">IF($B671&amp;$C671&amp;$D671&amp;$E671="","",IF($B671="","missing date",IF($C671="","missing worker",IF($I671="?","unknown worker - was the name changed on Workers?",IF($D671="","missing type",IF(N($E671)=0,"missing amount",IF(AND($E671&lt;0,$D671&lt;&gt;"Correction"),"negative amount - use a Correction to undo",IF(OR($B671&lt;Weeks!$A$6,$B671&gt;Weeks!$B$58),"date outside this workbook's year",IF(AND($D671="Advance",N($L671)&lt;0),"Warning: more than earned so far - worker now owes "&amp;ROUND(-$L671,0),"")))))))))</f>
        <v/>
      </c>
    </row>
    <row r="672" customFormat="false" ht="15" hidden="false" customHeight="false" outlineLevel="0" collapsed="false">
      <c r="A672" s="24" t="str">
        <f aca="false">IF($B672="","",ROW()-5)</f>
        <v/>
      </c>
      <c r="B672" s="25"/>
      <c r="C672" s="20"/>
      <c r="D672" s="26"/>
      <c r="E672" s="27"/>
      <c r="F672" s="20"/>
      <c r="G672" s="20"/>
      <c r="H672" s="26"/>
      <c r="I672" s="24" t="str">
        <f aca="false">IF($C672="","",IFERROR(INDEX(WorkerIDs,MATCH($C672,WorkerNames,0)),"?"))</f>
        <v/>
      </c>
      <c r="J672" s="18" t="str">
        <f aca="false">IF($B672="","",$B672-WEEKDAY($B672,2)+1)</f>
        <v/>
      </c>
      <c r="K672" s="28" t="str">
        <f aca="false">IF(OR($I672="",$I672="?",$D672&lt;&gt;"Advance",$B672=""),"",$I672&amp;"|"&amp;$J672&amp;"|"&amp;COUNTIFS($I$6:$I672,$I672,$J$6:$J672,$J672,$D$6:$D672,"Advance"))</f>
        <v/>
      </c>
      <c r="L672" s="29" t="str">
        <f aca="false">IF(OR($I672="",$I672="?",$B672=""),"",SUMPRODUCT((Weeks!$A$6:$A$58&lt;=$J672)*(Weeks!$Z$4:$AK$4=$I672)*Weeks!$Z$6:$AK$58)-SUMIFS($E$6:$E$1005,$I$6:$I$1005,$I672,$B$6:$B$1005,"&lt;="&amp;$B672))</f>
        <v/>
      </c>
      <c r="M672" s="19" t="str">
        <f aca="false">IF($B672&amp;$C672&amp;$D672&amp;$E672="","",IF($B672="","missing date",IF($C672="","missing worker",IF($I672="?","unknown worker - was the name changed on Workers?",IF($D672="","missing type",IF(N($E672)=0,"missing amount",IF(AND($E672&lt;0,$D672&lt;&gt;"Correction"),"negative amount - use a Correction to undo",IF(OR($B672&lt;Weeks!$A$6,$B672&gt;Weeks!$B$58),"date outside this workbook's year",IF(AND($D672="Advance",N($L672)&lt;0),"Warning: more than earned so far - worker now owes "&amp;ROUND(-$L672,0),"")))))))))</f>
        <v/>
      </c>
    </row>
    <row r="673" customFormat="false" ht="15" hidden="false" customHeight="false" outlineLevel="0" collapsed="false">
      <c r="A673" s="24" t="str">
        <f aca="false">IF($B673="","",ROW()-5)</f>
        <v/>
      </c>
      <c r="B673" s="25"/>
      <c r="C673" s="20"/>
      <c r="D673" s="26"/>
      <c r="E673" s="27"/>
      <c r="F673" s="20"/>
      <c r="G673" s="20"/>
      <c r="H673" s="26"/>
      <c r="I673" s="24" t="str">
        <f aca="false">IF($C673="","",IFERROR(INDEX(WorkerIDs,MATCH($C673,WorkerNames,0)),"?"))</f>
        <v/>
      </c>
      <c r="J673" s="18" t="str">
        <f aca="false">IF($B673="","",$B673-WEEKDAY($B673,2)+1)</f>
        <v/>
      </c>
      <c r="K673" s="28" t="str">
        <f aca="false">IF(OR($I673="",$I673="?",$D673&lt;&gt;"Advance",$B673=""),"",$I673&amp;"|"&amp;$J673&amp;"|"&amp;COUNTIFS($I$6:$I673,$I673,$J$6:$J673,$J673,$D$6:$D673,"Advance"))</f>
        <v/>
      </c>
      <c r="L673" s="29" t="str">
        <f aca="false">IF(OR($I673="",$I673="?",$B673=""),"",SUMPRODUCT((Weeks!$A$6:$A$58&lt;=$J673)*(Weeks!$Z$4:$AK$4=$I673)*Weeks!$Z$6:$AK$58)-SUMIFS($E$6:$E$1005,$I$6:$I$1005,$I673,$B$6:$B$1005,"&lt;="&amp;$B673))</f>
        <v/>
      </c>
      <c r="M673" s="19" t="str">
        <f aca="false">IF($B673&amp;$C673&amp;$D673&amp;$E673="","",IF($B673="","missing date",IF($C673="","missing worker",IF($I673="?","unknown worker - was the name changed on Workers?",IF($D673="","missing type",IF(N($E673)=0,"missing amount",IF(AND($E673&lt;0,$D673&lt;&gt;"Correction"),"negative amount - use a Correction to undo",IF(OR($B673&lt;Weeks!$A$6,$B673&gt;Weeks!$B$58),"date outside this workbook's year",IF(AND($D673="Advance",N($L673)&lt;0),"Warning: more than earned so far - worker now owes "&amp;ROUND(-$L673,0),"")))))))))</f>
        <v/>
      </c>
    </row>
    <row r="674" customFormat="false" ht="15" hidden="false" customHeight="false" outlineLevel="0" collapsed="false">
      <c r="A674" s="24" t="str">
        <f aca="false">IF($B674="","",ROW()-5)</f>
        <v/>
      </c>
      <c r="B674" s="25"/>
      <c r="C674" s="20"/>
      <c r="D674" s="26"/>
      <c r="E674" s="27"/>
      <c r="F674" s="20"/>
      <c r="G674" s="20"/>
      <c r="H674" s="26"/>
      <c r="I674" s="24" t="str">
        <f aca="false">IF($C674="","",IFERROR(INDEX(WorkerIDs,MATCH($C674,WorkerNames,0)),"?"))</f>
        <v/>
      </c>
      <c r="J674" s="18" t="str">
        <f aca="false">IF($B674="","",$B674-WEEKDAY($B674,2)+1)</f>
        <v/>
      </c>
      <c r="K674" s="28" t="str">
        <f aca="false">IF(OR($I674="",$I674="?",$D674&lt;&gt;"Advance",$B674=""),"",$I674&amp;"|"&amp;$J674&amp;"|"&amp;COUNTIFS($I$6:$I674,$I674,$J$6:$J674,$J674,$D$6:$D674,"Advance"))</f>
        <v/>
      </c>
      <c r="L674" s="29" t="str">
        <f aca="false">IF(OR($I674="",$I674="?",$B674=""),"",SUMPRODUCT((Weeks!$A$6:$A$58&lt;=$J674)*(Weeks!$Z$4:$AK$4=$I674)*Weeks!$Z$6:$AK$58)-SUMIFS($E$6:$E$1005,$I$6:$I$1005,$I674,$B$6:$B$1005,"&lt;="&amp;$B674))</f>
        <v/>
      </c>
      <c r="M674" s="19" t="str">
        <f aca="false">IF($B674&amp;$C674&amp;$D674&amp;$E674="","",IF($B674="","missing date",IF($C674="","missing worker",IF($I674="?","unknown worker - was the name changed on Workers?",IF($D674="","missing type",IF(N($E674)=0,"missing amount",IF(AND($E674&lt;0,$D674&lt;&gt;"Correction"),"negative amount - use a Correction to undo",IF(OR($B674&lt;Weeks!$A$6,$B674&gt;Weeks!$B$58),"date outside this workbook's year",IF(AND($D674="Advance",N($L674)&lt;0),"Warning: more than earned so far - worker now owes "&amp;ROUND(-$L674,0),"")))))))))</f>
        <v/>
      </c>
    </row>
    <row r="675" customFormat="false" ht="15" hidden="false" customHeight="false" outlineLevel="0" collapsed="false">
      <c r="A675" s="24" t="str">
        <f aca="false">IF($B675="","",ROW()-5)</f>
        <v/>
      </c>
      <c r="B675" s="25"/>
      <c r="C675" s="20"/>
      <c r="D675" s="26"/>
      <c r="E675" s="27"/>
      <c r="F675" s="20"/>
      <c r="G675" s="20"/>
      <c r="H675" s="26"/>
      <c r="I675" s="24" t="str">
        <f aca="false">IF($C675="","",IFERROR(INDEX(WorkerIDs,MATCH($C675,WorkerNames,0)),"?"))</f>
        <v/>
      </c>
      <c r="J675" s="18" t="str">
        <f aca="false">IF($B675="","",$B675-WEEKDAY($B675,2)+1)</f>
        <v/>
      </c>
      <c r="K675" s="28" t="str">
        <f aca="false">IF(OR($I675="",$I675="?",$D675&lt;&gt;"Advance",$B675=""),"",$I675&amp;"|"&amp;$J675&amp;"|"&amp;COUNTIFS($I$6:$I675,$I675,$J$6:$J675,$J675,$D$6:$D675,"Advance"))</f>
        <v/>
      </c>
      <c r="L675" s="29" t="str">
        <f aca="false">IF(OR($I675="",$I675="?",$B675=""),"",SUMPRODUCT((Weeks!$A$6:$A$58&lt;=$J675)*(Weeks!$Z$4:$AK$4=$I675)*Weeks!$Z$6:$AK$58)-SUMIFS($E$6:$E$1005,$I$6:$I$1005,$I675,$B$6:$B$1005,"&lt;="&amp;$B675))</f>
        <v/>
      </c>
      <c r="M675" s="19" t="str">
        <f aca="false">IF($B675&amp;$C675&amp;$D675&amp;$E675="","",IF($B675="","missing date",IF($C675="","missing worker",IF($I675="?","unknown worker - was the name changed on Workers?",IF($D675="","missing type",IF(N($E675)=0,"missing amount",IF(AND($E675&lt;0,$D675&lt;&gt;"Correction"),"negative amount - use a Correction to undo",IF(OR($B675&lt;Weeks!$A$6,$B675&gt;Weeks!$B$58),"date outside this workbook's year",IF(AND($D675="Advance",N($L675)&lt;0),"Warning: more than earned so far - worker now owes "&amp;ROUND(-$L675,0),"")))))))))</f>
        <v/>
      </c>
    </row>
    <row r="676" customFormat="false" ht="15" hidden="false" customHeight="false" outlineLevel="0" collapsed="false">
      <c r="A676" s="24" t="str">
        <f aca="false">IF($B676="","",ROW()-5)</f>
        <v/>
      </c>
      <c r="B676" s="25"/>
      <c r="C676" s="20"/>
      <c r="D676" s="26"/>
      <c r="E676" s="27"/>
      <c r="F676" s="20"/>
      <c r="G676" s="20"/>
      <c r="H676" s="26"/>
      <c r="I676" s="24" t="str">
        <f aca="false">IF($C676="","",IFERROR(INDEX(WorkerIDs,MATCH($C676,WorkerNames,0)),"?"))</f>
        <v/>
      </c>
      <c r="J676" s="18" t="str">
        <f aca="false">IF($B676="","",$B676-WEEKDAY($B676,2)+1)</f>
        <v/>
      </c>
      <c r="K676" s="28" t="str">
        <f aca="false">IF(OR($I676="",$I676="?",$D676&lt;&gt;"Advance",$B676=""),"",$I676&amp;"|"&amp;$J676&amp;"|"&amp;COUNTIFS($I$6:$I676,$I676,$J$6:$J676,$J676,$D$6:$D676,"Advance"))</f>
        <v/>
      </c>
      <c r="L676" s="29" t="str">
        <f aca="false">IF(OR($I676="",$I676="?",$B676=""),"",SUMPRODUCT((Weeks!$A$6:$A$58&lt;=$J676)*(Weeks!$Z$4:$AK$4=$I676)*Weeks!$Z$6:$AK$58)-SUMIFS($E$6:$E$1005,$I$6:$I$1005,$I676,$B$6:$B$1005,"&lt;="&amp;$B676))</f>
        <v/>
      </c>
      <c r="M676" s="19" t="str">
        <f aca="false">IF($B676&amp;$C676&amp;$D676&amp;$E676="","",IF($B676="","missing date",IF($C676="","missing worker",IF($I676="?","unknown worker - was the name changed on Workers?",IF($D676="","missing type",IF(N($E676)=0,"missing amount",IF(AND($E676&lt;0,$D676&lt;&gt;"Correction"),"negative amount - use a Correction to undo",IF(OR($B676&lt;Weeks!$A$6,$B676&gt;Weeks!$B$58),"date outside this workbook's year",IF(AND($D676="Advance",N($L676)&lt;0),"Warning: more than earned so far - worker now owes "&amp;ROUND(-$L676,0),"")))))))))</f>
        <v/>
      </c>
    </row>
    <row r="677" customFormat="false" ht="15" hidden="false" customHeight="false" outlineLevel="0" collapsed="false">
      <c r="A677" s="24" t="str">
        <f aca="false">IF($B677="","",ROW()-5)</f>
        <v/>
      </c>
      <c r="B677" s="25"/>
      <c r="C677" s="20"/>
      <c r="D677" s="26"/>
      <c r="E677" s="27"/>
      <c r="F677" s="20"/>
      <c r="G677" s="20"/>
      <c r="H677" s="26"/>
      <c r="I677" s="24" t="str">
        <f aca="false">IF($C677="","",IFERROR(INDEX(WorkerIDs,MATCH($C677,WorkerNames,0)),"?"))</f>
        <v/>
      </c>
      <c r="J677" s="18" t="str">
        <f aca="false">IF($B677="","",$B677-WEEKDAY($B677,2)+1)</f>
        <v/>
      </c>
      <c r="K677" s="28" t="str">
        <f aca="false">IF(OR($I677="",$I677="?",$D677&lt;&gt;"Advance",$B677=""),"",$I677&amp;"|"&amp;$J677&amp;"|"&amp;COUNTIFS($I$6:$I677,$I677,$J$6:$J677,$J677,$D$6:$D677,"Advance"))</f>
        <v/>
      </c>
      <c r="L677" s="29" t="str">
        <f aca="false">IF(OR($I677="",$I677="?",$B677=""),"",SUMPRODUCT((Weeks!$A$6:$A$58&lt;=$J677)*(Weeks!$Z$4:$AK$4=$I677)*Weeks!$Z$6:$AK$58)-SUMIFS($E$6:$E$1005,$I$6:$I$1005,$I677,$B$6:$B$1005,"&lt;="&amp;$B677))</f>
        <v/>
      </c>
      <c r="M677" s="19" t="str">
        <f aca="false">IF($B677&amp;$C677&amp;$D677&amp;$E677="","",IF($B677="","missing date",IF($C677="","missing worker",IF($I677="?","unknown worker - was the name changed on Workers?",IF($D677="","missing type",IF(N($E677)=0,"missing amount",IF(AND($E677&lt;0,$D677&lt;&gt;"Correction"),"negative amount - use a Correction to undo",IF(OR($B677&lt;Weeks!$A$6,$B677&gt;Weeks!$B$58),"date outside this workbook's year",IF(AND($D677="Advance",N($L677)&lt;0),"Warning: more than earned so far - worker now owes "&amp;ROUND(-$L677,0),"")))))))))</f>
        <v/>
      </c>
    </row>
    <row r="678" customFormat="false" ht="15" hidden="false" customHeight="false" outlineLevel="0" collapsed="false">
      <c r="A678" s="24" t="str">
        <f aca="false">IF($B678="","",ROW()-5)</f>
        <v/>
      </c>
      <c r="B678" s="25"/>
      <c r="C678" s="20"/>
      <c r="D678" s="26"/>
      <c r="E678" s="27"/>
      <c r="F678" s="20"/>
      <c r="G678" s="20"/>
      <c r="H678" s="26"/>
      <c r="I678" s="24" t="str">
        <f aca="false">IF($C678="","",IFERROR(INDEX(WorkerIDs,MATCH($C678,WorkerNames,0)),"?"))</f>
        <v/>
      </c>
      <c r="J678" s="18" t="str">
        <f aca="false">IF($B678="","",$B678-WEEKDAY($B678,2)+1)</f>
        <v/>
      </c>
      <c r="K678" s="28" t="str">
        <f aca="false">IF(OR($I678="",$I678="?",$D678&lt;&gt;"Advance",$B678=""),"",$I678&amp;"|"&amp;$J678&amp;"|"&amp;COUNTIFS($I$6:$I678,$I678,$J$6:$J678,$J678,$D$6:$D678,"Advance"))</f>
        <v/>
      </c>
      <c r="L678" s="29" t="str">
        <f aca="false">IF(OR($I678="",$I678="?",$B678=""),"",SUMPRODUCT((Weeks!$A$6:$A$58&lt;=$J678)*(Weeks!$Z$4:$AK$4=$I678)*Weeks!$Z$6:$AK$58)-SUMIFS($E$6:$E$1005,$I$6:$I$1005,$I678,$B$6:$B$1005,"&lt;="&amp;$B678))</f>
        <v/>
      </c>
      <c r="M678" s="19" t="str">
        <f aca="false">IF($B678&amp;$C678&amp;$D678&amp;$E678="","",IF($B678="","missing date",IF($C678="","missing worker",IF($I678="?","unknown worker - was the name changed on Workers?",IF($D678="","missing type",IF(N($E678)=0,"missing amount",IF(AND($E678&lt;0,$D678&lt;&gt;"Correction"),"negative amount - use a Correction to undo",IF(OR($B678&lt;Weeks!$A$6,$B678&gt;Weeks!$B$58),"date outside this workbook's year",IF(AND($D678="Advance",N($L678)&lt;0),"Warning: more than earned so far - worker now owes "&amp;ROUND(-$L678,0),"")))))))))</f>
        <v/>
      </c>
    </row>
    <row r="679" customFormat="false" ht="15" hidden="false" customHeight="false" outlineLevel="0" collapsed="false">
      <c r="A679" s="24" t="str">
        <f aca="false">IF($B679="","",ROW()-5)</f>
        <v/>
      </c>
      <c r="B679" s="25"/>
      <c r="C679" s="20"/>
      <c r="D679" s="26"/>
      <c r="E679" s="27"/>
      <c r="F679" s="20"/>
      <c r="G679" s="20"/>
      <c r="H679" s="26"/>
      <c r="I679" s="24" t="str">
        <f aca="false">IF($C679="","",IFERROR(INDEX(WorkerIDs,MATCH($C679,WorkerNames,0)),"?"))</f>
        <v/>
      </c>
      <c r="J679" s="18" t="str">
        <f aca="false">IF($B679="","",$B679-WEEKDAY($B679,2)+1)</f>
        <v/>
      </c>
      <c r="K679" s="28" t="str">
        <f aca="false">IF(OR($I679="",$I679="?",$D679&lt;&gt;"Advance",$B679=""),"",$I679&amp;"|"&amp;$J679&amp;"|"&amp;COUNTIFS($I$6:$I679,$I679,$J$6:$J679,$J679,$D$6:$D679,"Advance"))</f>
        <v/>
      </c>
      <c r="L679" s="29" t="str">
        <f aca="false">IF(OR($I679="",$I679="?",$B679=""),"",SUMPRODUCT((Weeks!$A$6:$A$58&lt;=$J679)*(Weeks!$Z$4:$AK$4=$I679)*Weeks!$Z$6:$AK$58)-SUMIFS($E$6:$E$1005,$I$6:$I$1005,$I679,$B$6:$B$1005,"&lt;="&amp;$B679))</f>
        <v/>
      </c>
      <c r="M679" s="19" t="str">
        <f aca="false">IF($B679&amp;$C679&amp;$D679&amp;$E679="","",IF($B679="","missing date",IF($C679="","missing worker",IF($I679="?","unknown worker - was the name changed on Workers?",IF($D679="","missing type",IF(N($E679)=0,"missing amount",IF(AND($E679&lt;0,$D679&lt;&gt;"Correction"),"negative amount - use a Correction to undo",IF(OR($B679&lt;Weeks!$A$6,$B679&gt;Weeks!$B$58),"date outside this workbook's year",IF(AND($D679="Advance",N($L679)&lt;0),"Warning: more than earned so far - worker now owes "&amp;ROUND(-$L679,0),"")))))))))</f>
        <v/>
      </c>
    </row>
    <row r="680" customFormat="false" ht="15" hidden="false" customHeight="false" outlineLevel="0" collapsed="false">
      <c r="A680" s="24" t="str">
        <f aca="false">IF($B680="","",ROW()-5)</f>
        <v/>
      </c>
      <c r="B680" s="25"/>
      <c r="C680" s="20"/>
      <c r="D680" s="26"/>
      <c r="E680" s="27"/>
      <c r="F680" s="20"/>
      <c r="G680" s="20"/>
      <c r="H680" s="26"/>
      <c r="I680" s="24" t="str">
        <f aca="false">IF($C680="","",IFERROR(INDEX(WorkerIDs,MATCH($C680,WorkerNames,0)),"?"))</f>
        <v/>
      </c>
      <c r="J680" s="18" t="str">
        <f aca="false">IF($B680="","",$B680-WEEKDAY($B680,2)+1)</f>
        <v/>
      </c>
      <c r="K680" s="28" t="str">
        <f aca="false">IF(OR($I680="",$I680="?",$D680&lt;&gt;"Advance",$B680=""),"",$I680&amp;"|"&amp;$J680&amp;"|"&amp;COUNTIFS($I$6:$I680,$I680,$J$6:$J680,$J680,$D$6:$D680,"Advance"))</f>
        <v/>
      </c>
      <c r="L680" s="29" t="str">
        <f aca="false">IF(OR($I680="",$I680="?",$B680=""),"",SUMPRODUCT((Weeks!$A$6:$A$58&lt;=$J680)*(Weeks!$Z$4:$AK$4=$I680)*Weeks!$Z$6:$AK$58)-SUMIFS($E$6:$E$1005,$I$6:$I$1005,$I680,$B$6:$B$1005,"&lt;="&amp;$B680))</f>
        <v/>
      </c>
      <c r="M680" s="19" t="str">
        <f aca="false">IF($B680&amp;$C680&amp;$D680&amp;$E680="","",IF($B680="","missing date",IF($C680="","missing worker",IF($I680="?","unknown worker - was the name changed on Workers?",IF($D680="","missing type",IF(N($E680)=0,"missing amount",IF(AND($E680&lt;0,$D680&lt;&gt;"Correction"),"negative amount - use a Correction to undo",IF(OR($B680&lt;Weeks!$A$6,$B680&gt;Weeks!$B$58),"date outside this workbook's year",IF(AND($D680="Advance",N($L680)&lt;0),"Warning: more than earned so far - worker now owes "&amp;ROUND(-$L680,0),"")))))))))</f>
        <v/>
      </c>
    </row>
    <row r="681" customFormat="false" ht="15" hidden="false" customHeight="false" outlineLevel="0" collapsed="false">
      <c r="A681" s="24" t="str">
        <f aca="false">IF($B681="","",ROW()-5)</f>
        <v/>
      </c>
      <c r="B681" s="25"/>
      <c r="C681" s="20"/>
      <c r="D681" s="26"/>
      <c r="E681" s="27"/>
      <c r="F681" s="20"/>
      <c r="G681" s="20"/>
      <c r="H681" s="26"/>
      <c r="I681" s="24" t="str">
        <f aca="false">IF($C681="","",IFERROR(INDEX(WorkerIDs,MATCH($C681,WorkerNames,0)),"?"))</f>
        <v/>
      </c>
      <c r="J681" s="18" t="str">
        <f aca="false">IF($B681="","",$B681-WEEKDAY($B681,2)+1)</f>
        <v/>
      </c>
      <c r="K681" s="28" t="str">
        <f aca="false">IF(OR($I681="",$I681="?",$D681&lt;&gt;"Advance",$B681=""),"",$I681&amp;"|"&amp;$J681&amp;"|"&amp;COUNTIFS($I$6:$I681,$I681,$J$6:$J681,$J681,$D$6:$D681,"Advance"))</f>
        <v/>
      </c>
      <c r="L681" s="29" t="str">
        <f aca="false">IF(OR($I681="",$I681="?",$B681=""),"",SUMPRODUCT((Weeks!$A$6:$A$58&lt;=$J681)*(Weeks!$Z$4:$AK$4=$I681)*Weeks!$Z$6:$AK$58)-SUMIFS($E$6:$E$1005,$I$6:$I$1005,$I681,$B$6:$B$1005,"&lt;="&amp;$B681))</f>
        <v/>
      </c>
      <c r="M681" s="19" t="str">
        <f aca="false">IF($B681&amp;$C681&amp;$D681&amp;$E681="","",IF($B681="","missing date",IF($C681="","missing worker",IF($I681="?","unknown worker - was the name changed on Workers?",IF($D681="","missing type",IF(N($E681)=0,"missing amount",IF(AND($E681&lt;0,$D681&lt;&gt;"Correction"),"negative amount - use a Correction to undo",IF(OR($B681&lt;Weeks!$A$6,$B681&gt;Weeks!$B$58),"date outside this workbook's year",IF(AND($D681="Advance",N($L681)&lt;0),"Warning: more than earned so far - worker now owes "&amp;ROUND(-$L681,0),"")))))))))</f>
        <v/>
      </c>
    </row>
    <row r="682" customFormat="false" ht="15" hidden="false" customHeight="false" outlineLevel="0" collapsed="false">
      <c r="A682" s="24" t="str">
        <f aca="false">IF($B682="","",ROW()-5)</f>
        <v/>
      </c>
      <c r="B682" s="25"/>
      <c r="C682" s="20"/>
      <c r="D682" s="26"/>
      <c r="E682" s="27"/>
      <c r="F682" s="20"/>
      <c r="G682" s="20"/>
      <c r="H682" s="26"/>
      <c r="I682" s="24" t="str">
        <f aca="false">IF($C682="","",IFERROR(INDEX(WorkerIDs,MATCH($C682,WorkerNames,0)),"?"))</f>
        <v/>
      </c>
      <c r="J682" s="18" t="str">
        <f aca="false">IF($B682="","",$B682-WEEKDAY($B682,2)+1)</f>
        <v/>
      </c>
      <c r="K682" s="28" t="str">
        <f aca="false">IF(OR($I682="",$I682="?",$D682&lt;&gt;"Advance",$B682=""),"",$I682&amp;"|"&amp;$J682&amp;"|"&amp;COUNTIFS($I$6:$I682,$I682,$J$6:$J682,$J682,$D$6:$D682,"Advance"))</f>
        <v/>
      </c>
      <c r="L682" s="29" t="str">
        <f aca="false">IF(OR($I682="",$I682="?",$B682=""),"",SUMPRODUCT((Weeks!$A$6:$A$58&lt;=$J682)*(Weeks!$Z$4:$AK$4=$I682)*Weeks!$Z$6:$AK$58)-SUMIFS($E$6:$E$1005,$I$6:$I$1005,$I682,$B$6:$B$1005,"&lt;="&amp;$B682))</f>
        <v/>
      </c>
      <c r="M682" s="19" t="str">
        <f aca="false">IF($B682&amp;$C682&amp;$D682&amp;$E682="","",IF($B682="","missing date",IF($C682="","missing worker",IF($I682="?","unknown worker - was the name changed on Workers?",IF($D682="","missing type",IF(N($E682)=0,"missing amount",IF(AND($E682&lt;0,$D682&lt;&gt;"Correction"),"negative amount - use a Correction to undo",IF(OR($B682&lt;Weeks!$A$6,$B682&gt;Weeks!$B$58),"date outside this workbook's year",IF(AND($D682="Advance",N($L682)&lt;0),"Warning: more than earned so far - worker now owes "&amp;ROUND(-$L682,0),"")))))))))</f>
        <v/>
      </c>
    </row>
    <row r="683" customFormat="false" ht="15" hidden="false" customHeight="false" outlineLevel="0" collapsed="false">
      <c r="A683" s="24" t="str">
        <f aca="false">IF($B683="","",ROW()-5)</f>
        <v/>
      </c>
      <c r="B683" s="25"/>
      <c r="C683" s="20"/>
      <c r="D683" s="26"/>
      <c r="E683" s="27"/>
      <c r="F683" s="20"/>
      <c r="G683" s="20"/>
      <c r="H683" s="26"/>
      <c r="I683" s="24" t="str">
        <f aca="false">IF($C683="","",IFERROR(INDEX(WorkerIDs,MATCH($C683,WorkerNames,0)),"?"))</f>
        <v/>
      </c>
      <c r="J683" s="18" t="str">
        <f aca="false">IF($B683="","",$B683-WEEKDAY($B683,2)+1)</f>
        <v/>
      </c>
      <c r="K683" s="28" t="str">
        <f aca="false">IF(OR($I683="",$I683="?",$D683&lt;&gt;"Advance",$B683=""),"",$I683&amp;"|"&amp;$J683&amp;"|"&amp;COUNTIFS($I$6:$I683,$I683,$J$6:$J683,$J683,$D$6:$D683,"Advance"))</f>
        <v/>
      </c>
      <c r="L683" s="29" t="str">
        <f aca="false">IF(OR($I683="",$I683="?",$B683=""),"",SUMPRODUCT((Weeks!$A$6:$A$58&lt;=$J683)*(Weeks!$Z$4:$AK$4=$I683)*Weeks!$Z$6:$AK$58)-SUMIFS($E$6:$E$1005,$I$6:$I$1005,$I683,$B$6:$B$1005,"&lt;="&amp;$B683))</f>
        <v/>
      </c>
      <c r="M683" s="19" t="str">
        <f aca="false">IF($B683&amp;$C683&amp;$D683&amp;$E683="","",IF($B683="","missing date",IF($C683="","missing worker",IF($I683="?","unknown worker - was the name changed on Workers?",IF($D683="","missing type",IF(N($E683)=0,"missing amount",IF(AND($E683&lt;0,$D683&lt;&gt;"Correction"),"negative amount - use a Correction to undo",IF(OR($B683&lt;Weeks!$A$6,$B683&gt;Weeks!$B$58),"date outside this workbook's year",IF(AND($D683="Advance",N($L683)&lt;0),"Warning: more than earned so far - worker now owes "&amp;ROUND(-$L683,0),"")))))))))</f>
        <v/>
      </c>
    </row>
    <row r="684" customFormat="false" ht="15" hidden="false" customHeight="false" outlineLevel="0" collapsed="false">
      <c r="A684" s="24" t="str">
        <f aca="false">IF($B684="","",ROW()-5)</f>
        <v/>
      </c>
      <c r="B684" s="25"/>
      <c r="C684" s="20"/>
      <c r="D684" s="26"/>
      <c r="E684" s="27"/>
      <c r="F684" s="20"/>
      <c r="G684" s="20"/>
      <c r="H684" s="26"/>
      <c r="I684" s="24" t="str">
        <f aca="false">IF($C684="","",IFERROR(INDEX(WorkerIDs,MATCH($C684,WorkerNames,0)),"?"))</f>
        <v/>
      </c>
      <c r="J684" s="18" t="str">
        <f aca="false">IF($B684="","",$B684-WEEKDAY($B684,2)+1)</f>
        <v/>
      </c>
      <c r="K684" s="28" t="str">
        <f aca="false">IF(OR($I684="",$I684="?",$D684&lt;&gt;"Advance",$B684=""),"",$I684&amp;"|"&amp;$J684&amp;"|"&amp;COUNTIFS($I$6:$I684,$I684,$J$6:$J684,$J684,$D$6:$D684,"Advance"))</f>
        <v/>
      </c>
      <c r="L684" s="29" t="str">
        <f aca="false">IF(OR($I684="",$I684="?",$B684=""),"",SUMPRODUCT((Weeks!$A$6:$A$58&lt;=$J684)*(Weeks!$Z$4:$AK$4=$I684)*Weeks!$Z$6:$AK$58)-SUMIFS($E$6:$E$1005,$I$6:$I$1005,$I684,$B$6:$B$1005,"&lt;="&amp;$B684))</f>
        <v/>
      </c>
      <c r="M684" s="19" t="str">
        <f aca="false">IF($B684&amp;$C684&amp;$D684&amp;$E684="","",IF($B684="","missing date",IF($C684="","missing worker",IF($I684="?","unknown worker - was the name changed on Workers?",IF($D684="","missing type",IF(N($E684)=0,"missing amount",IF(AND($E684&lt;0,$D684&lt;&gt;"Correction"),"negative amount - use a Correction to undo",IF(OR($B684&lt;Weeks!$A$6,$B684&gt;Weeks!$B$58),"date outside this workbook's year",IF(AND($D684="Advance",N($L684)&lt;0),"Warning: more than earned so far - worker now owes "&amp;ROUND(-$L684,0),"")))))))))</f>
        <v/>
      </c>
    </row>
    <row r="685" customFormat="false" ht="15" hidden="false" customHeight="false" outlineLevel="0" collapsed="false">
      <c r="A685" s="24" t="str">
        <f aca="false">IF($B685="","",ROW()-5)</f>
        <v/>
      </c>
      <c r="B685" s="25"/>
      <c r="C685" s="20"/>
      <c r="D685" s="26"/>
      <c r="E685" s="27"/>
      <c r="F685" s="20"/>
      <c r="G685" s="20"/>
      <c r="H685" s="26"/>
      <c r="I685" s="24" t="str">
        <f aca="false">IF($C685="","",IFERROR(INDEX(WorkerIDs,MATCH($C685,WorkerNames,0)),"?"))</f>
        <v/>
      </c>
      <c r="J685" s="18" t="str">
        <f aca="false">IF($B685="","",$B685-WEEKDAY($B685,2)+1)</f>
        <v/>
      </c>
      <c r="K685" s="28" t="str">
        <f aca="false">IF(OR($I685="",$I685="?",$D685&lt;&gt;"Advance",$B685=""),"",$I685&amp;"|"&amp;$J685&amp;"|"&amp;COUNTIFS($I$6:$I685,$I685,$J$6:$J685,$J685,$D$6:$D685,"Advance"))</f>
        <v/>
      </c>
      <c r="L685" s="29" t="str">
        <f aca="false">IF(OR($I685="",$I685="?",$B685=""),"",SUMPRODUCT((Weeks!$A$6:$A$58&lt;=$J685)*(Weeks!$Z$4:$AK$4=$I685)*Weeks!$Z$6:$AK$58)-SUMIFS($E$6:$E$1005,$I$6:$I$1005,$I685,$B$6:$B$1005,"&lt;="&amp;$B685))</f>
        <v/>
      </c>
      <c r="M685" s="19" t="str">
        <f aca="false">IF($B685&amp;$C685&amp;$D685&amp;$E685="","",IF($B685="","missing date",IF($C685="","missing worker",IF($I685="?","unknown worker - was the name changed on Workers?",IF($D685="","missing type",IF(N($E685)=0,"missing amount",IF(AND($E685&lt;0,$D685&lt;&gt;"Correction"),"negative amount - use a Correction to undo",IF(OR($B685&lt;Weeks!$A$6,$B685&gt;Weeks!$B$58),"date outside this workbook's year",IF(AND($D685="Advance",N($L685)&lt;0),"Warning: more than earned so far - worker now owes "&amp;ROUND(-$L685,0),"")))))))))</f>
        <v/>
      </c>
    </row>
    <row r="686" customFormat="false" ht="15" hidden="false" customHeight="false" outlineLevel="0" collapsed="false">
      <c r="A686" s="24" t="str">
        <f aca="false">IF($B686="","",ROW()-5)</f>
        <v/>
      </c>
      <c r="B686" s="25"/>
      <c r="C686" s="20"/>
      <c r="D686" s="26"/>
      <c r="E686" s="27"/>
      <c r="F686" s="20"/>
      <c r="G686" s="20"/>
      <c r="H686" s="26"/>
      <c r="I686" s="24" t="str">
        <f aca="false">IF($C686="","",IFERROR(INDEX(WorkerIDs,MATCH($C686,WorkerNames,0)),"?"))</f>
        <v/>
      </c>
      <c r="J686" s="18" t="str">
        <f aca="false">IF($B686="","",$B686-WEEKDAY($B686,2)+1)</f>
        <v/>
      </c>
      <c r="K686" s="28" t="str">
        <f aca="false">IF(OR($I686="",$I686="?",$D686&lt;&gt;"Advance",$B686=""),"",$I686&amp;"|"&amp;$J686&amp;"|"&amp;COUNTIFS($I$6:$I686,$I686,$J$6:$J686,$J686,$D$6:$D686,"Advance"))</f>
        <v/>
      </c>
      <c r="L686" s="29" t="str">
        <f aca="false">IF(OR($I686="",$I686="?",$B686=""),"",SUMPRODUCT((Weeks!$A$6:$A$58&lt;=$J686)*(Weeks!$Z$4:$AK$4=$I686)*Weeks!$Z$6:$AK$58)-SUMIFS($E$6:$E$1005,$I$6:$I$1005,$I686,$B$6:$B$1005,"&lt;="&amp;$B686))</f>
        <v/>
      </c>
      <c r="M686" s="19" t="str">
        <f aca="false">IF($B686&amp;$C686&amp;$D686&amp;$E686="","",IF($B686="","missing date",IF($C686="","missing worker",IF($I686="?","unknown worker - was the name changed on Workers?",IF($D686="","missing type",IF(N($E686)=0,"missing amount",IF(AND($E686&lt;0,$D686&lt;&gt;"Correction"),"negative amount - use a Correction to undo",IF(OR($B686&lt;Weeks!$A$6,$B686&gt;Weeks!$B$58),"date outside this workbook's year",IF(AND($D686="Advance",N($L686)&lt;0),"Warning: more than earned so far - worker now owes "&amp;ROUND(-$L686,0),"")))))))))</f>
        <v/>
      </c>
    </row>
    <row r="687" customFormat="false" ht="15" hidden="false" customHeight="false" outlineLevel="0" collapsed="false">
      <c r="A687" s="24" t="str">
        <f aca="false">IF($B687="","",ROW()-5)</f>
        <v/>
      </c>
      <c r="B687" s="25"/>
      <c r="C687" s="20"/>
      <c r="D687" s="26"/>
      <c r="E687" s="27"/>
      <c r="F687" s="20"/>
      <c r="G687" s="20"/>
      <c r="H687" s="26"/>
      <c r="I687" s="24" t="str">
        <f aca="false">IF($C687="","",IFERROR(INDEX(WorkerIDs,MATCH($C687,WorkerNames,0)),"?"))</f>
        <v/>
      </c>
      <c r="J687" s="18" t="str">
        <f aca="false">IF($B687="","",$B687-WEEKDAY($B687,2)+1)</f>
        <v/>
      </c>
      <c r="K687" s="28" t="str">
        <f aca="false">IF(OR($I687="",$I687="?",$D687&lt;&gt;"Advance",$B687=""),"",$I687&amp;"|"&amp;$J687&amp;"|"&amp;COUNTIFS($I$6:$I687,$I687,$J$6:$J687,$J687,$D$6:$D687,"Advance"))</f>
        <v/>
      </c>
      <c r="L687" s="29" t="str">
        <f aca="false">IF(OR($I687="",$I687="?",$B687=""),"",SUMPRODUCT((Weeks!$A$6:$A$58&lt;=$J687)*(Weeks!$Z$4:$AK$4=$I687)*Weeks!$Z$6:$AK$58)-SUMIFS($E$6:$E$1005,$I$6:$I$1005,$I687,$B$6:$B$1005,"&lt;="&amp;$B687))</f>
        <v/>
      </c>
      <c r="M687" s="19" t="str">
        <f aca="false">IF($B687&amp;$C687&amp;$D687&amp;$E687="","",IF($B687="","missing date",IF($C687="","missing worker",IF($I687="?","unknown worker - was the name changed on Workers?",IF($D687="","missing type",IF(N($E687)=0,"missing amount",IF(AND($E687&lt;0,$D687&lt;&gt;"Correction"),"negative amount - use a Correction to undo",IF(OR($B687&lt;Weeks!$A$6,$B687&gt;Weeks!$B$58),"date outside this workbook's year",IF(AND($D687="Advance",N($L687)&lt;0),"Warning: more than earned so far - worker now owes "&amp;ROUND(-$L687,0),"")))))))))</f>
        <v/>
      </c>
    </row>
    <row r="688" customFormat="false" ht="15" hidden="false" customHeight="false" outlineLevel="0" collapsed="false">
      <c r="A688" s="24" t="str">
        <f aca="false">IF($B688="","",ROW()-5)</f>
        <v/>
      </c>
      <c r="B688" s="25"/>
      <c r="C688" s="20"/>
      <c r="D688" s="26"/>
      <c r="E688" s="27"/>
      <c r="F688" s="20"/>
      <c r="G688" s="20"/>
      <c r="H688" s="26"/>
      <c r="I688" s="24" t="str">
        <f aca="false">IF($C688="","",IFERROR(INDEX(WorkerIDs,MATCH($C688,WorkerNames,0)),"?"))</f>
        <v/>
      </c>
      <c r="J688" s="18" t="str">
        <f aca="false">IF($B688="","",$B688-WEEKDAY($B688,2)+1)</f>
        <v/>
      </c>
      <c r="K688" s="28" t="str">
        <f aca="false">IF(OR($I688="",$I688="?",$D688&lt;&gt;"Advance",$B688=""),"",$I688&amp;"|"&amp;$J688&amp;"|"&amp;COUNTIFS($I$6:$I688,$I688,$J$6:$J688,$J688,$D$6:$D688,"Advance"))</f>
        <v/>
      </c>
      <c r="L688" s="29" t="str">
        <f aca="false">IF(OR($I688="",$I688="?",$B688=""),"",SUMPRODUCT((Weeks!$A$6:$A$58&lt;=$J688)*(Weeks!$Z$4:$AK$4=$I688)*Weeks!$Z$6:$AK$58)-SUMIFS($E$6:$E$1005,$I$6:$I$1005,$I688,$B$6:$B$1005,"&lt;="&amp;$B688))</f>
        <v/>
      </c>
      <c r="M688" s="19" t="str">
        <f aca="false">IF($B688&amp;$C688&amp;$D688&amp;$E688="","",IF($B688="","missing date",IF($C688="","missing worker",IF($I688="?","unknown worker - was the name changed on Workers?",IF($D688="","missing type",IF(N($E688)=0,"missing amount",IF(AND($E688&lt;0,$D688&lt;&gt;"Correction"),"negative amount - use a Correction to undo",IF(OR($B688&lt;Weeks!$A$6,$B688&gt;Weeks!$B$58),"date outside this workbook's year",IF(AND($D688="Advance",N($L688)&lt;0),"Warning: more than earned so far - worker now owes "&amp;ROUND(-$L688,0),"")))))))))</f>
        <v/>
      </c>
    </row>
    <row r="689" customFormat="false" ht="15" hidden="false" customHeight="false" outlineLevel="0" collapsed="false">
      <c r="A689" s="24" t="str">
        <f aca="false">IF($B689="","",ROW()-5)</f>
        <v/>
      </c>
      <c r="B689" s="25"/>
      <c r="C689" s="20"/>
      <c r="D689" s="26"/>
      <c r="E689" s="27"/>
      <c r="F689" s="20"/>
      <c r="G689" s="20"/>
      <c r="H689" s="26"/>
      <c r="I689" s="24" t="str">
        <f aca="false">IF($C689="","",IFERROR(INDEX(WorkerIDs,MATCH($C689,WorkerNames,0)),"?"))</f>
        <v/>
      </c>
      <c r="J689" s="18" t="str">
        <f aca="false">IF($B689="","",$B689-WEEKDAY($B689,2)+1)</f>
        <v/>
      </c>
      <c r="K689" s="28" t="str">
        <f aca="false">IF(OR($I689="",$I689="?",$D689&lt;&gt;"Advance",$B689=""),"",$I689&amp;"|"&amp;$J689&amp;"|"&amp;COUNTIFS($I$6:$I689,$I689,$J$6:$J689,$J689,$D$6:$D689,"Advance"))</f>
        <v/>
      </c>
      <c r="L689" s="29" t="str">
        <f aca="false">IF(OR($I689="",$I689="?",$B689=""),"",SUMPRODUCT((Weeks!$A$6:$A$58&lt;=$J689)*(Weeks!$Z$4:$AK$4=$I689)*Weeks!$Z$6:$AK$58)-SUMIFS($E$6:$E$1005,$I$6:$I$1005,$I689,$B$6:$B$1005,"&lt;="&amp;$B689))</f>
        <v/>
      </c>
      <c r="M689" s="19" t="str">
        <f aca="false">IF($B689&amp;$C689&amp;$D689&amp;$E689="","",IF($B689="","missing date",IF($C689="","missing worker",IF($I689="?","unknown worker - was the name changed on Workers?",IF($D689="","missing type",IF(N($E689)=0,"missing amount",IF(AND($E689&lt;0,$D689&lt;&gt;"Correction"),"negative amount - use a Correction to undo",IF(OR($B689&lt;Weeks!$A$6,$B689&gt;Weeks!$B$58),"date outside this workbook's year",IF(AND($D689="Advance",N($L689)&lt;0),"Warning: more than earned so far - worker now owes "&amp;ROUND(-$L689,0),"")))))))))</f>
        <v/>
      </c>
    </row>
    <row r="690" customFormat="false" ht="15" hidden="false" customHeight="false" outlineLevel="0" collapsed="false">
      <c r="A690" s="24" t="str">
        <f aca="false">IF($B690="","",ROW()-5)</f>
        <v/>
      </c>
      <c r="B690" s="25"/>
      <c r="C690" s="20"/>
      <c r="D690" s="26"/>
      <c r="E690" s="27"/>
      <c r="F690" s="20"/>
      <c r="G690" s="20"/>
      <c r="H690" s="26"/>
      <c r="I690" s="24" t="str">
        <f aca="false">IF($C690="","",IFERROR(INDEX(WorkerIDs,MATCH($C690,WorkerNames,0)),"?"))</f>
        <v/>
      </c>
      <c r="J690" s="18" t="str">
        <f aca="false">IF($B690="","",$B690-WEEKDAY($B690,2)+1)</f>
        <v/>
      </c>
      <c r="K690" s="28" t="str">
        <f aca="false">IF(OR($I690="",$I690="?",$D690&lt;&gt;"Advance",$B690=""),"",$I690&amp;"|"&amp;$J690&amp;"|"&amp;COUNTIFS($I$6:$I690,$I690,$J$6:$J690,$J690,$D$6:$D690,"Advance"))</f>
        <v/>
      </c>
      <c r="L690" s="29" t="str">
        <f aca="false">IF(OR($I690="",$I690="?",$B690=""),"",SUMPRODUCT((Weeks!$A$6:$A$58&lt;=$J690)*(Weeks!$Z$4:$AK$4=$I690)*Weeks!$Z$6:$AK$58)-SUMIFS($E$6:$E$1005,$I$6:$I$1005,$I690,$B$6:$B$1005,"&lt;="&amp;$B690))</f>
        <v/>
      </c>
      <c r="M690" s="19" t="str">
        <f aca="false">IF($B690&amp;$C690&amp;$D690&amp;$E690="","",IF($B690="","missing date",IF($C690="","missing worker",IF($I690="?","unknown worker - was the name changed on Workers?",IF($D690="","missing type",IF(N($E690)=0,"missing amount",IF(AND($E690&lt;0,$D690&lt;&gt;"Correction"),"negative amount - use a Correction to undo",IF(OR($B690&lt;Weeks!$A$6,$B690&gt;Weeks!$B$58),"date outside this workbook's year",IF(AND($D690="Advance",N($L690)&lt;0),"Warning: more than earned so far - worker now owes "&amp;ROUND(-$L690,0),"")))))))))</f>
        <v/>
      </c>
    </row>
    <row r="691" customFormat="false" ht="15" hidden="false" customHeight="false" outlineLevel="0" collapsed="false">
      <c r="A691" s="24" t="str">
        <f aca="false">IF($B691="","",ROW()-5)</f>
        <v/>
      </c>
      <c r="B691" s="25"/>
      <c r="C691" s="20"/>
      <c r="D691" s="26"/>
      <c r="E691" s="27"/>
      <c r="F691" s="20"/>
      <c r="G691" s="20"/>
      <c r="H691" s="26"/>
      <c r="I691" s="24" t="str">
        <f aca="false">IF($C691="","",IFERROR(INDEX(WorkerIDs,MATCH($C691,WorkerNames,0)),"?"))</f>
        <v/>
      </c>
      <c r="J691" s="18" t="str">
        <f aca="false">IF($B691="","",$B691-WEEKDAY($B691,2)+1)</f>
        <v/>
      </c>
      <c r="K691" s="28" t="str">
        <f aca="false">IF(OR($I691="",$I691="?",$D691&lt;&gt;"Advance",$B691=""),"",$I691&amp;"|"&amp;$J691&amp;"|"&amp;COUNTIFS($I$6:$I691,$I691,$J$6:$J691,$J691,$D$6:$D691,"Advance"))</f>
        <v/>
      </c>
      <c r="L691" s="29" t="str">
        <f aca="false">IF(OR($I691="",$I691="?",$B691=""),"",SUMPRODUCT((Weeks!$A$6:$A$58&lt;=$J691)*(Weeks!$Z$4:$AK$4=$I691)*Weeks!$Z$6:$AK$58)-SUMIFS($E$6:$E$1005,$I$6:$I$1005,$I691,$B$6:$B$1005,"&lt;="&amp;$B691))</f>
        <v/>
      </c>
      <c r="M691" s="19" t="str">
        <f aca="false">IF($B691&amp;$C691&amp;$D691&amp;$E691="","",IF($B691="","missing date",IF($C691="","missing worker",IF($I691="?","unknown worker - was the name changed on Workers?",IF($D691="","missing type",IF(N($E691)=0,"missing amount",IF(AND($E691&lt;0,$D691&lt;&gt;"Correction"),"negative amount - use a Correction to undo",IF(OR($B691&lt;Weeks!$A$6,$B691&gt;Weeks!$B$58),"date outside this workbook's year",IF(AND($D691="Advance",N($L691)&lt;0),"Warning: more than earned so far - worker now owes "&amp;ROUND(-$L691,0),"")))))))))</f>
        <v/>
      </c>
    </row>
    <row r="692" customFormat="false" ht="15" hidden="false" customHeight="false" outlineLevel="0" collapsed="false">
      <c r="A692" s="24" t="str">
        <f aca="false">IF($B692="","",ROW()-5)</f>
        <v/>
      </c>
      <c r="B692" s="25"/>
      <c r="C692" s="20"/>
      <c r="D692" s="26"/>
      <c r="E692" s="27"/>
      <c r="F692" s="20"/>
      <c r="G692" s="20"/>
      <c r="H692" s="26"/>
      <c r="I692" s="24" t="str">
        <f aca="false">IF($C692="","",IFERROR(INDEX(WorkerIDs,MATCH($C692,WorkerNames,0)),"?"))</f>
        <v/>
      </c>
      <c r="J692" s="18" t="str">
        <f aca="false">IF($B692="","",$B692-WEEKDAY($B692,2)+1)</f>
        <v/>
      </c>
      <c r="K692" s="28" t="str">
        <f aca="false">IF(OR($I692="",$I692="?",$D692&lt;&gt;"Advance",$B692=""),"",$I692&amp;"|"&amp;$J692&amp;"|"&amp;COUNTIFS($I$6:$I692,$I692,$J$6:$J692,$J692,$D$6:$D692,"Advance"))</f>
        <v/>
      </c>
      <c r="L692" s="29" t="str">
        <f aca="false">IF(OR($I692="",$I692="?",$B692=""),"",SUMPRODUCT((Weeks!$A$6:$A$58&lt;=$J692)*(Weeks!$Z$4:$AK$4=$I692)*Weeks!$Z$6:$AK$58)-SUMIFS($E$6:$E$1005,$I$6:$I$1005,$I692,$B$6:$B$1005,"&lt;="&amp;$B692))</f>
        <v/>
      </c>
      <c r="M692" s="19" t="str">
        <f aca="false">IF($B692&amp;$C692&amp;$D692&amp;$E692="","",IF($B692="","missing date",IF($C692="","missing worker",IF($I692="?","unknown worker - was the name changed on Workers?",IF($D692="","missing type",IF(N($E692)=0,"missing amount",IF(AND($E692&lt;0,$D692&lt;&gt;"Correction"),"negative amount - use a Correction to undo",IF(OR($B692&lt;Weeks!$A$6,$B692&gt;Weeks!$B$58),"date outside this workbook's year",IF(AND($D692="Advance",N($L692)&lt;0),"Warning: more than earned so far - worker now owes "&amp;ROUND(-$L692,0),"")))))))))</f>
        <v/>
      </c>
    </row>
    <row r="693" customFormat="false" ht="15" hidden="false" customHeight="false" outlineLevel="0" collapsed="false">
      <c r="A693" s="24" t="str">
        <f aca="false">IF($B693="","",ROW()-5)</f>
        <v/>
      </c>
      <c r="B693" s="25"/>
      <c r="C693" s="20"/>
      <c r="D693" s="26"/>
      <c r="E693" s="27"/>
      <c r="F693" s="20"/>
      <c r="G693" s="20"/>
      <c r="H693" s="26"/>
      <c r="I693" s="24" t="str">
        <f aca="false">IF($C693="","",IFERROR(INDEX(WorkerIDs,MATCH($C693,WorkerNames,0)),"?"))</f>
        <v/>
      </c>
      <c r="J693" s="18" t="str">
        <f aca="false">IF($B693="","",$B693-WEEKDAY($B693,2)+1)</f>
        <v/>
      </c>
      <c r="K693" s="28" t="str">
        <f aca="false">IF(OR($I693="",$I693="?",$D693&lt;&gt;"Advance",$B693=""),"",$I693&amp;"|"&amp;$J693&amp;"|"&amp;COUNTIFS($I$6:$I693,$I693,$J$6:$J693,$J693,$D$6:$D693,"Advance"))</f>
        <v/>
      </c>
      <c r="L693" s="29" t="str">
        <f aca="false">IF(OR($I693="",$I693="?",$B693=""),"",SUMPRODUCT((Weeks!$A$6:$A$58&lt;=$J693)*(Weeks!$Z$4:$AK$4=$I693)*Weeks!$Z$6:$AK$58)-SUMIFS($E$6:$E$1005,$I$6:$I$1005,$I693,$B$6:$B$1005,"&lt;="&amp;$B693))</f>
        <v/>
      </c>
      <c r="M693" s="19" t="str">
        <f aca="false">IF($B693&amp;$C693&amp;$D693&amp;$E693="","",IF($B693="","missing date",IF($C693="","missing worker",IF($I693="?","unknown worker - was the name changed on Workers?",IF($D693="","missing type",IF(N($E693)=0,"missing amount",IF(AND($E693&lt;0,$D693&lt;&gt;"Correction"),"negative amount - use a Correction to undo",IF(OR($B693&lt;Weeks!$A$6,$B693&gt;Weeks!$B$58),"date outside this workbook's year",IF(AND($D693="Advance",N($L693)&lt;0),"Warning: more than earned so far - worker now owes "&amp;ROUND(-$L693,0),"")))))))))</f>
        <v/>
      </c>
    </row>
    <row r="694" customFormat="false" ht="15" hidden="false" customHeight="false" outlineLevel="0" collapsed="false">
      <c r="A694" s="24" t="str">
        <f aca="false">IF($B694="","",ROW()-5)</f>
        <v/>
      </c>
      <c r="B694" s="25"/>
      <c r="C694" s="20"/>
      <c r="D694" s="26"/>
      <c r="E694" s="27"/>
      <c r="F694" s="20"/>
      <c r="G694" s="20"/>
      <c r="H694" s="26"/>
      <c r="I694" s="24" t="str">
        <f aca="false">IF($C694="","",IFERROR(INDEX(WorkerIDs,MATCH($C694,WorkerNames,0)),"?"))</f>
        <v/>
      </c>
      <c r="J694" s="18" t="str">
        <f aca="false">IF($B694="","",$B694-WEEKDAY($B694,2)+1)</f>
        <v/>
      </c>
      <c r="K694" s="28" t="str">
        <f aca="false">IF(OR($I694="",$I694="?",$D694&lt;&gt;"Advance",$B694=""),"",$I694&amp;"|"&amp;$J694&amp;"|"&amp;COUNTIFS($I$6:$I694,$I694,$J$6:$J694,$J694,$D$6:$D694,"Advance"))</f>
        <v/>
      </c>
      <c r="L694" s="29" t="str">
        <f aca="false">IF(OR($I694="",$I694="?",$B694=""),"",SUMPRODUCT((Weeks!$A$6:$A$58&lt;=$J694)*(Weeks!$Z$4:$AK$4=$I694)*Weeks!$Z$6:$AK$58)-SUMIFS($E$6:$E$1005,$I$6:$I$1005,$I694,$B$6:$B$1005,"&lt;="&amp;$B694))</f>
        <v/>
      </c>
      <c r="M694" s="19" t="str">
        <f aca="false">IF($B694&amp;$C694&amp;$D694&amp;$E694="","",IF($B694="","missing date",IF($C694="","missing worker",IF($I694="?","unknown worker - was the name changed on Workers?",IF($D694="","missing type",IF(N($E694)=0,"missing amount",IF(AND($E694&lt;0,$D694&lt;&gt;"Correction"),"negative amount - use a Correction to undo",IF(OR($B694&lt;Weeks!$A$6,$B694&gt;Weeks!$B$58),"date outside this workbook's year",IF(AND($D694="Advance",N($L694)&lt;0),"Warning: more than earned so far - worker now owes "&amp;ROUND(-$L694,0),"")))))))))</f>
        <v/>
      </c>
    </row>
    <row r="695" customFormat="false" ht="15" hidden="false" customHeight="false" outlineLevel="0" collapsed="false">
      <c r="A695" s="24" t="str">
        <f aca="false">IF($B695="","",ROW()-5)</f>
        <v/>
      </c>
      <c r="B695" s="25"/>
      <c r="C695" s="20"/>
      <c r="D695" s="26"/>
      <c r="E695" s="27"/>
      <c r="F695" s="20"/>
      <c r="G695" s="20"/>
      <c r="H695" s="26"/>
      <c r="I695" s="24" t="str">
        <f aca="false">IF($C695="","",IFERROR(INDEX(WorkerIDs,MATCH($C695,WorkerNames,0)),"?"))</f>
        <v/>
      </c>
      <c r="J695" s="18" t="str">
        <f aca="false">IF($B695="","",$B695-WEEKDAY($B695,2)+1)</f>
        <v/>
      </c>
      <c r="K695" s="28" t="str">
        <f aca="false">IF(OR($I695="",$I695="?",$D695&lt;&gt;"Advance",$B695=""),"",$I695&amp;"|"&amp;$J695&amp;"|"&amp;COUNTIFS($I$6:$I695,$I695,$J$6:$J695,$J695,$D$6:$D695,"Advance"))</f>
        <v/>
      </c>
      <c r="L695" s="29" t="str">
        <f aca="false">IF(OR($I695="",$I695="?",$B695=""),"",SUMPRODUCT((Weeks!$A$6:$A$58&lt;=$J695)*(Weeks!$Z$4:$AK$4=$I695)*Weeks!$Z$6:$AK$58)-SUMIFS($E$6:$E$1005,$I$6:$I$1005,$I695,$B$6:$B$1005,"&lt;="&amp;$B695))</f>
        <v/>
      </c>
      <c r="M695" s="19" t="str">
        <f aca="false">IF($B695&amp;$C695&amp;$D695&amp;$E695="","",IF($B695="","missing date",IF($C695="","missing worker",IF($I695="?","unknown worker - was the name changed on Workers?",IF($D695="","missing type",IF(N($E695)=0,"missing amount",IF(AND($E695&lt;0,$D695&lt;&gt;"Correction"),"negative amount - use a Correction to undo",IF(OR($B695&lt;Weeks!$A$6,$B695&gt;Weeks!$B$58),"date outside this workbook's year",IF(AND($D695="Advance",N($L695)&lt;0),"Warning: more than earned so far - worker now owes "&amp;ROUND(-$L695,0),"")))))))))</f>
        <v/>
      </c>
    </row>
    <row r="696" customFormat="false" ht="15" hidden="false" customHeight="false" outlineLevel="0" collapsed="false">
      <c r="A696" s="24" t="str">
        <f aca="false">IF($B696="","",ROW()-5)</f>
        <v/>
      </c>
      <c r="B696" s="25"/>
      <c r="C696" s="20"/>
      <c r="D696" s="26"/>
      <c r="E696" s="27"/>
      <c r="F696" s="20"/>
      <c r="G696" s="20"/>
      <c r="H696" s="26"/>
      <c r="I696" s="24" t="str">
        <f aca="false">IF($C696="","",IFERROR(INDEX(WorkerIDs,MATCH($C696,WorkerNames,0)),"?"))</f>
        <v/>
      </c>
      <c r="J696" s="18" t="str">
        <f aca="false">IF($B696="","",$B696-WEEKDAY($B696,2)+1)</f>
        <v/>
      </c>
      <c r="K696" s="28" t="str">
        <f aca="false">IF(OR($I696="",$I696="?",$D696&lt;&gt;"Advance",$B696=""),"",$I696&amp;"|"&amp;$J696&amp;"|"&amp;COUNTIFS($I$6:$I696,$I696,$J$6:$J696,$J696,$D$6:$D696,"Advance"))</f>
        <v/>
      </c>
      <c r="L696" s="29" t="str">
        <f aca="false">IF(OR($I696="",$I696="?",$B696=""),"",SUMPRODUCT((Weeks!$A$6:$A$58&lt;=$J696)*(Weeks!$Z$4:$AK$4=$I696)*Weeks!$Z$6:$AK$58)-SUMIFS($E$6:$E$1005,$I$6:$I$1005,$I696,$B$6:$B$1005,"&lt;="&amp;$B696))</f>
        <v/>
      </c>
      <c r="M696" s="19" t="str">
        <f aca="false">IF($B696&amp;$C696&amp;$D696&amp;$E696="","",IF($B696="","missing date",IF($C696="","missing worker",IF($I696="?","unknown worker - was the name changed on Workers?",IF($D696="","missing type",IF(N($E696)=0,"missing amount",IF(AND($E696&lt;0,$D696&lt;&gt;"Correction"),"negative amount - use a Correction to undo",IF(OR($B696&lt;Weeks!$A$6,$B696&gt;Weeks!$B$58),"date outside this workbook's year",IF(AND($D696="Advance",N($L696)&lt;0),"Warning: more than earned so far - worker now owes "&amp;ROUND(-$L696,0),"")))))))))</f>
        <v/>
      </c>
    </row>
    <row r="697" customFormat="false" ht="15" hidden="false" customHeight="false" outlineLevel="0" collapsed="false">
      <c r="A697" s="24" t="str">
        <f aca="false">IF($B697="","",ROW()-5)</f>
        <v/>
      </c>
      <c r="B697" s="25"/>
      <c r="C697" s="20"/>
      <c r="D697" s="26"/>
      <c r="E697" s="27"/>
      <c r="F697" s="20"/>
      <c r="G697" s="20"/>
      <c r="H697" s="26"/>
      <c r="I697" s="24" t="str">
        <f aca="false">IF($C697="","",IFERROR(INDEX(WorkerIDs,MATCH($C697,WorkerNames,0)),"?"))</f>
        <v/>
      </c>
      <c r="J697" s="18" t="str">
        <f aca="false">IF($B697="","",$B697-WEEKDAY($B697,2)+1)</f>
        <v/>
      </c>
      <c r="K697" s="28" t="str">
        <f aca="false">IF(OR($I697="",$I697="?",$D697&lt;&gt;"Advance",$B697=""),"",$I697&amp;"|"&amp;$J697&amp;"|"&amp;COUNTIFS($I$6:$I697,$I697,$J$6:$J697,$J697,$D$6:$D697,"Advance"))</f>
        <v/>
      </c>
      <c r="L697" s="29" t="str">
        <f aca="false">IF(OR($I697="",$I697="?",$B697=""),"",SUMPRODUCT((Weeks!$A$6:$A$58&lt;=$J697)*(Weeks!$Z$4:$AK$4=$I697)*Weeks!$Z$6:$AK$58)-SUMIFS($E$6:$E$1005,$I$6:$I$1005,$I697,$B$6:$B$1005,"&lt;="&amp;$B697))</f>
        <v/>
      </c>
      <c r="M697" s="19" t="str">
        <f aca="false">IF($B697&amp;$C697&amp;$D697&amp;$E697="","",IF($B697="","missing date",IF($C697="","missing worker",IF($I697="?","unknown worker - was the name changed on Workers?",IF($D697="","missing type",IF(N($E697)=0,"missing amount",IF(AND($E697&lt;0,$D697&lt;&gt;"Correction"),"negative amount - use a Correction to undo",IF(OR($B697&lt;Weeks!$A$6,$B697&gt;Weeks!$B$58),"date outside this workbook's year",IF(AND($D697="Advance",N($L697)&lt;0),"Warning: more than earned so far - worker now owes "&amp;ROUND(-$L697,0),"")))))))))</f>
        <v/>
      </c>
    </row>
    <row r="698" customFormat="false" ht="15" hidden="false" customHeight="false" outlineLevel="0" collapsed="false">
      <c r="A698" s="24" t="str">
        <f aca="false">IF($B698="","",ROW()-5)</f>
        <v/>
      </c>
      <c r="B698" s="25"/>
      <c r="C698" s="20"/>
      <c r="D698" s="26"/>
      <c r="E698" s="27"/>
      <c r="F698" s="20"/>
      <c r="G698" s="20"/>
      <c r="H698" s="26"/>
      <c r="I698" s="24" t="str">
        <f aca="false">IF($C698="","",IFERROR(INDEX(WorkerIDs,MATCH($C698,WorkerNames,0)),"?"))</f>
        <v/>
      </c>
      <c r="J698" s="18" t="str">
        <f aca="false">IF($B698="","",$B698-WEEKDAY($B698,2)+1)</f>
        <v/>
      </c>
      <c r="K698" s="28" t="str">
        <f aca="false">IF(OR($I698="",$I698="?",$D698&lt;&gt;"Advance",$B698=""),"",$I698&amp;"|"&amp;$J698&amp;"|"&amp;COUNTIFS($I$6:$I698,$I698,$J$6:$J698,$J698,$D$6:$D698,"Advance"))</f>
        <v/>
      </c>
      <c r="L698" s="29" t="str">
        <f aca="false">IF(OR($I698="",$I698="?",$B698=""),"",SUMPRODUCT((Weeks!$A$6:$A$58&lt;=$J698)*(Weeks!$Z$4:$AK$4=$I698)*Weeks!$Z$6:$AK$58)-SUMIFS($E$6:$E$1005,$I$6:$I$1005,$I698,$B$6:$B$1005,"&lt;="&amp;$B698))</f>
        <v/>
      </c>
      <c r="M698" s="19" t="str">
        <f aca="false">IF($B698&amp;$C698&amp;$D698&amp;$E698="","",IF($B698="","missing date",IF($C698="","missing worker",IF($I698="?","unknown worker - was the name changed on Workers?",IF($D698="","missing type",IF(N($E698)=0,"missing amount",IF(AND($E698&lt;0,$D698&lt;&gt;"Correction"),"negative amount - use a Correction to undo",IF(OR($B698&lt;Weeks!$A$6,$B698&gt;Weeks!$B$58),"date outside this workbook's year",IF(AND($D698="Advance",N($L698)&lt;0),"Warning: more than earned so far - worker now owes "&amp;ROUND(-$L698,0),"")))))))))</f>
        <v/>
      </c>
    </row>
    <row r="699" customFormat="false" ht="15" hidden="false" customHeight="false" outlineLevel="0" collapsed="false">
      <c r="A699" s="24" t="str">
        <f aca="false">IF($B699="","",ROW()-5)</f>
        <v/>
      </c>
      <c r="B699" s="25"/>
      <c r="C699" s="20"/>
      <c r="D699" s="26"/>
      <c r="E699" s="27"/>
      <c r="F699" s="20"/>
      <c r="G699" s="20"/>
      <c r="H699" s="26"/>
      <c r="I699" s="24" t="str">
        <f aca="false">IF($C699="","",IFERROR(INDEX(WorkerIDs,MATCH($C699,WorkerNames,0)),"?"))</f>
        <v/>
      </c>
      <c r="J699" s="18" t="str">
        <f aca="false">IF($B699="","",$B699-WEEKDAY($B699,2)+1)</f>
        <v/>
      </c>
      <c r="K699" s="28" t="str">
        <f aca="false">IF(OR($I699="",$I699="?",$D699&lt;&gt;"Advance",$B699=""),"",$I699&amp;"|"&amp;$J699&amp;"|"&amp;COUNTIFS($I$6:$I699,$I699,$J$6:$J699,$J699,$D$6:$D699,"Advance"))</f>
        <v/>
      </c>
      <c r="L699" s="29" t="str">
        <f aca="false">IF(OR($I699="",$I699="?",$B699=""),"",SUMPRODUCT((Weeks!$A$6:$A$58&lt;=$J699)*(Weeks!$Z$4:$AK$4=$I699)*Weeks!$Z$6:$AK$58)-SUMIFS($E$6:$E$1005,$I$6:$I$1005,$I699,$B$6:$B$1005,"&lt;="&amp;$B699))</f>
        <v/>
      </c>
      <c r="M699" s="19" t="str">
        <f aca="false">IF($B699&amp;$C699&amp;$D699&amp;$E699="","",IF($B699="","missing date",IF($C699="","missing worker",IF($I699="?","unknown worker - was the name changed on Workers?",IF($D699="","missing type",IF(N($E699)=0,"missing amount",IF(AND($E699&lt;0,$D699&lt;&gt;"Correction"),"negative amount - use a Correction to undo",IF(OR($B699&lt;Weeks!$A$6,$B699&gt;Weeks!$B$58),"date outside this workbook's year",IF(AND($D699="Advance",N($L699)&lt;0),"Warning: more than earned so far - worker now owes "&amp;ROUND(-$L699,0),"")))))))))</f>
        <v/>
      </c>
    </row>
    <row r="700" customFormat="false" ht="15" hidden="false" customHeight="false" outlineLevel="0" collapsed="false">
      <c r="A700" s="24" t="str">
        <f aca="false">IF($B700="","",ROW()-5)</f>
        <v/>
      </c>
      <c r="B700" s="25"/>
      <c r="C700" s="20"/>
      <c r="D700" s="26"/>
      <c r="E700" s="27"/>
      <c r="F700" s="20"/>
      <c r="G700" s="20"/>
      <c r="H700" s="26"/>
      <c r="I700" s="24" t="str">
        <f aca="false">IF($C700="","",IFERROR(INDEX(WorkerIDs,MATCH($C700,WorkerNames,0)),"?"))</f>
        <v/>
      </c>
      <c r="J700" s="18" t="str">
        <f aca="false">IF($B700="","",$B700-WEEKDAY($B700,2)+1)</f>
        <v/>
      </c>
      <c r="K700" s="28" t="str">
        <f aca="false">IF(OR($I700="",$I700="?",$D700&lt;&gt;"Advance",$B700=""),"",$I700&amp;"|"&amp;$J700&amp;"|"&amp;COUNTIFS($I$6:$I700,$I700,$J$6:$J700,$J700,$D$6:$D700,"Advance"))</f>
        <v/>
      </c>
      <c r="L700" s="29" t="str">
        <f aca="false">IF(OR($I700="",$I700="?",$B700=""),"",SUMPRODUCT((Weeks!$A$6:$A$58&lt;=$J700)*(Weeks!$Z$4:$AK$4=$I700)*Weeks!$Z$6:$AK$58)-SUMIFS($E$6:$E$1005,$I$6:$I$1005,$I700,$B$6:$B$1005,"&lt;="&amp;$B700))</f>
        <v/>
      </c>
      <c r="M700" s="19" t="str">
        <f aca="false">IF($B700&amp;$C700&amp;$D700&amp;$E700="","",IF($B700="","missing date",IF($C700="","missing worker",IF($I700="?","unknown worker - was the name changed on Workers?",IF($D700="","missing type",IF(N($E700)=0,"missing amount",IF(AND($E700&lt;0,$D700&lt;&gt;"Correction"),"negative amount - use a Correction to undo",IF(OR($B700&lt;Weeks!$A$6,$B700&gt;Weeks!$B$58),"date outside this workbook's year",IF(AND($D700="Advance",N($L700)&lt;0),"Warning: more than earned so far - worker now owes "&amp;ROUND(-$L700,0),"")))))))))</f>
        <v/>
      </c>
    </row>
    <row r="701" customFormat="false" ht="15" hidden="false" customHeight="false" outlineLevel="0" collapsed="false">
      <c r="A701" s="24" t="str">
        <f aca="false">IF($B701="","",ROW()-5)</f>
        <v/>
      </c>
      <c r="B701" s="25"/>
      <c r="C701" s="20"/>
      <c r="D701" s="26"/>
      <c r="E701" s="27"/>
      <c r="F701" s="20"/>
      <c r="G701" s="20"/>
      <c r="H701" s="26"/>
      <c r="I701" s="24" t="str">
        <f aca="false">IF($C701="","",IFERROR(INDEX(WorkerIDs,MATCH($C701,WorkerNames,0)),"?"))</f>
        <v/>
      </c>
      <c r="J701" s="18" t="str">
        <f aca="false">IF($B701="","",$B701-WEEKDAY($B701,2)+1)</f>
        <v/>
      </c>
      <c r="K701" s="28" t="str">
        <f aca="false">IF(OR($I701="",$I701="?",$D701&lt;&gt;"Advance",$B701=""),"",$I701&amp;"|"&amp;$J701&amp;"|"&amp;COUNTIFS($I$6:$I701,$I701,$J$6:$J701,$J701,$D$6:$D701,"Advance"))</f>
        <v/>
      </c>
      <c r="L701" s="29" t="str">
        <f aca="false">IF(OR($I701="",$I701="?",$B701=""),"",SUMPRODUCT((Weeks!$A$6:$A$58&lt;=$J701)*(Weeks!$Z$4:$AK$4=$I701)*Weeks!$Z$6:$AK$58)-SUMIFS($E$6:$E$1005,$I$6:$I$1005,$I701,$B$6:$B$1005,"&lt;="&amp;$B701))</f>
        <v/>
      </c>
      <c r="M701" s="19" t="str">
        <f aca="false">IF($B701&amp;$C701&amp;$D701&amp;$E701="","",IF($B701="","missing date",IF($C701="","missing worker",IF($I701="?","unknown worker - was the name changed on Workers?",IF($D701="","missing type",IF(N($E701)=0,"missing amount",IF(AND($E701&lt;0,$D701&lt;&gt;"Correction"),"negative amount - use a Correction to undo",IF(OR($B701&lt;Weeks!$A$6,$B701&gt;Weeks!$B$58),"date outside this workbook's year",IF(AND($D701="Advance",N($L701)&lt;0),"Warning: more than earned so far - worker now owes "&amp;ROUND(-$L701,0),"")))))))))</f>
        <v/>
      </c>
    </row>
    <row r="702" customFormat="false" ht="15" hidden="false" customHeight="false" outlineLevel="0" collapsed="false">
      <c r="A702" s="24" t="str">
        <f aca="false">IF($B702="","",ROW()-5)</f>
        <v/>
      </c>
      <c r="B702" s="25"/>
      <c r="C702" s="20"/>
      <c r="D702" s="26"/>
      <c r="E702" s="27"/>
      <c r="F702" s="20"/>
      <c r="G702" s="20"/>
      <c r="H702" s="26"/>
      <c r="I702" s="24" t="str">
        <f aca="false">IF($C702="","",IFERROR(INDEX(WorkerIDs,MATCH($C702,WorkerNames,0)),"?"))</f>
        <v/>
      </c>
      <c r="J702" s="18" t="str">
        <f aca="false">IF($B702="","",$B702-WEEKDAY($B702,2)+1)</f>
        <v/>
      </c>
      <c r="K702" s="28" t="str">
        <f aca="false">IF(OR($I702="",$I702="?",$D702&lt;&gt;"Advance",$B702=""),"",$I702&amp;"|"&amp;$J702&amp;"|"&amp;COUNTIFS($I$6:$I702,$I702,$J$6:$J702,$J702,$D$6:$D702,"Advance"))</f>
        <v/>
      </c>
      <c r="L702" s="29" t="str">
        <f aca="false">IF(OR($I702="",$I702="?",$B702=""),"",SUMPRODUCT((Weeks!$A$6:$A$58&lt;=$J702)*(Weeks!$Z$4:$AK$4=$I702)*Weeks!$Z$6:$AK$58)-SUMIFS($E$6:$E$1005,$I$6:$I$1005,$I702,$B$6:$B$1005,"&lt;="&amp;$B702))</f>
        <v/>
      </c>
      <c r="M702" s="19" t="str">
        <f aca="false">IF($B702&amp;$C702&amp;$D702&amp;$E702="","",IF($B702="","missing date",IF($C702="","missing worker",IF($I702="?","unknown worker - was the name changed on Workers?",IF($D702="","missing type",IF(N($E702)=0,"missing amount",IF(AND($E702&lt;0,$D702&lt;&gt;"Correction"),"negative amount - use a Correction to undo",IF(OR($B702&lt;Weeks!$A$6,$B702&gt;Weeks!$B$58),"date outside this workbook's year",IF(AND($D702="Advance",N($L702)&lt;0),"Warning: more than earned so far - worker now owes "&amp;ROUND(-$L702,0),"")))))))))</f>
        <v/>
      </c>
    </row>
    <row r="703" customFormat="false" ht="15" hidden="false" customHeight="false" outlineLevel="0" collapsed="false">
      <c r="A703" s="24" t="str">
        <f aca="false">IF($B703="","",ROW()-5)</f>
        <v/>
      </c>
      <c r="B703" s="25"/>
      <c r="C703" s="20"/>
      <c r="D703" s="26"/>
      <c r="E703" s="27"/>
      <c r="F703" s="20"/>
      <c r="G703" s="20"/>
      <c r="H703" s="26"/>
      <c r="I703" s="24" t="str">
        <f aca="false">IF($C703="","",IFERROR(INDEX(WorkerIDs,MATCH($C703,WorkerNames,0)),"?"))</f>
        <v/>
      </c>
      <c r="J703" s="18" t="str">
        <f aca="false">IF($B703="","",$B703-WEEKDAY($B703,2)+1)</f>
        <v/>
      </c>
      <c r="K703" s="28" t="str">
        <f aca="false">IF(OR($I703="",$I703="?",$D703&lt;&gt;"Advance",$B703=""),"",$I703&amp;"|"&amp;$J703&amp;"|"&amp;COUNTIFS($I$6:$I703,$I703,$J$6:$J703,$J703,$D$6:$D703,"Advance"))</f>
        <v/>
      </c>
      <c r="L703" s="29" t="str">
        <f aca="false">IF(OR($I703="",$I703="?",$B703=""),"",SUMPRODUCT((Weeks!$A$6:$A$58&lt;=$J703)*(Weeks!$Z$4:$AK$4=$I703)*Weeks!$Z$6:$AK$58)-SUMIFS($E$6:$E$1005,$I$6:$I$1005,$I703,$B$6:$B$1005,"&lt;="&amp;$B703))</f>
        <v/>
      </c>
      <c r="M703" s="19" t="str">
        <f aca="false">IF($B703&amp;$C703&amp;$D703&amp;$E703="","",IF($B703="","missing date",IF($C703="","missing worker",IF($I703="?","unknown worker - was the name changed on Workers?",IF($D703="","missing type",IF(N($E703)=0,"missing amount",IF(AND($E703&lt;0,$D703&lt;&gt;"Correction"),"negative amount - use a Correction to undo",IF(OR($B703&lt;Weeks!$A$6,$B703&gt;Weeks!$B$58),"date outside this workbook's year",IF(AND($D703="Advance",N($L703)&lt;0),"Warning: more than earned so far - worker now owes "&amp;ROUND(-$L703,0),"")))))))))</f>
        <v/>
      </c>
    </row>
    <row r="704" customFormat="false" ht="15" hidden="false" customHeight="false" outlineLevel="0" collapsed="false">
      <c r="A704" s="24" t="str">
        <f aca="false">IF($B704="","",ROW()-5)</f>
        <v/>
      </c>
      <c r="B704" s="25"/>
      <c r="C704" s="20"/>
      <c r="D704" s="26"/>
      <c r="E704" s="27"/>
      <c r="F704" s="20"/>
      <c r="G704" s="20"/>
      <c r="H704" s="26"/>
      <c r="I704" s="24" t="str">
        <f aca="false">IF($C704="","",IFERROR(INDEX(WorkerIDs,MATCH($C704,WorkerNames,0)),"?"))</f>
        <v/>
      </c>
      <c r="J704" s="18" t="str">
        <f aca="false">IF($B704="","",$B704-WEEKDAY($B704,2)+1)</f>
        <v/>
      </c>
      <c r="K704" s="28" t="str">
        <f aca="false">IF(OR($I704="",$I704="?",$D704&lt;&gt;"Advance",$B704=""),"",$I704&amp;"|"&amp;$J704&amp;"|"&amp;COUNTIFS($I$6:$I704,$I704,$J$6:$J704,$J704,$D$6:$D704,"Advance"))</f>
        <v/>
      </c>
      <c r="L704" s="29" t="str">
        <f aca="false">IF(OR($I704="",$I704="?",$B704=""),"",SUMPRODUCT((Weeks!$A$6:$A$58&lt;=$J704)*(Weeks!$Z$4:$AK$4=$I704)*Weeks!$Z$6:$AK$58)-SUMIFS($E$6:$E$1005,$I$6:$I$1005,$I704,$B$6:$B$1005,"&lt;="&amp;$B704))</f>
        <v/>
      </c>
      <c r="M704" s="19" t="str">
        <f aca="false">IF($B704&amp;$C704&amp;$D704&amp;$E704="","",IF($B704="","missing date",IF($C704="","missing worker",IF($I704="?","unknown worker - was the name changed on Workers?",IF($D704="","missing type",IF(N($E704)=0,"missing amount",IF(AND($E704&lt;0,$D704&lt;&gt;"Correction"),"negative amount - use a Correction to undo",IF(OR($B704&lt;Weeks!$A$6,$B704&gt;Weeks!$B$58),"date outside this workbook's year",IF(AND($D704="Advance",N($L704)&lt;0),"Warning: more than earned so far - worker now owes "&amp;ROUND(-$L704,0),"")))))))))</f>
        <v/>
      </c>
    </row>
    <row r="705" customFormat="false" ht="15" hidden="false" customHeight="false" outlineLevel="0" collapsed="false">
      <c r="A705" s="24" t="str">
        <f aca="false">IF($B705="","",ROW()-5)</f>
        <v/>
      </c>
      <c r="B705" s="25"/>
      <c r="C705" s="20"/>
      <c r="D705" s="26"/>
      <c r="E705" s="27"/>
      <c r="F705" s="20"/>
      <c r="G705" s="20"/>
      <c r="H705" s="26"/>
      <c r="I705" s="24" t="str">
        <f aca="false">IF($C705="","",IFERROR(INDEX(WorkerIDs,MATCH($C705,WorkerNames,0)),"?"))</f>
        <v/>
      </c>
      <c r="J705" s="18" t="str">
        <f aca="false">IF($B705="","",$B705-WEEKDAY($B705,2)+1)</f>
        <v/>
      </c>
      <c r="K705" s="28" t="str">
        <f aca="false">IF(OR($I705="",$I705="?",$D705&lt;&gt;"Advance",$B705=""),"",$I705&amp;"|"&amp;$J705&amp;"|"&amp;COUNTIFS($I$6:$I705,$I705,$J$6:$J705,$J705,$D$6:$D705,"Advance"))</f>
        <v/>
      </c>
      <c r="L705" s="29" t="str">
        <f aca="false">IF(OR($I705="",$I705="?",$B705=""),"",SUMPRODUCT((Weeks!$A$6:$A$58&lt;=$J705)*(Weeks!$Z$4:$AK$4=$I705)*Weeks!$Z$6:$AK$58)-SUMIFS($E$6:$E$1005,$I$6:$I$1005,$I705,$B$6:$B$1005,"&lt;="&amp;$B705))</f>
        <v/>
      </c>
      <c r="M705" s="19" t="str">
        <f aca="false">IF($B705&amp;$C705&amp;$D705&amp;$E705="","",IF($B705="","missing date",IF($C705="","missing worker",IF($I705="?","unknown worker - was the name changed on Workers?",IF($D705="","missing type",IF(N($E705)=0,"missing amount",IF(AND($E705&lt;0,$D705&lt;&gt;"Correction"),"negative amount - use a Correction to undo",IF(OR($B705&lt;Weeks!$A$6,$B705&gt;Weeks!$B$58),"date outside this workbook's year",IF(AND($D705="Advance",N($L705)&lt;0),"Warning: more than earned so far - worker now owes "&amp;ROUND(-$L705,0),"")))))))))</f>
        <v/>
      </c>
    </row>
    <row r="706" customFormat="false" ht="15" hidden="false" customHeight="false" outlineLevel="0" collapsed="false">
      <c r="A706" s="24" t="str">
        <f aca="false">IF($B706="","",ROW()-5)</f>
        <v/>
      </c>
      <c r="B706" s="25"/>
      <c r="C706" s="20"/>
      <c r="D706" s="26"/>
      <c r="E706" s="27"/>
      <c r="F706" s="20"/>
      <c r="G706" s="20"/>
      <c r="H706" s="26"/>
      <c r="I706" s="24" t="str">
        <f aca="false">IF($C706="","",IFERROR(INDEX(WorkerIDs,MATCH($C706,WorkerNames,0)),"?"))</f>
        <v/>
      </c>
      <c r="J706" s="18" t="str">
        <f aca="false">IF($B706="","",$B706-WEEKDAY($B706,2)+1)</f>
        <v/>
      </c>
      <c r="K706" s="28" t="str">
        <f aca="false">IF(OR($I706="",$I706="?",$D706&lt;&gt;"Advance",$B706=""),"",$I706&amp;"|"&amp;$J706&amp;"|"&amp;COUNTIFS($I$6:$I706,$I706,$J$6:$J706,$J706,$D$6:$D706,"Advance"))</f>
        <v/>
      </c>
      <c r="L706" s="29" t="str">
        <f aca="false">IF(OR($I706="",$I706="?",$B706=""),"",SUMPRODUCT((Weeks!$A$6:$A$58&lt;=$J706)*(Weeks!$Z$4:$AK$4=$I706)*Weeks!$Z$6:$AK$58)-SUMIFS($E$6:$E$1005,$I$6:$I$1005,$I706,$B$6:$B$1005,"&lt;="&amp;$B706))</f>
        <v/>
      </c>
      <c r="M706" s="19" t="str">
        <f aca="false">IF($B706&amp;$C706&amp;$D706&amp;$E706="","",IF($B706="","missing date",IF($C706="","missing worker",IF($I706="?","unknown worker - was the name changed on Workers?",IF($D706="","missing type",IF(N($E706)=0,"missing amount",IF(AND($E706&lt;0,$D706&lt;&gt;"Correction"),"negative amount - use a Correction to undo",IF(OR($B706&lt;Weeks!$A$6,$B706&gt;Weeks!$B$58),"date outside this workbook's year",IF(AND($D706="Advance",N($L706)&lt;0),"Warning: more than earned so far - worker now owes "&amp;ROUND(-$L706,0),"")))))))))</f>
        <v/>
      </c>
    </row>
    <row r="707" customFormat="false" ht="15" hidden="false" customHeight="false" outlineLevel="0" collapsed="false">
      <c r="A707" s="24" t="str">
        <f aca="false">IF($B707="","",ROW()-5)</f>
        <v/>
      </c>
      <c r="B707" s="25"/>
      <c r="C707" s="20"/>
      <c r="D707" s="26"/>
      <c r="E707" s="27"/>
      <c r="F707" s="20"/>
      <c r="G707" s="20"/>
      <c r="H707" s="26"/>
      <c r="I707" s="24" t="str">
        <f aca="false">IF($C707="","",IFERROR(INDEX(WorkerIDs,MATCH($C707,WorkerNames,0)),"?"))</f>
        <v/>
      </c>
      <c r="J707" s="18" t="str">
        <f aca="false">IF($B707="","",$B707-WEEKDAY($B707,2)+1)</f>
        <v/>
      </c>
      <c r="K707" s="28" t="str">
        <f aca="false">IF(OR($I707="",$I707="?",$D707&lt;&gt;"Advance",$B707=""),"",$I707&amp;"|"&amp;$J707&amp;"|"&amp;COUNTIFS($I$6:$I707,$I707,$J$6:$J707,$J707,$D$6:$D707,"Advance"))</f>
        <v/>
      </c>
      <c r="L707" s="29" t="str">
        <f aca="false">IF(OR($I707="",$I707="?",$B707=""),"",SUMPRODUCT((Weeks!$A$6:$A$58&lt;=$J707)*(Weeks!$Z$4:$AK$4=$I707)*Weeks!$Z$6:$AK$58)-SUMIFS($E$6:$E$1005,$I$6:$I$1005,$I707,$B$6:$B$1005,"&lt;="&amp;$B707))</f>
        <v/>
      </c>
      <c r="M707" s="19" t="str">
        <f aca="false">IF($B707&amp;$C707&amp;$D707&amp;$E707="","",IF($B707="","missing date",IF($C707="","missing worker",IF($I707="?","unknown worker - was the name changed on Workers?",IF($D707="","missing type",IF(N($E707)=0,"missing amount",IF(AND($E707&lt;0,$D707&lt;&gt;"Correction"),"negative amount - use a Correction to undo",IF(OR($B707&lt;Weeks!$A$6,$B707&gt;Weeks!$B$58),"date outside this workbook's year",IF(AND($D707="Advance",N($L707)&lt;0),"Warning: more than earned so far - worker now owes "&amp;ROUND(-$L707,0),"")))))))))</f>
        <v/>
      </c>
    </row>
    <row r="708" customFormat="false" ht="15" hidden="false" customHeight="false" outlineLevel="0" collapsed="false">
      <c r="A708" s="24" t="str">
        <f aca="false">IF($B708="","",ROW()-5)</f>
        <v/>
      </c>
      <c r="B708" s="25"/>
      <c r="C708" s="20"/>
      <c r="D708" s="26"/>
      <c r="E708" s="27"/>
      <c r="F708" s="20"/>
      <c r="G708" s="20"/>
      <c r="H708" s="26"/>
      <c r="I708" s="24" t="str">
        <f aca="false">IF($C708="","",IFERROR(INDEX(WorkerIDs,MATCH($C708,WorkerNames,0)),"?"))</f>
        <v/>
      </c>
      <c r="J708" s="18" t="str">
        <f aca="false">IF($B708="","",$B708-WEEKDAY($B708,2)+1)</f>
        <v/>
      </c>
      <c r="K708" s="28" t="str">
        <f aca="false">IF(OR($I708="",$I708="?",$D708&lt;&gt;"Advance",$B708=""),"",$I708&amp;"|"&amp;$J708&amp;"|"&amp;COUNTIFS($I$6:$I708,$I708,$J$6:$J708,$J708,$D$6:$D708,"Advance"))</f>
        <v/>
      </c>
      <c r="L708" s="29" t="str">
        <f aca="false">IF(OR($I708="",$I708="?",$B708=""),"",SUMPRODUCT((Weeks!$A$6:$A$58&lt;=$J708)*(Weeks!$Z$4:$AK$4=$I708)*Weeks!$Z$6:$AK$58)-SUMIFS($E$6:$E$1005,$I$6:$I$1005,$I708,$B$6:$B$1005,"&lt;="&amp;$B708))</f>
        <v/>
      </c>
      <c r="M708" s="19" t="str">
        <f aca="false">IF($B708&amp;$C708&amp;$D708&amp;$E708="","",IF($B708="","missing date",IF($C708="","missing worker",IF($I708="?","unknown worker - was the name changed on Workers?",IF($D708="","missing type",IF(N($E708)=0,"missing amount",IF(AND($E708&lt;0,$D708&lt;&gt;"Correction"),"negative amount - use a Correction to undo",IF(OR($B708&lt;Weeks!$A$6,$B708&gt;Weeks!$B$58),"date outside this workbook's year",IF(AND($D708="Advance",N($L708)&lt;0),"Warning: more than earned so far - worker now owes "&amp;ROUND(-$L708,0),"")))))))))</f>
        <v/>
      </c>
    </row>
    <row r="709" customFormat="false" ht="15" hidden="false" customHeight="false" outlineLevel="0" collapsed="false">
      <c r="A709" s="24" t="str">
        <f aca="false">IF($B709="","",ROW()-5)</f>
        <v/>
      </c>
      <c r="B709" s="25"/>
      <c r="C709" s="20"/>
      <c r="D709" s="26"/>
      <c r="E709" s="27"/>
      <c r="F709" s="20"/>
      <c r="G709" s="20"/>
      <c r="H709" s="26"/>
      <c r="I709" s="24" t="str">
        <f aca="false">IF($C709="","",IFERROR(INDEX(WorkerIDs,MATCH($C709,WorkerNames,0)),"?"))</f>
        <v/>
      </c>
      <c r="J709" s="18" t="str">
        <f aca="false">IF($B709="","",$B709-WEEKDAY($B709,2)+1)</f>
        <v/>
      </c>
      <c r="K709" s="28" t="str">
        <f aca="false">IF(OR($I709="",$I709="?",$D709&lt;&gt;"Advance",$B709=""),"",$I709&amp;"|"&amp;$J709&amp;"|"&amp;COUNTIFS($I$6:$I709,$I709,$J$6:$J709,$J709,$D$6:$D709,"Advance"))</f>
        <v/>
      </c>
      <c r="L709" s="29" t="str">
        <f aca="false">IF(OR($I709="",$I709="?",$B709=""),"",SUMPRODUCT((Weeks!$A$6:$A$58&lt;=$J709)*(Weeks!$Z$4:$AK$4=$I709)*Weeks!$Z$6:$AK$58)-SUMIFS($E$6:$E$1005,$I$6:$I$1005,$I709,$B$6:$B$1005,"&lt;="&amp;$B709))</f>
        <v/>
      </c>
      <c r="M709" s="19" t="str">
        <f aca="false">IF($B709&amp;$C709&amp;$D709&amp;$E709="","",IF($B709="","missing date",IF($C709="","missing worker",IF($I709="?","unknown worker - was the name changed on Workers?",IF($D709="","missing type",IF(N($E709)=0,"missing amount",IF(AND($E709&lt;0,$D709&lt;&gt;"Correction"),"negative amount - use a Correction to undo",IF(OR($B709&lt;Weeks!$A$6,$B709&gt;Weeks!$B$58),"date outside this workbook's year",IF(AND($D709="Advance",N($L709)&lt;0),"Warning: more than earned so far - worker now owes "&amp;ROUND(-$L709,0),"")))))))))</f>
        <v/>
      </c>
    </row>
    <row r="710" customFormat="false" ht="15" hidden="false" customHeight="false" outlineLevel="0" collapsed="false">
      <c r="A710" s="24" t="str">
        <f aca="false">IF($B710="","",ROW()-5)</f>
        <v/>
      </c>
      <c r="B710" s="25"/>
      <c r="C710" s="20"/>
      <c r="D710" s="26"/>
      <c r="E710" s="27"/>
      <c r="F710" s="20"/>
      <c r="G710" s="20"/>
      <c r="H710" s="26"/>
      <c r="I710" s="24" t="str">
        <f aca="false">IF($C710="","",IFERROR(INDEX(WorkerIDs,MATCH($C710,WorkerNames,0)),"?"))</f>
        <v/>
      </c>
      <c r="J710" s="18" t="str">
        <f aca="false">IF($B710="","",$B710-WEEKDAY($B710,2)+1)</f>
        <v/>
      </c>
      <c r="K710" s="28" t="str">
        <f aca="false">IF(OR($I710="",$I710="?",$D710&lt;&gt;"Advance",$B710=""),"",$I710&amp;"|"&amp;$J710&amp;"|"&amp;COUNTIFS($I$6:$I710,$I710,$J$6:$J710,$J710,$D$6:$D710,"Advance"))</f>
        <v/>
      </c>
      <c r="L710" s="29" t="str">
        <f aca="false">IF(OR($I710="",$I710="?",$B710=""),"",SUMPRODUCT((Weeks!$A$6:$A$58&lt;=$J710)*(Weeks!$Z$4:$AK$4=$I710)*Weeks!$Z$6:$AK$58)-SUMIFS($E$6:$E$1005,$I$6:$I$1005,$I710,$B$6:$B$1005,"&lt;="&amp;$B710))</f>
        <v/>
      </c>
      <c r="M710" s="19" t="str">
        <f aca="false">IF($B710&amp;$C710&amp;$D710&amp;$E710="","",IF($B710="","missing date",IF($C710="","missing worker",IF($I710="?","unknown worker - was the name changed on Workers?",IF($D710="","missing type",IF(N($E710)=0,"missing amount",IF(AND($E710&lt;0,$D710&lt;&gt;"Correction"),"negative amount - use a Correction to undo",IF(OR($B710&lt;Weeks!$A$6,$B710&gt;Weeks!$B$58),"date outside this workbook's year",IF(AND($D710="Advance",N($L710)&lt;0),"Warning: more than earned so far - worker now owes "&amp;ROUND(-$L710,0),"")))))))))</f>
        <v/>
      </c>
    </row>
    <row r="711" customFormat="false" ht="15" hidden="false" customHeight="false" outlineLevel="0" collapsed="false">
      <c r="A711" s="24" t="str">
        <f aca="false">IF($B711="","",ROW()-5)</f>
        <v/>
      </c>
      <c r="B711" s="25"/>
      <c r="C711" s="20"/>
      <c r="D711" s="26"/>
      <c r="E711" s="27"/>
      <c r="F711" s="20"/>
      <c r="G711" s="20"/>
      <c r="H711" s="26"/>
      <c r="I711" s="24" t="str">
        <f aca="false">IF($C711="","",IFERROR(INDEX(WorkerIDs,MATCH($C711,WorkerNames,0)),"?"))</f>
        <v/>
      </c>
      <c r="J711" s="18" t="str">
        <f aca="false">IF($B711="","",$B711-WEEKDAY($B711,2)+1)</f>
        <v/>
      </c>
      <c r="K711" s="28" t="str">
        <f aca="false">IF(OR($I711="",$I711="?",$D711&lt;&gt;"Advance",$B711=""),"",$I711&amp;"|"&amp;$J711&amp;"|"&amp;COUNTIFS($I$6:$I711,$I711,$J$6:$J711,$J711,$D$6:$D711,"Advance"))</f>
        <v/>
      </c>
      <c r="L711" s="29" t="str">
        <f aca="false">IF(OR($I711="",$I711="?",$B711=""),"",SUMPRODUCT((Weeks!$A$6:$A$58&lt;=$J711)*(Weeks!$Z$4:$AK$4=$I711)*Weeks!$Z$6:$AK$58)-SUMIFS($E$6:$E$1005,$I$6:$I$1005,$I711,$B$6:$B$1005,"&lt;="&amp;$B711))</f>
        <v/>
      </c>
      <c r="M711" s="19" t="str">
        <f aca="false">IF($B711&amp;$C711&amp;$D711&amp;$E711="","",IF($B711="","missing date",IF($C711="","missing worker",IF($I711="?","unknown worker - was the name changed on Workers?",IF($D711="","missing type",IF(N($E711)=0,"missing amount",IF(AND($E711&lt;0,$D711&lt;&gt;"Correction"),"negative amount - use a Correction to undo",IF(OR($B711&lt;Weeks!$A$6,$B711&gt;Weeks!$B$58),"date outside this workbook's year",IF(AND($D711="Advance",N($L711)&lt;0),"Warning: more than earned so far - worker now owes "&amp;ROUND(-$L711,0),"")))))))))</f>
        <v/>
      </c>
    </row>
    <row r="712" customFormat="false" ht="15" hidden="false" customHeight="false" outlineLevel="0" collapsed="false">
      <c r="A712" s="24" t="str">
        <f aca="false">IF($B712="","",ROW()-5)</f>
        <v/>
      </c>
      <c r="B712" s="25"/>
      <c r="C712" s="20"/>
      <c r="D712" s="26"/>
      <c r="E712" s="27"/>
      <c r="F712" s="20"/>
      <c r="G712" s="20"/>
      <c r="H712" s="26"/>
      <c r="I712" s="24" t="str">
        <f aca="false">IF($C712="","",IFERROR(INDEX(WorkerIDs,MATCH($C712,WorkerNames,0)),"?"))</f>
        <v/>
      </c>
      <c r="J712" s="18" t="str">
        <f aca="false">IF($B712="","",$B712-WEEKDAY($B712,2)+1)</f>
        <v/>
      </c>
      <c r="K712" s="28" t="str">
        <f aca="false">IF(OR($I712="",$I712="?",$D712&lt;&gt;"Advance",$B712=""),"",$I712&amp;"|"&amp;$J712&amp;"|"&amp;COUNTIFS($I$6:$I712,$I712,$J$6:$J712,$J712,$D$6:$D712,"Advance"))</f>
        <v/>
      </c>
      <c r="L712" s="29" t="str">
        <f aca="false">IF(OR($I712="",$I712="?",$B712=""),"",SUMPRODUCT((Weeks!$A$6:$A$58&lt;=$J712)*(Weeks!$Z$4:$AK$4=$I712)*Weeks!$Z$6:$AK$58)-SUMIFS($E$6:$E$1005,$I$6:$I$1005,$I712,$B$6:$B$1005,"&lt;="&amp;$B712))</f>
        <v/>
      </c>
      <c r="M712" s="19" t="str">
        <f aca="false">IF($B712&amp;$C712&amp;$D712&amp;$E712="","",IF($B712="","missing date",IF($C712="","missing worker",IF($I712="?","unknown worker - was the name changed on Workers?",IF($D712="","missing type",IF(N($E712)=0,"missing amount",IF(AND($E712&lt;0,$D712&lt;&gt;"Correction"),"negative amount - use a Correction to undo",IF(OR($B712&lt;Weeks!$A$6,$B712&gt;Weeks!$B$58),"date outside this workbook's year",IF(AND($D712="Advance",N($L712)&lt;0),"Warning: more than earned so far - worker now owes "&amp;ROUND(-$L712,0),"")))))))))</f>
        <v/>
      </c>
    </row>
    <row r="713" customFormat="false" ht="15" hidden="false" customHeight="false" outlineLevel="0" collapsed="false">
      <c r="A713" s="24" t="str">
        <f aca="false">IF($B713="","",ROW()-5)</f>
        <v/>
      </c>
      <c r="B713" s="25"/>
      <c r="C713" s="20"/>
      <c r="D713" s="26"/>
      <c r="E713" s="27"/>
      <c r="F713" s="20"/>
      <c r="G713" s="20"/>
      <c r="H713" s="26"/>
      <c r="I713" s="24" t="str">
        <f aca="false">IF($C713="","",IFERROR(INDEX(WorkerIDs,MATCH($C713,WorkerNames,0)),"?"))</f>
        <v/>
      </c>
      <c r="J713" s="18" t="str">
        <f aca="false">IF($B713="","",$B713-WEEKDAY($B713,2)+1)</f>
        <v/>
      </c>
      <c r="K713" s="28" t="str">
        <f aca="false">IF(OR($I713="",$I713="?",$D713&lt;&gt;"Advance",$B713=""),"",$I713&amp;"|"&amp;$J713&amp;"|"&amp;COUNTIFS($I$6:$I713,$I713,$J$6:$J713,$J713,$D$6:$D713,"Advance"))</f>
        <v/>
      </c>
      <c r="L713" s="29" t="str">
        <f aca="false">IF(OR($I713="",$I713="?",$B713=""),"",SUMPRODUCT((Weeks!$A$6:$A$58&lt;=$J713)*(Weeks!$Z$4:$AK$4=$I713)*Weeks!$Z$6:$AK$58)-SUMIFS($E$6:$E$1005,$I$6:$I$1005,$I713,$B$6:$B$1005,"&lt;="&amp;$B713))</f>
        <v/>
      </c>
      <c r="M713" s="19" t="str">
        <f aca="false">IF($B713&amp;$C713&amp;$D713&amp;$E713="","",IF($B713="","missing date",IF($C713="","missing worker",IF($I713="?","unknown worker - was the name changed on Workers?",IF($D713="","missing type",IF(N($E713)=0,"missing amount",IF(AND($E713&lt;0,$D713&lt;&gt;"Correction"),"negative amount - use a Correction to undo",IF(OR($B713&lt;Weeks!$A$6,$B713&gt;Weeks!$B$58),"date outside this workbook's year",IF(AND($D713="Advance",N($L713)&lt;0),"Warning: more than earned so far - worker now owes "&amp;ROUND(-$L713,0),"")))))))))</f>
        <v/>
      </c>
    </row>
    <row r="714" customFormat="false" ht="15" hidden="false" customHeight="false" outlineLevel="0" collapsed="false">
      <c r="A714" s="24" t="str">
        <f aca="false">IF($B714="","",ROW()-5)</f>
        <v/>
      </c>
      <c r="B714" s="25"/>
      <c r="C714" s="20"/>
      <c r="D714" s="26"/>
      <c r="E714" s="27"/>
      <c r="F714" s="20"/>
      <c r="G714" s="20"/>
      <c r="H714" s="26"/>
      <c r="I714" s="24" t="str">
        <f aca="false">IF($C714="","",IFERROR(INDEX(WorkerIDs,MATCH($C714,WorkerNames,0)),"?"))</f>
        <v/>
      </c>
      <c r="J714" s="18" t="str">
        <f aca="false">IF($B714="","",$B714-WEEKDAY($B714,2)+1)</f>
        <v/>
      </c>
      <c r="K714" s="28" t="str">
        <f aca="false">IF(OR($I714="",$I714="?",$D714&lt;&gt;"Advance",$B714=""),"",$I714&amp;"|"&amp;$J714&amp;"|"&amp;COUNTIFS($I$6:$I714,$I714,$J$6:$J714,$J714,$D$6:$D714,"Advance"))</f>
        <v/>
      </c>
      <c r="L714" s="29" t="str">
        <f aca="false">IF(OR($I714="",$I714="?",$B714=""),"",SUMPRODUCT((Weeks!$A$6:$A$58&lt;=$J714)*(Weeks!$Z$4:$AK$4=$I714)*Weeks!$Z$6:$AK$58)-SUMIFS($E$6:$E$1005,$I$6:$I$1005,$I714,$B$6:$B$1005,"&lt;="&amp;$B714))</f>
        <v/>
      </c>
      <c r="M714" s="19" t="str">
        <f aca="false">IF($B714&amp;$C714&amp;$D714&amp;$E714="","",IF($B714="","missing date",IF($C714="","missing worker",IF($I714="?","unknown worker - was the name changed on Workers?",IF($D714="","missing type",IF(N($E714)=0,"missing amount",IF(AND($E714&lt;0,$D714&lt;&gt;"Correction"),"negative amount - use a Correction to undo",IF(OR($B714&lt;Weeks!$A$6,$B714&gt;Weeks!$B$58),"date outside this workbook's year",IF(AND($D714="Advance",N($L714)&lt;0),"Warning: more than earned so far - worker now owes "&amp;ROUND(-$L714,0),"")))))))))</f>
        <v/>
      </c>
    </row>
    <row r="715" customFormat="false" ht="15" hidden="false" customHeight="false" outlineLevel="0" collapsed="false">
      <c r="A715" s="24" t="str">
        <f aca="false">IF($B715="","",ROW()-5)</f>
        <v/>
      </c>
      <c r="B715" s="25"/>
      <c r="C715" s="20"/>
      <c r="D715" s="26"/>
      <c r="E715" s="27"/>
      <c r="F715" s="20"/>
      <c r="G715" s="20"/>
      <c r="H715" s="26"/>
      <c r="I715" s="24" t="str">
        <f aca="false">IF($C715="","",IFERROR(INDEX(WorkerIDs,MATCH($C715,WorkerNames,0)),"?"))</f>
        <v/>
      </c>
      <c r="J715" s="18" t="str">
        <f aca="false">IF($B715="","",$B715-WEEKDAY($B715,2)+1)</f>
        <v/>
      </c>
      <c r="K715" s="28" t="str">
        <f aca="false">IF(OR($I715="",$I715="?",$D715&lt;&gt;"Advance",$B715=""),"",$I715&amp;"|"&amp;$J715&amp;"|"&amp;COUNTIFS($I$6:$I715,$I715,$J$6:$J715,$J715,$D$6:$D715,"Advance"))</f>
        <v/>
      </c>
      <c r="L715" s="29" t="str">
        <f aca="false">IF(OR($I715="",$I715="?",$B715=""),"",SUMPRODUCT((Weeks!$A$6:$A$58&lt;=$J715)*(Weeks!$Z$4:$AK$4=$I715)*Weeks!$Z$6:$AK$58)-SUMIFS($E$6:$E$1005,$I$6:$I$1005,$I715,$B$6:$B$1005,"&lt;="&amp;$B715))</f>
        <v/>
      </c>
      <c r="M715" s="19" t="str">
        <f aca="false">IF($B715&amp;$C715&amp;$D715&amp;$E715="","",IF($B715="","missing date",IF($C715="","missing worker",IF($I715="?","unknown worker - was the name changed on Workers?",IF($D715="","missing type",IF(N($E715)=0,"missing amount",IF(AND($E715&lt;0,$D715&lt;&gt;"Correction"),"negative amount - use a Correction to undo",IF(OR($B715&lt;Weeks!$A$6,$B715&gt;Weeks!$B$58),"date outside this workbook's year",IF(AND($D715="Advance",N($L715)&lt;0),"Warning: more than earned so far - worker now owes "&amp;ROUND(-$L715,0),"")))))))))</f>
        <v/>
      </c>
    </row>
    <row r="716" customFormat="false" ht="15" hidden="false" customHeight="false" outlineLevel="0" collapsed="false">
      <c r="A716" s="24" t="str">
        <f aca="false">IF($B716="","",ROW()-5)</f>
        <v/>
      </c>
      <c r="B716" s="25"/>
      <c r="C716" s="20"/>
      <c r="D716" s="26"/>
      <c r="E716" s="27"/>
      <c r="F716" s="20"/>
      <c r="G716" s="20"/>
      <c r="H716" s="26"/>
      <c r="I716" s="24" t="str">
        <f aca="false">IF($C716="","",IFERROR(INDEX(WorkerIDs,MATCH($C716,WorkerNames,0)),"?"))</f>
        <v/>
      </c>
      <c r="J716" s="18" t="str">
        <f aca="false">IF($B716="","",$B716-WEEKDAY($B716,2)+1)</f>
        <v/>
      </c>
      <c r="K716" s="28" t="str">
        <f aca="false">IF(OR($I716="",$I716="?",$D716&lt;&gt;"Advance",$B716=""),"",$I716&amp;"|"&amp;$J716&amp;"|"&amp;COUNTIFS($I$6:$I716,$I716,$J$6:$J716,$J716,$D$6:$D716,"Advance"))</f>
        <v/>
      </c>
      <c r="L716" s="29" t="str">
        <f aca="false">IF(OR($I716="",$I716="?",$B716=""),"",SUMPRODUCT((Weeks!$A$6:$A$58&lt;=$J716)*(Weeks!$Z$4:$AK$4=$I716)*Weeks!$Z$6:$AK$58)-SUMIFS($E$6:$E$1005,$I$6:$I$1005,$I716,$B$6:$B$1005,"&lt;="&amp;$B716))</f>
        <v/>
      </c>
      <c r="M716" s="19" t="str">
        <f aca="false">IF($B716&amp;$C716&amp;$D716&amp;$E716="","",IF($B716="","missing date",IF($C716="","missing worker",IF($I716="?","unknown worker - was the name changed on Workers?",IF($D716="","missing type",IF(N($E716)=0,"missing amount",IF(AND($E716&lt;0,$D716&lt;&gt;"Correction"),"negative amount - use a Correction to undo",IF(OR($B716&lt;Weeks!$A$6,$B716&gt;Weeks!$B$58),"date outside this workbook's year",IF(AND($D716="Advance",N($L716)&lt;0),"Warning: more than earned so far - worker now owes "&amp;ROUND(-$L716,0),"")))))))))</f>
        <v/>
      </c>
    </row>
    <row r="717" customFormat="false" ht="15" hidden="false" customHeight="false" outlineLevel="0" collapsed="false">
      <c r="A717" s="24" t="str">
        <f aca="false">IF($B717="","",ROW()-5)</f>
        <v/>
      </c>
      <c r="B717" s="25"/>
      <c r="C717" s="20"/>
      <c r="D717" s="26"/>
      <c r="E717" s="27"/>
      <c r="F717" s="20"/>
      <c r="G717" s="20"/>
      <c r="H717" s="26"/>
      <c r="I717" s="24" t="str">
        <f aca="false">IF($C717="","",IFERROR(INDEX(WorkerIDs,MATCH($C717,WorkerNames,0)),"?"))</f>
        <v/>
      </c>
      <c r="J717" s="18" t="str">
        <f aca="false">IF($B717="","",$B717-WEEKDAY($B717,2)+1)</f>
        <v/>
      </c>
      <c r="K717" s="28" t="str">
        <f aca="false">IF(OR($I717="",$I717="?",$D717&lt;&gt;"Advance",$B717=""),"",$I717&amp;"|"&amp;$J717&amp;"|"&amp;COUNTIFS($I$6:$I717,$I717,$J$6:$J717,$J717,$D$6:$D717,"Advance"))</f>
        <v/>
      </c>
      <c r="L717" s="29" t="str">
        <f aca="false">IF(OR($I717="",$I717="?",$B717=""),"",SUMPRODUCT((Weeks!$A$6:$A$58&lt;=$J717)*(Weeks!$Z$4:$AK$4=$I717)*Weeks!$Z$6:$AK$58)-SUMIFS($E$6:$E$1005,$I$6:$I$1005,$I717,$B$6:$B$1005,"&lt;="&amp;$B717))</f>
        <v/>
      </c>
      <c r="M717" s="19" t="str">
        <f aca="false">IF($B717&amp;$C717&amp;$D717&amp;$E717="","",IF($B717="","missing date",IF($C717="","missing worker",IF($I717="?","unknown worker - was the name changed on Workers?",IF($D717="","missing type",IF(N($E717)=0,"missing amount",IF(AND($E717&lt;0,$D717&lt;&gt;"Correction"),"negative amount - use a Correction to undo",IF(OR($B717&lt;Weeks!$A$6,$B717&gt;Weeks!$B$58),"date outside this workbook's year",IF(AND($D717="Advance",N($L717)&lt;0),"Warning: more than earned so far - worker now owes "&amp;ROUND(-$L717,0),"")))))))))</f>
        <v/>
      </c>
    </row>
    <row r="718" customFormat="false" ht="15" hidden="false" customHeight="false" outlineLevel="0" collapsed="false">
      <c r="A718" s="24" t="str">
        <f aca="false">IF($B718="","",ROW()-5)</f>
        <v/>
      </c>
      <c r="B718" s="25"/>
      <c r="C718" s="20"/>
      <c r="D718" s="26"/>
      <c r="E718" s="27"/>
      <c r="F718" s="20"/>
      <c r="G718" s="20"/>
      <c r="H718" s="26"/>
      <c r="I718" s="24" t="str">
        <f aca="false">IF($C718="","",IFERROR(INDEX(WorkerIDs,MATCH($C718,WorkerNames,0)),"?"))</f>
        <v/>
      </c>
      <c r="J718" s="18" t="str">
        <f aca="false">IF($B718="","",$B718-WEEKDAY($B718,2)+1)</f>
        <v/>
      </c>
      <c r="K718" s="28" t="str">
        <f aca="false">IF(OR($I718="",$I718="?",$D718&lt;&gt;"Advance",$B718=""),"",$I718&amp;"|"&amp;$J718&amp;"|"&amp;COUNTIFS($I$6:$I718,$I718,$J$6:$J718,$J718,$D$6:$D718,"Advance"))</f>
        <v/>
      </c>
      <c r="L718" s="29" t="str">
        <f aca="false">IF(OR($I718="",$I718="?",$B718=""),"",SUMPRODUCT((Weeks!$A$6:$A$58&lt;=$J718)*(Weeks!$Z$4:$AK$4=$I718)*Weeks!$Z$6:$AK$58)-SUMIFS($E$6:$E$1005,$I$6:$I$1005,$I718,$B$6:$B$1005,"&lt;="&amp;$B718))</f>
        <v/>
      </c>
      <c r="M718" s="19" t="str">
        <f aca="false">IF($B718&amp;$C718&amp;$D718&amp;$E718="","",IF($B718="","missing date",IF($C718="","missing worker",IF($I718="?","unknown worker - was the name changed on Workers?",IF($D718="","missing type",IF(N($E718)=0,"missing amount",IF(AND($E718&lt;0,$D718&lt;&gt;"Correction"),"negative amount - use a Correction to undo",IF(OR($B718&lt;Weeks!$A$6,$B718&gt;Weeks!$B$58),"date outside this workbook's year",IF(AND($D718="Advance",N($L718)&lt;0),"Warning: more than earned so far - worker now owes "&amp;ROUND(-$L718,0),"")))))))))</f>
        <v/>
      </c>
    </row>
    <row r="719" customFormat="false" ht="15" hidden="false" customHeight="false" outlineLevel="0" collapsed="false">
      <c r="A719" s="24" t="str">
        <f aca="false">IF($B719="","",ROW()-5)</f>
        <v/>
      </c>
      <c r="B719" s="25"/>
      <c r="C719" s="20"/>
      <c r="D719" s="26"/>
      <c r="E719" s="27"/>
      <c r="F719" s="20"/>
      <c r="G719" s="20"/>
      <c r="H719" s="26"/>
      <c r="I719" s="24" t="str">
        <f aca="false">IF($C719="","",IFERROR(INDEX(WorkerIDs,MATCH($C719,WorkerNames,0)),"?"))</f>
        <v/>
      </c>
      <c r="J719" s="18" t="str">
        <f aca="false">IF($B719="","",$B719-WEEKDAY($B719,2)+1)</f>
        <v/>
      </c>
      <c r="K719" s="28" t="str">
        <f aca="false">IF(OR($I719="",$I719="?",$D719&lt;&gt;"Advance",$B719=""),"",$I719&amp;"|"&amp;$J719&amp;"|"&amp;COUNTIFS($I$6:$I719,$I719,$J$6:$J719,$J719,$D$6:$D719,"Advance"))</f>
        <v/>
      </c>
      <c r="L719" s="29" t="str">
        <f aca="false">IF(OR($I719="",$I719="?",$B719=""),"",SUMPRODUCT((Weeks!$A$6:$A$58&lt;=$J719)*(Weeks!$Z$4:$AK$4=$I719)*Weeks!$Z$6:$AK$58)-SUMIFS($E$6:$E$1005,$I$6:$I$1005,$I719,$B$6:$B$1005,"&lt;="&amp;$B719))</f>
        <v/>
      </c>
      <c r="M719" s="19" t="str">
        <f aca="false">IF($B719&amp;$C719&amp;$D719&amp;$E719="","",IF($B719="","missing date",IF($C719="","missing worker",IF($I719="?","unknown worker - was the name changed on Workers?",IF($D719="","missing type",IF(N($E719)=0,"missing amount",IF(AND($E719&lt;0,$D719&lt;&gt;"Correction"),"negative amount - use a Correction to undo",IF(OR($B719&lt;Weeks!$A$6,$B719&gt;Weeks!$B$58),"date outside this workbook's year",IF(AND($D719="Advance",N($L719)&lt;0),"Warning: more than earned so far - worker now owes "&amp;ROUND(-$L719,0),"")))))))))</f>
        <v/>
      </c>
    </row>
    <row r="720" customFormat="false" ht="15" hidden="false" customHeight="false" outlineLevel="0" collapsed="false">
      <c r="A720" s="24" t="str">
        <f aca="false">IF($B720="","",ROW()-5)</f>
        <v/>
      </c>
      <c r="B720" s="25"/>
      <c r="C720" s="20"/>
      <c r="D720" s="26"/>
      <c r="E720" s="27"/>
      <c r="F720" s="20"/>
      <c r="G720" s="20"/>
      <c r="H720" s="26"/>
      <c r="I720" s="24" t="str">
        <f aca="false">IF($C720="","",IFERROR(INDEX(WorkerIDs,MATCH($C720,WorkerNames,0)),"?"))</f>
        <v/>
      </c>
      <c r="J720" s="18" t="str">
        <f aca="false">IF($B720="","",$B720-WEEKDAY($B720,2)+1)</f>
        <v/>
      </c>
      <c r="K720" s="28" t="str">
        <f aca="false">IF(OR($I720="",$I720="?",$D720&lt;&gt;"Advance",$B720=""),"",$I720&amp;"|"&amp;$J720&amp;"|"&amp;COUNTIFS($I$6:$I720,$I720,$J$6:$J720,$J720,$D$6:$D720,"Advance"))</f>
        <v/>
      </c>
      <c r="L720" s="29" t="str">
        <f aca="false">IF(OR($I720="",$I720="?",$B720=""),"",SUMPRODUCT((Weeks!$A$6:$A$58&lt;=$J720)*(Weeks!$Z$4:$AK$4=$I720)*Weeks!$Z$6:$AK$58)-SUMIFS($E$6:$E$1005,$I$6:$I$1005,$I720,$B$6:$B$1005,"&lt;="&amp;$B720))</f>
        <v/>
      </c>
      <c r="M720" s="19" t="str">
        <f aca="false">IF($B720&amp;$C720&amp;$D720&amp;$E720="","",IF($B720="","missing date",IF($C720="","missing worker",IF($I720="?","unknown worker - was the name changed on Workers?",IF($D720="","missing type",IF(N($E720)=0,"missing amount",IF(AND($E720&lt;0,$D720&lt;&gt;"Correction"),"negative amount - use a Correction to undo",IF(OR($B720&lt;Weeks!$A$6,$B720&gt;Weeks!$B$58),"date outside this workbook's year",IF(AND($D720="Advance",N($L720)&lt;0),"Warning: more than earned so far - worker now owes "&amp;ROUND(-$L720,0),"")))))))))</f>
        <v/>
      </c>
    </row>
    <row r="721" customFormat="false" ht="15" hidden="false" customHeight="false" outlineLevel="0" collapsed="false">
      <c r="A721" s="24" t="str">
        <f aca="false">IF($B721="","",ROW()-5)</f>
        <v/>
      </c>
      <c r="B721" s="25"/>
      <c r="C721" s="20"/>
      <c r="D721" s="26"/>
      <c r="E721" s="27"/>
      <c r="F721" s="20"/>
      <c r="G721" s="20"/>
      <c r="H721" s="26"/>
      <c r="I721" s="24" t="str">
        <f aca="false">IF($C721="","",IFERROR(INDEX(WorkerIDs,MATCH($C721,WorkerNames,0)),"?"))</f>
        <v/>
      </c>
      <c r="J721" s="18" t="str">
        <f aca="false">IF($B721="","",$B721-WEEKDAY($B721,2)+1)</f>
        <v/>
      </c>
      <c r="K721" s="28" t="str">
        <f aca="false">IF(OR($I721="",$I721="?",$D721&lt;&gt;"Advance",$B721=""),"",$I721&amp;"|"&amp;$J721&amp;"|"&amp;COUNTIFS($I$6:$I721,$I721,$J$6:$J721,$J721,$D$6:$D721,"Advance"))</f>
        <v/>
      </c>
      <c r="L721" s="29" t="str">
        <f aca="false">IF(OR($I721="",$I721="?",$B721=""),"",SUMPRODUCT((Weeks!$A$6:$A$58&lt;=$J721)*(Weeks!$Z$4:$AK$4=$I721)*Weeks!$Z$6:$AK$58)-SUMIFS($E$6:$E$1005,$I$6:$I$1005,$I721,$B$6:$B$1005,"&lt;="&amp;$B721))</f>
        <v/>
      </c>
      <c r="M721" s="19" t="str">
        <f aca="false">IF($B721&amp;$C721&amp;$D721&amp;$E721="","",IF($B721="","missing date",IF($C721="","missing worker",IF($I721="?","unknown worker - was the name changed on Workers?",IF($D721="","missing type",IF(N($E721)=0,"missing amount",IF(AND($E721&lt;0,$D721&lt;&gt;"Correction"),"negative amount - use a Correction to undo",IF(OR($B721&lt;Weeks!$A$6,$B721&gt;Weeks!$B$58),"date outside this workbook's year",IF(AND($D721="Advance",N($L721)&lt;0),"Warning: more than earned so far - worker now owes "&amp;ROUND(-$L721,0),"")))))))))</f>
        <v/>
      </c>
    </row>
    <row r="722" customFormat="false" ht="15" hidden="false" customHeight="false" outlineLevel="0" collapsed="false">
      <c r="A722" s="24" t="str">
        <f aca="false">IF($B722="","",ROW()-5)</f>
        <v/>
      </c>
      <c r="B722" s="25"/>
      <c r="C722" s="20"/>
      <c r="D722" s="26"/>
      <c r="E722" s="27"/>
      <c r="F722" s="20"/>
      <c r="G722" s="20"/>
      <c r="H722" s="26"/>
      <c r="I722" s="24" t="str">
        <f aca="false">IF($C722="","",IFERROR(INDEX(WorkerIDs,MATCH($C722,WorkerNames,0)),"?"))</f>
        <v/>
      </c>
      <c r="J722" s="18" t="str">
        <f aca="false">IF($B722="","",$B722-WEEKDAY($B722,2)+1)</f>
        <v/>
      </c>
      <c r="K722" s="28" t="str">
        <f aca="false">IF(OR($I722="",$I722="?",$D722&lt;&gt;"Advance",$B722=""),"",$I722&amp;"|"&amp;$J722&amp;"|"&amp;COUNTIFS($I$6:$I722,$I722,$J$6:$J722,$J722,$D$6:$D722,"Advance"))</f>
        <v/>
      </c>
      <c r="L722" s="29" t="str">
        <f aca="false">IF(OR($I722="",$I722="?",$B722=""),"",SUMPRODUCT((Weeks!$A$6:$A$58&lt;=$J722)*(Weeks!$Z$4:$AK$4=$I722)*Weeks!$Z$6:$AK$58)-SUMIFS($E$6:$E$1005,$I$6:$I$1005,$I722,$B$6:$B$1005,"&lt;="&amp;$B722))</f>
        <v/>
      </c>
      <c r="M722" s="19" t="str">
        <f aca="false">IF($B722&amp;$C722&amp;$D722&amp;$E722="","",IF($B722="","missing date",IF($C722="","missing worker",IF($I722="?","unknown worker - was the name changed on Workers?",IF($D722="","missing type",IF(N($E722)=0,"missing amount",IF(AND($E722&lt;0,$D722&lt;&gt;"Correction"),"negative amount - use a Correction to undo",IF(OR($B722&lt;Weeks!$A$6,$B722&gt;Weeks!$B$58),"date outside this workbook's year",IF(AND($D722="Advance",N($L722)&lt;0),"Warning: more than earned so far - worker now owes "&amp;ROUND(-$L722,0),"")))))))))</f>
        <v/>
      </c>
    </row>
    <row r="723" customFormat="false" ht="15" hidden="false" customHeight="false" outlineLevel="0" collapsed="false">
      <c r="A723" s="24" t="str">
        <f aca="false">IF($B723="","",ROW()-5)</f>
        <v/>
      </c>
      <c r="B723" s="25"/>
      <c r="C723" s="20"/>
      <c r="D723" s="26"/>
      <c r="E723" s="27"/>
      <c r="F723" s="20"/>
      <c r="G723" s="20"/>
      <c r="H723" s="26"/>
      <c r="I723" s="24" t="str">
        <f aca="false">IF($C723="","",IFERROR(INDEX(WorkerIDs,MATCH($C723,WorkerNames,0)),"?"))</f>
        <v/>
      </c>
      <c r="J723" s="18" t="str">
        <f aca="false">IF($B723="","",$B723-WEEKDAY($B723,2)+1)</f>
        <v/>
      </c>
      <c r="K723" s="28" t="str">
        <f aca="false">IF(OR($I723="",$I723="?",$D723&lt;&gt;"Advance",$B723=""),"",$I723&amp;"|"&amp;$J723&amp;"|"&amp;COUNTIFS($I$6:$I723,$I723,$J$6:$J723,$J723,$D$6:$D723,"Advance"))</f>
        <v/>
      </c>
      <c r="L723" s="29" t="str">
        <f aca="false">IF(OR($I723="",$I723="?",$B723=""),"",SUMPRODUCT((Weeks!$A$6:$A$58&lt;=$J723)*(Weeks!$Z$4:$AK$4=$I723)*Weeks!$Z$6:$AK$58)-SUMIFS($E$6:$E$1005,$I$6:$I$1005,$I723,$B$6:$B$1005,"&lt;="&amp;$B723))</f>
        <v/>
      </c>
      <c r="M723" s="19" t="str">
        <f aca="false">IF($B723&amp;$C723&amp;$D723&amp;$E723="","",IF($B723="","missing date",IF($C723="","missing worker",IF($I723="?","unknown worker - was the name changed on Workers?",IF($D723="","missing type",IF(N($E723)=0,"missing amount",IF(AND($E723&lt;0,$D723&lt;&gt;"Correction"),"negative amount - use a Correction to undo",IF(OR($B723&lt;Weeks!$A$6,$B723&gt;Weeks!$B$58),"date outside this workbook's year",IF(AND($D723="Advance",N($L723)&lt;0),"Warning: more than earned so far - worker now owes "&amp;ROUND(-$L723,0),"")))))))))</f>
        <v/>
      </c>
    </row>
    <row r="724" customFormat="false" ht="15" hidden="false" customHeight="false" outlineLevel="0" collapsed="false">
      <c r="A724" s="24" t="str">
        <f aca="false">IF($B724="","",ROW()-5)</f>
        <v/>
      </c>
      <c r="B724" s="25"/>
      <c r="C724" s="20"/>
      <c r="D724" s="26"/>
      <c r="E724" s="27"/>
      <c r="F724" s="20"/>
      <c r="G724" s="20"/>
      <c r="H724" s="26"/>
      <c r="I724" s="24" t="str">
        <f aca="false">IF($C724="","",IFERROR(INDEX(WorkerIDs,MATCH($C724,WorkerNames,0)),"?"))</f>
        <v/>
      </c>
      <c r="J724" s="18" t="str">
        <f aca="false">IF($B724="","",$B724-WEEKDAY($B724,2)+1)</f>
        <v/>
      </c>
      <c r="K724" s="28" t="str">
        <f aca="false">IF(OR($I724="",$I724="?",$D724&lt;&gt;"Advance",$B724=""),"",$I724&amp;"|"&amp;$J724&amp;"|"&amp;COUNTIFS($I$6:$I724,$I724,$J$6:$J724,$J724,$D$6:$D724,"Advance"))</f>
        <v/>
      </c>
      <c r="L724" s="29" t="str">
        <f aca="false">IF(OR($I724="",$I724="?",$B724=""),"",SUMPRODUCT((Weeks!$A$6:$A$58&lt;=$J724)*(Weeks!$Z$4:$AK$4=$I724)*Weeks!$Z$6:$AK$58)-SUMIFS($E$6:$E$1005,$I$6:$I$1005,$I724,$B$6:$B$1005,"&lt;="&amp;$B724))</f>
        <v/>
      </c>
      <c r="M724" s="19" t="str">
        <f aca="false">IF($B724&amp;$C724&amp;$D724&amp;$E724="","",IF($B724="","missing date",IF($C724="","missing worker",IF($I724="?","unknown worker - was the name changed on Workers?",IF($D724="","missing type",IF(N($E724)=0,"missing amount",IF(AND($E724&lt;0,$D724&lt;&gt;"Correction"),"negative amount - use a Correction to undo",IF(OR($B724&lt;Weeks!$A$6,$B724&gt;Weeks!$B$58),"date outside this workbook's year",IF(AND($D724="Advance",N($L724)&lt;0),"Warning: more than earned so far - worker now owes "&amp;ROUND(-$L724,0),"")))))))))</f>
        <v/>
      </c>
    </row>
    <row r="725" customFormat="false" ht="15" hidden="false" customHeight="false" outlineLevel="0" collapsed="false">
      <c r="A725" s="24" t="str">
        <f aca="false">IF($B725="","",ROW()-5)</f>
        <v/>
      </c>
      <c r="B725" s="25"/>
      <c r="C725" s="20"/>
      <c r="D725" s="26"/>
      <c r="E725" s="27"/>
      <c r="F725" s="20"/>
      <c r="G725" s="20"/>
      <c r="H725" s="26"/>
      <c r="I725" s="24" t="str">
        <f aca="false">IF($C725="","",IFERROR(INDEX(WorkerIDs,MATCH($C725,WorkerNames,0)),"?"))</f>
        <v/>
      </c>
      <c r="J725" s="18" t="str">
        <f aca="false">IF($B725="","",$B725-WEEKDAY($B725,2)+1)</f>
        <v/>
      </c>
      <c r="K725" s="28" t="str">
        <f aca="false">IF(OR($I725="",$I725="?",$D725&lt;&gt;"Advance",$B725=""),"",$I725&amp;"|"&amp;$J725&amp;"|"&amp;COUNTIFS($I$6:$I725,$I725,$J$6:$J725,$J725,$D$6:$D725,"Advance"))</f>
        <v/>
      </c>
      <c r="L725" s="29" t="str">
        <f aca="false">IF(OR($I725="",$I725="?",$B725=""),"",SUMPRODUCT((Weeks!$A$6:$A$58&lt;=$J725)*(Weeks!$Z$4:$AK$4=$I725)*Weeks!$Z$6:$AK$58)-SUMIFS($E$6:$E$1005,$I$6:$I$1005,$I725,$B$6:$B$1005,"&lt;="&amp;$B725))</f>
        <v/>
      </c>
      <c r="M725" s="19" t="str">
        <f aca="false">IF($B725&amp;$C725&amp;$D725&amp;$E725="","",IF($B725="","missing date",IF($C725="","missing worker",IF($I725="?","unknown worker - was the name changed on Workers?",IF($D725="","missing type",IF(N($E725)=0,"missing amount",IF(AND($E725&lt;0,$D725&lt;&gt;"Correction"),"negative amount - use a Correction to undo",IF(OR($B725&lt;Weeks!$A$6,$B725&gt;Weeks!$B$58),"date outside this workbook's year",IF(AND($D725="Advance",N($L725)&lt;0),"Warning: more than earned so far - worker now owes "&amp;ROUND(-$L725,0),"")))))))))</f>
        <v/>
      </c>
    </row>
    <row r="726" customFormat="false" ht="15" hidden="false" customHeight="false" outlineLevel="0" collapsed="false">
      <c r="A726" s="24" t="str">
        <f aca="false">IF($B726="","",ROW()-5)</f>
        <v/>
      </c>
      <c r="B726" s="25"/>
      <c r="C726" s="20"/>
      <c r="D726" s="26"/>
      <c r="E726" s="27"/>
      <c r="F726" s="20"/>
      <c r="G726" s="20"/>
      <c r="H726" s="26"/>
      <c r="I726" s="24" t="str">
        <f aca="false">IF($C726="","",IFERROR(INDEX(WorkerIDs,MATCH($C726,WorkerNames,0)),"?"))</f>
        <v/>
      </c>
      <c r="J726" s="18" t="str">
        <f aca="false">IF($B726="","",$B726-WEEKDAY($B726,2)+1)</f>
        <v/>
      </c>
      <c r="K726" s="28" t="str">
        <f aca="false">IF(OR($I726="",$I726="?",$D726&lt;&gt;"Advance",$B726=""),"",$I726&amp;"|"&amp;$J726&amp;"|"&amp;COUNTIFS($I$6:$I726,$I726,$J$6:$J726,$J726,$D$6:$D726,"Advance"))</f>
        <v/>
      </c>
      <c r="L726" s="29" t="str">
        <f aca="false">IF(OR($I726="",$I726="?",$B726=""),"",SUMPRODUCT((Weeks!$A$6:$A$58&lt;=$J726)*(Weeks!$Z$4:$AK$4=$I726)*Weeks!$Z$6:$AK$58)-SUMIFS($E$6:$E$1005,$I$6:$I$1005,$I726,$B$6:$B$1005,"&lt;="&amp;$B726))</f>
        <v/>
      </c>
      <c r="M726" s="19" t="str">
        <f aca="false">IF($B726&amp;$C726&amp;$D726&amp;$E726="","",IF($B726="","missing date",IF($C726="","missing worker",IF($I726="?","unknown worker - was the name changed on Workers?",IF($D726="","missing type",IF(N($E726)=0,"missing amount",IF(AND($E726&lt;0,$D726&lt;&gt;"Correction"),"negative amount - use a Correction to undo",IF(OR($B726&lt;Weeks!$A$6,$B726&gt;Weeks!$B$58),"date outside this workbook's year",IF(AND($D726="Advance",N($L726)&lt;0),"Warning: more than earned so far - worker now owes "&amp;ROUND(-$L726,0),"")))))))))</f>
        <v/>
      </c>
    </row>
    <row r="727" customFormat="false" ht="15" hidden="false" customHeight="false" outlineLevel="0" collapsed="false">
      <c r="A727" s="24" t="str">
        <f aca="false">IF($B727="","",ROW()-5)</f>
        <v/>
      </c>
      <c r="B727" s="25"/>
      <c r="C727" s="20"/>
      <c r="D727" s="26"/>
      <c r="E727" s="27"/>
      <c r="F727" s="20"/>
      <c r="G727" s="20"/>
      <c r="H727" s="26"/>
      <c r="I727" s="24" t="str">
        <f aca="false">IF($C727="","",IFERROR(INDEX(WorkerIDs,MATCH($C727,WorkerNames,0)),"?"))</f>
        <v/>
      </c>
      <c r="J727" s="18" t="str">
        <f aca="false">IF($B727="","",$B727-WEEKDAY($B727,2)+1)</f>
        <v/>
      </c>
      <c r="K727" s="28" t="str">
        <f aca="false">IF(OR($I727="",$I727="?",$D727&lt;&gt;"Advance",$B727=""),"",$I727&amp;"|"&amp;$J727&amp;"|"&amp;COUNTIFS($I$6:$I727,$I727,$J$6:$J727,$J727,$D$6:$D727,"Advance"))</f>
        <v/>
      </c>
      <c r="L727" s="29" t="str">
        <f aca="false">IF(OR($I727="",$I727="?",$B727=""),"",SUMPRODUCT((Weeks!$A$6:$A$58&lt;=$J727)*(Weeks!$Z$4:$AK$4=$I727)*Weeks!$Z$6:$AK$58)-SUMIFS($E$6:$E$1005,$I$6:$I$1005,$I727,$B$6:$B$1005,"&lt;="&amp;$B727))</f>
        <v/>
      </c>
      <c r="M727" s="19" t="str">
        <f aca="false">IF($B727&amp;$C727&amp;$D727&amp;$E727="","",IF($B727="","missing date",IF($C727="","missing worker",IF($I727="?","unknown worker - was the name changed on Workers?",IF($D727="","missing type",IF(N($E727)=0,"missing amount",IF(AND($E727&lt;0,$D727&lt;&gt;"Correction"),"negative amount - use a Correction to undo",IF(OR($B727&lt;Weeks!$A$6,$B727&gt;Weeks!$B$58),"date outside this workbook's year",IF(AND($D727="Advance",N($L727)&lt;0),"Warning: more than earned so far - worker now owes "&amp;ROUND(-$L727,0),"")))))))))</f>
        <v/>
      </c>
    </row>
    <row r="728" customFormat="false" ht="15" hidden="false" customHeight="false" outlineLevel="0" collapsed="false">
      <c r="A728" s="24" t="str">
        <f aca="false">IF($B728="","",ROW()-5)</f>
        <v/>
      </c>
      <c r="B728" s="25"/>
      <c r="C728" s="20"/>
      <c r="D728" s="26"/>
      <c r="E728" s="27"/>
      <c r="F728" s="20"/>
      <c r="G728" s="20"/>
      <c r="H728" s="26"/>
      <c r="I728" s="24" t="str">
        <f aca="false">IF($C728="","",IFERROR(INDEX(WorkerIDs,MATCH($C728,WorkerNames,0)),"?"))</f>
        <v/>
      </c>
      <c r="J728" s="18" t="str">
        <f aca="false">IF($B728="","",$B728-WEEKDAY($B728,2)+1)</f>
        <v/>
      </c>
      <c r="K728" s="28" t="str">
        <f aca="false">IF(OR($I728="",$I728="?",$D728&lt;&gt;"Advance",$B728=""),"",$I728&amp;"|"&amp;$J728&amp;"|"&amp;COUNTIFS($I$6:$I728,$I728,$J$6:$J728,$J728,$D$6:$D728,"Advance"))</f>
        <v/>
      </c>
      <c r="L728" s="29" t="str">
        <f aca="false">IF(OR($I728="",$I728="?",$B728=""),"",SUMPRODUCT((Weeks!$A$6:$A$58&lt;=$J728)*(Weeks!$Z$4:$AK$4=$I728)*Weeks!$Z$6:$AK$58)-SUMIFS($E$6:$E$1005,$I$6:$I$1005,$I728,$B$6:$B$1005,"&lt;="&amp;$B728))</f>
        <v/>
      </c>
      <c r="M728" s="19" t="str">
        <f aca="false">IF($B728&amp;$C728&amp;$D728&amp;$E728="","",IF($B728="","missing date",IF($C728="","missing worker",IF($I728="?","unknown worker - was the name changed on Workers?",IF($D728="","missing type",IF(N($E728)=0,"missing amount",IF(AND($E728&lt;0,$D728&lt;&gt;"Correction"),"negative amount - use a Correction to undo",IF(OR($B728&lt;Weeks!$A$6,$B728&gt;Weeks!$B$58),"date outside this workbook's year",IF(AND($D728="Advance",N($L728)&lt;0),"Warning: more than earned so far - worker now owes "&amp;ROUND(-$L728,0),"")))))))))</f>
        <v/>
      </c>
    </row>
    <row r="729" customFormat="false" ht="15" hidden="false" customHeight="false" outlineLevel="0" collapsed="false">
      <c r="A729" s="24" t="str">
        <f aca="false">IF($B729="","",ROW()-5)</f>
        <v/>
      </c>
      <c r="B729" s="25"/>
      <c r="C729" s="20"/>
      <c r="D729" s="26"/>
      <c r="E729" s="27"/>
      <c r="F729" s="20"/>
      <c r="G729" s="20"/>
      <c r="H729" s="26"/>
      <c r="I729" s="24" t="str">
        <f aca="false">IF($C729="","",IFERROR(INDEX(WorkerIDs,MATCH($C729,WorkerNames,0)),"?"))</f>
        <v/>
      </c>
      <c r="J729" s="18" t="str">
        <f aca="false">IF($B729="","",$B729-WEEKDAY($B729,2)+1)</f>
        <v/>
      </c>
      <c r="K729" s="28" t="str">
        <f aca="false">IF(OR($I729="",$I729="?",$D729&lt;&gt;"Advance",$B729=""),"",$I729&amp;"|"&amp;$J729&amp;"|"&amp;COUNTIFS($I$6:$I729,$I729,$J$6:$J729,$J729,$D$6:$D729,"Advance"))</f>
        <v/>
      </c>
      <c r="L729" s="29" t="str">
        <f aca="false">IF(OR($I729="",$I729="?",$B729=""),"",SUMPRODUCT((Weeks!$A$6:$A$58&lt;=$J729)*(Weeks!$Z$4:$AK$4=$I729)*Weeks!$Z$6:$AK$58)-SUMIFS($E$6:$E$1005,$I$6:$I$1005,$I729,$B$6:$B$1005,"&lt;="&amp;$B729))</f>
        <v/>
      </c>
      <c r="M729" s="19" t="str">
        <f aca="false">IF($B729&amp;$C729&amp;$D729&amp;$E729="","",IF($B729="","missing date",IF($C729="","missing worker",IF($I729="?","unknown worker - was the name changed on Workers?",IF($D729="","missing type",IF(N($E729)=0,"missing amount",IF(AND($E729&lt;0,$D729&lt;&gt;"Correction"),"negative amount - use a Correction to undo",IF(OR($B729&lt;Weeks!$A$6,$B729&gt;Weeks!$B$58),"date outside this workbook's year",IF(AND($D729="Advance",N($L729)&lt;0),"Warning: more than earned so far - worker now owes "&amp;ROUND(-$L729,0),"")))))))))</f>
        <v/>
      </c>
    </row>
    <row r="730" customFormat="false" ht="15" hidden="false" customHeight="false" outlineLevel="0" collapsed="false">
      <c r="A730" s="24" t="str">
        <f aca="false">IF($B730="","",ROW()-5)</f>
        <v/>
      </c>
      <c r="B730" s="25"/>
      <c r="C730" s="20"/>
      <c r="D730" s="26"/>
      <c r="E730" s="27"/>
      <c r="F730" s="20"/>
      <c r="G730" s="20"/>
      <c r="H730" s="26"/>
      <c r="I730" s="24" t="str">
        <f aca="false">IF($C730="","",IFERROR(INDEX(WorkerIDs,MATCH($C730,WorkerNames,0)),"?"))</f>
        <v/>
      </c>
      <c r="J730" s="18" t="str">
        <f aca="false">IF($B730="","",$B730-WEEKDAY($B730,2)+1)</f>
        <v/>
      </c>
      <c r="K730" s="28" t="str">
        <f aca="false">IF(OR($I730="",$I730="?",$D730&lt;&gt;"Advance",$B730=""),"",$I730&amp;"|"&amp;$J730&amp;"|"&amp;COUNTIFS($I$6:$I730,$I730,$J$6:$J730,$J730,$D$6:$D730,"Advance"))</f>
        <v/>
      </c>
      <c r="L730" s="29" t="str">
        <f aca="false">IF(OR($I730="",$I730="?",$B730=""),"",SUMPRODUCT((Weeks!$A$6:$A$58&lt;=$J730)*(Weeks!$Z$4:$AK$4=$I730)*Weeks!$Z$6:$AK$58)-SUMIFS($E$6:$E$1005,$I$6:$I$1005,$I730,$B$6:$B$1005,"&lt;="&amp;$B730))</f>
        <v/>
      </c>
      <c r="M730" s="19" t="str">
        <f aca="false">IF($B730&amp;$C730&amp;$D730&amp;$E730="","",IF($B730="","missing date",IF($C730="","missing worker",IF($I730="?","unknown worker - was the name changed on Workers?",IF($D730="","missing type",IF(N($E730)=0,"missing amount",IF(AND($E730&lt;0,$D730&lt;&gt;"Correction"),"negative amount - use a Correction to undo",IF(OR($B730&lt;Weeks!$A$6,$B730&gt;Weeks!$B$58),"date outside this workbook's year",IF(AND($D730="Advance",N($L730)&lt;0),"Warning: more than earned so far - worker now owes "&amp;ROUND(-$L730,0),"")))))))))</f>
        <v/>
      </c>
    </row>
    <row r="731" customFormat="false" ht="15" hidden="false" customHeight="false" outlineLevel="0" collapsed="false">
      <c r="A731" s="24" t="str">
        <f aca="false">IF($B731="","",ROW()-5)</f>
        <v/>
      </c>
      <c r="B731" s="25"/>
      <c r="C731" s="20"/>
      <c r="D731" s="26"/>
      <c r="E731" s="27"/>
      <c r="F731" s="20"/>
      <c r="G731" s="20"/>
      <c r="H731" s="26"/>
      <c r="I731" s="24" t="str">
        <f aca="false">IF($C731="","",IFERROR(INDEX(WorkerIDs,MATCH($C731,WorkerNames,0)),"?"))</f>
        <v/>
      </c>
      <c r="J731" s="18" t="str">
        <f aca="false">IF($B731="","",$B731-WEEKDAY($B731,2)+1)</f>
        <v/>
      </c>
      <c r="K731" s="28" t="str">
        <f aca="false">IF(OR($I731="",$I731="?",$D731&lt;&gt;"Advance",$B731=""),"",$I731&amp;"|"&amp;$J731&amp;"|"&amp;COUNTIFS($I$6:$I731,$I731,$J$6:$J731,$J731,$D$6:$D731,"Advance"))</f>
        <v/>
      </c>
      <c r="L731" s="29" t="str">
        <f aca="false">IF(OR($I731="",$I731="?",$B731=""),"",SUMPRODUCT((Weeks!$A$6:$A$58&lt;=$J731)*(Weeks!$Z$4:$AK$4=$I731)*Weeks!$Z$6:$AK$58)-SUMIFS($E$6:$E$1005,$I$6:$I$1005,$I731,$B$6:$B$1005,"&lt;="&amp;$B731))</f>
        <v/>
      </c>
      <c r="M731" s="19" t="str">
        <f aca="false">IF($B731&amp;$C731&amp;$D731&amp;$E731="","",IF($B731="","missing date",IF($C731="","missing worker",IF($I731="?","unknown worker - was the name changed on Workers?",IF($D731="","missing type",IF(N($E731)=0,"missing amount",IF(AND($E731&lt;0,$D731&lt;&gt;"Correction"),"negative amount - use a Correction to undo",IF(OR($B731&lt;Weeks!$A$6,$B731&gt;Weeks!$B$58),"date outside this workbook's year",IF(AND($D731="Advance",N($L731)&lt;0),"Warning: more than earned so far - worker now owes "&amp;ROUND(-$L731,0),"")))))))))</f>
        <v/>
      </c>
    </row>
    <row r="732" customFormat="false" ht="15" hidden="false" customHeight="false" outlineLevel="0" collapsed="false">
      <c r="A732" s="24" t="str">
        <f aca="false">IF($B732="","",ROW()-5)</f>
        <v/>
      </c>
      <c r="B732" s="25"/>
      <c r="C732" s="20"/>
      <c r="D732" s="26"/>
      <c r="E732" s="27"/>
      <c r="F732" s="20"/>
      <c r="G732" s="20"/>
      <c r="H732" s="26"/>
      <c r="I732" s="24" t="str">
        <f aca="false">IF($C732="","",IFERROR(INDEX(WorkerIDs,MATCH($C732,WorkerNames,0)),"?"))</f>
        <v/>
      </c>
      <c r="J732" s="18" t="str">
        <f aca="false">IF($B732="","",$B732-WEEKDAY($B732,2)+1)</f>
        <v/>
      </c>
      <c r="K732" s="28" t="str">
        <f aca="false">IF(OR($I732="",$I732="?",$D732&lt;&gt;"Advance",$B732=""),"",$I732&amp;"|"&amp;$J732&amp;"|"&amp;COUNTIFS($I$6:$I732,$I732,$J$6:$J732,$J732,$D$6:$D732,"Advance"))</f>
        <v/>
      </c>
      <c r="L732" s="29" t="str">
        <f aca="false">IF(OR($I732="",$I732="?",$B732=""),"",SUMPRODUCT((Weeks!$A$6:$A$58&lt;=$J732)*(Weeks!$Z$4:$AK$4=$I732)*Weeks!$Z$6:$AK$58)-SUMIFS($E$6:$E$1005,$I$6:$I$1005,$I732,$B$6:$B$1005,"&lt;="&amp;$B732))</f>
        <v/>
      </c>
      <c r="M732" s="19" t="str">
        <f aca="false">IF($B732&amp;$C732&amp;$D732&amp;$E732="","",IF($B732="","missing date",IF($C732="","missing worker",IF($I732="?","unknown worker - was the name changed on Workers?",IF($D732="","missing type",IF(N($E732)=0,"missing amount",IF(AND($E732&lt;0,$D732&lt;&gt;"Correction"),"negative amount - use a Correction to undo",IF(OR($B732&lt;Weeks!$A$6,$B732&gt;Weeks!$B$58),"date outside this workbook's year",IF(AND($D732="Advance",N($L732)&lt;0),"Warning: more than earned so far - worker now owes "&amp;ROUND(-$L732,0),"")))))))))</f>
        <v/>
      </c>
    </row>
    <row r="733" customFormat="false" ht="15" hidden="false" customHeight="false" outlineLevel="0" collapsed="false">
      <c r="A733" s="24" t="str">
        <f aca="false">IF($B733="","",ROW()-5)</f>
        <v/>
      </c>
      <c r="B733" s="25"/>
      <c r="C733" s="20"/>
      <c r="D733" s="26"/>
      <c r="E733" s="27"/>
      <c r="F733" s="20"/>
      <c r="G733" s="20"/>
      <c r="H733" s="26"/>
      <c r="I733" s="24" t="str">
        <f aca="false">IF($C733="","",IFERROR(INDEX(WorkerIDs,MATCH($C733,WorkerNames,0)),"?"))</f>
        <v/>
      </c>
      <c r="J733" s="18" t="str">
        <f aca="false">IF($B733="","",$B733-WEEKDAY($B733,2)+1)</f>
        <v/>
      </c>
      <c r="K733" s="28" t="str">
        <f aca="false">IF(OR($I733="",$I733="?",$D733&lt;&gt;"Advance",$B733=""),"",$I733&amp;"|"&amp;$J733&amp;"|"&amp;COUNTIFS($I$6:$I733,$I733,$J$6:$J733,$J733,$D$6:$D733,"Advance"))</f>
        <v/>
      </c>
      <c r="L733" s="29" t="str">
        <f aca="false">IF(OR($I733="",$I733="?",$B733=""),"",SUMPRODUCT((Weeks!$A$6:$A$58&lt;=$J733)*(Weeks!$Z$4:$AK$4=$I733)*Weeks!$Z$6:$AK$58)-SUMIFS($E$6:$E$1005,$I$6:$I$1005,$I733,$B$6:$B$1005,"&lt;="&amp;$B733))</f>
        <v/>
      </c>
      <c r="M733" s="19" t="str">
        <f aca="false">IF($B733&amp;$C733&amp;$D733&amp;$E733="","",IF($B733="","missing date",IF($C733="","missing worker",IF($I733="?","unknown worker - was the name changed on Workers?",IF($D733="","missing type",IF(N($E733)=0,"missing amount",IF(AND($E733&lt;0,$D733&lt;&gt;"Correction"),"negative amount - use a Correction to undo",IF(OR($B733&lt;Weeks!$A$6,$B733&gt;Weeks!$B$58),"date outside this workbook's year",IF(AND($D733="Advance",N($L733)&lt;0),"Warning: more than earned so far - worker now owes "&amp;ROUND(-$L733,0),"")))))))))</f>
        <v/>
      </c>
    </row>
    <row r="734" customFormat="false" ht="15" hidden="false" customHeight="false" outlineLevel="0" collapsed="false">
      <c r="A734" s="24" t="str">
        <f aca="false">IF($B734="","",ROW()-5)</f>
        <v/>
      </c>
      <c r="B734" s="25"/>
      <c r="C734" s="20"/>
      <c r="D734" s="26"/>
      <c r="E734" s="27"/>
      <c r="F734" s="20"/>
      <c r="G734" s="20"/>
      <c r="H734" s="26"/>
      <c r="I734" s="24" t="str">
        <f aca="false">IF($C734="","",IFERROR(INDEX(WorkerIDs,MATCH($C734,WorkerNames,0)),"?"))</f>
        <v/>
      </c>
      <c r="J734" s="18" t="str">
        <f aca="false">IF($B734="","",$B734-WEEKDAY($B734,2)+1)</f>
        <v/>
      </c>
      <c r="K734" s="28" t="str">
        <f aca="false">IF(OR($I734="",$I734="?",$D734&lt;&gt;"Advance",$B734=""),"",$I734&amp;"|"&amp;$J734&amp;"|"&amp;COUNTIFS($I$6:$I734,$I734,$J$6:$J734,$J734,$D$6:$D734,"Advance"))</f>
        <v/>
      </c>
      <c r="L734" s="29" t="str">
        <f aca="false">IF(OR($I734="",$I734="?",$B734=""),"",SUMPRODUCT((Weeks!$A$6:$A$58&lt;=$J734)*(Weeks!$Z$4:$AK$4=$I734)*Weeks!$Z$6:$AK$58)-SUMIFS($E$6:$E$1005,$I$6:$I$1005,$I734,$B$6:$B$1005,"&lt;="&amp;$B734))</f>
        <v/>
      </c>
      <c r="M734" s="19" t="str">
        <f aca="false">IF($B734&amp;$C734&amp;$D734&amp;$E734="","",IF($B734="","missing date",IF($C734="","missing worker",IF($I734="?","unknown worker - was the name changed on Workers?",IF($D734="","missing type",IF(N($E734)=0,"missing amount",IF(AND($E734&lt;0,$D734&lt;&gt;"Correction"),"negative amount - use a Correction to undo",IF(OR($B734&lt;Weeks!$A$6,$B734&gt;Weeks!$B$58),"date outside this workbook's year",IF(AND($D734="Advance",N($L734)&lt;0),"Warning: more than earned so far - worker now owes "&amp;ROUND(-$L734,0),"")))))))))</f>
        <v/>
      </c>
    </row>
    <row r="735" customFormat="false" ht="15" hidden="false" customHeight="false" outlineLevel="0" collapsed="false">
      <c r="A735" s="24" t="str">
        <f aca="false">IF($B735="","",ROW()-5)</f>
        <v/>
      </c>
      <c r="B735" s="25"/>
      <c r="C735" s="20"/>
      <c r="D735" s="26"/>
      <c r="E735" s="27"/>
      <c r="F735" s="20"/>
      <c r="G735" s="20"/>
      <c r="H735" s="26"/>
      <c r="I735" s="24" t="str">
        <f aca="false">IF($C735="","",IFERROR(INDEX(WorkerIDs,MATCH($C735,WorkerNames,0)),"?"))</f>
        <v/>
      </c>
      <c r="J735" s="18" t="str">
        <f aca="false">IF($B735="","",$B735-WEEKDAY($B735,2)+1)</f>
        <v/>
      </c>
      <c r="K735" s="28" t="str">
        <f aca="false">IF(OR($I735="",$I735="?",$D735&lt;&gt;"Advance",$B735=""),"",$I735&amp;"|"&amp;$J735&amp;"|"&amp;COUNTIFS($I$6:$I735,$I735,$J$6:$J735,$J735,$D$6:$D735,"Advance"))</f>
        <v/>
      </c>
      <c r="L735" s="29" t="str">
        <f aca="false">IF(OR($I735="",$I735="?",$B735=""),"",SUMPRODUCT((Weeks!$A$6:$A$58&lt;=$J735)*(Weeks!$Z$4:$AK$4=$I735)*Weeks!$Z$6:$AK$58)-SUMIFS($E$6:$E$1005,$I$6:$I$1005,$I735,$B$6:$B$1005,"&lt;="&amp;$B735))</f>
        <v/>
      </c>
      <c r="M735" s="19" t="str">
        <f aca="false">IF($B735&amp;$C735&amp;$D735&amp;$E735="","",IF($B735="","missing date",IF($C735="","missing worker",IF($I735="?","unknown worker - was the name changed on Workers?",IF($D735="","missing type",IF(N($E735)=0,"missing amount",IF(AND($E735&lt;0,$D735&lt;&gt;"Correction"),"negative amount - use a Correction to undo",IF(OR($B735&lt;Weeks!$A$6,$B735&gt;Weeks!$B$58),"date outside this workbook's year",IF(AND($D735="Advance",N($L735)&lt;0),"Warning: more than earned so far - worker now owes "&amp;ROUND(-$L735,0),"")))))))))</f>
        <v/>
      </c>
    </row>
    <row r="736" customFormat="false" ht="15" hidden="false" customHeight="false" outlineLevel="0" collapsed="false">
      <c r="A736" s="24" t="str">
        <f aca="false">IF($B736="","",ROW()-5)</f>
        <v/>
      </c>
      <c r="B736" s="25"/>
      <c r="C736" s="20"/>
      <c r="D736" s="26"/>
      <c r="E736" s="27"/>
      <c r="F736" s="20"/>
      <c r="G736" s="20"/>
      <c r="H736" s="26"/>
      <c r="I736" s="24" t="str">
        <f aca="false">IF($C736="","",IFERROR(INDEX(WorkerIDs,MATCH($C736,WorkerNames,0)),"?"))</f>
        <v/>
      </c>
      <c r="J736" s="18" t="str">
        <f aca="false">IF($B736="","",$B736-WEEKDAY($B736,2)+1)</f>
        <v/>
      </c>
      <c r="K736" s="28" t="str">
        <f aca="false">IF(OR($I736="",$I736="?",$D736&lt;&gt;"Advance",$B736=""),"",$I736&amp;"|"&amp;$J736&amp;"|"&amp;COUNTIFS($I$6:$I736,$I736,$J$6:$J736,$J736,$D$6:$D736,"Advance"))</f>
        <v/>
      </c>
      <c r="L736" s="29" t="str">
        <f aca="false">IF(OR($I736="",$I736="?",$B736=""),"",SUMPRODUCT((Weeks!$A$6:$A$58&lt;=$J736)*(Weeks!$Z$4:$AK$4=$I736)*Weeks!$Z$6:$AK$58)-SUMIFS($E$6:$E$1005,$I$6:$I$1005,$I736,$B$6:$B$1005,"&lt;="&amp;$B736))</f>
        <v/>
      </c>
      <c r="M736" s="19" t="str">
        <f aca="false">IF($B736&amp;$C736&amp;$D736&amp;$E736="","",IF($B736="","missing date",IF($C736="","missing worker",IF($I736="?","unknown worker - was the name changed on Workers?",IF($D736="","missing type",IF(N($E736)=0,"missing amount",IF(AND($E736&lt;0,$D736&lt;&gt;"Correction"),"negative amount - use a Correction to undo",IF(OR($B736&lt;Weeks!$A$6,$B736&gt;Weeks!$B$58),"date outside this workbook's year",IF(AND($D736="Advance",N($L736)&lt;0),"Warning: more than earned so far - worker now owes "&amp;ROUND(-$L736,0),"")))))))))</f>
        <v/>
      </c>
    </row>
    <row r="737" customFormat="false" ht="15" hidden="false" customHeight="false" outlineLevel="0" collapsed="false">
      <c r="A737" s="24" t="str">
        <f aca="false">IF($B737="","",ROW()-5)</f>
        <v/>
      </c>
      <c r="B737" s="25"/>
      <c r="C737" s="20"/>
      <c r="D737" s="26"/>
      <c r="E737" s="27"/>
      <c r="F737" s="20"/>
      <c r="G737" s="20"/>
      <c r="H737" s="26"/>
      <c r="I737" s="24" t="str">
        <f aca="false">IF($C737="","",IFERROR(INDEX(WorkerIDs,MATCH($C737,WorkerNames,0)),"?"))</f>
        <v/>
      </c>
      <c r="J737" s="18" t="str">
        <f aca="false">IF($B737="","",$B737-WEEKDAY($B737,2)+1)</f>
        <v/>
      </c>
      <c r="K737" s="28" t="str">
        <f aca="false">IF(OR($I737="",$I737="?",$D737&lt;&gt;"Advance",$B737=""),"",$I737&amp;"|"&amp;$J737&amp;"|"&amp;COUNTIFS($I$6:$I737,$I737,$J$6:$J737,$J737,$D$6:$D737,"Advance"))</f>
        <v/>
      </c>
      <c r="L737" s="29" t="str">
        <f aca="false">IF(OR($I737="",$I737="?",$B737=""),"",SUMPRODUCT((Weeks!$A$6:$A$58&lt;=$J737)*(Weeks!$Z$4:$AK$4=$I737)*Weeks!$Z$6:$AK$58)-SUMIFS($E$6:$E$1005,$I$6:$I$1005,$I737,$B$6:$B$1005,"&lt;="&amp;$B737))</f>
        <v/>
      </c>
      <c r="M737" s="19" t="str">
        <f aca="false">IF($B737&amp;$C737&amp;$D737&amp;$E737="","",IF($B737="","missing date",IF($C737="","missing worker",IF($I737="?","unknown worker - was the name changed on Workers?",IF($D737="","missing type",IF(N($E737)=0,"missing amount",IF(AND($E737&lt;0,$D737&lt;&gt;"Correction"),"negative amount - use a Correction to undo",IF(OR($B737&lt;Weeks!$A$6,$B737&gt;Weeks!$B$58),"date outside this workbook's year",IF(AND($D737="Advance",N($L737)&lt;0),"Warning: more than earned so far - worker now owes "&amp;ROUND(-$L737,0),"")))))))))</f>
        <v/>
      </c>
    </row>
    <row r="738" customFormat="false" ht="15" hidden="false" customHeight="false" outlineLevel="0" collapsed="false">
      <c r="A738" s="24" t="str">
        <f aca="false">IF($B738="","",ROW()-5)</f>
        <v/>
      </c>
      <c r="B738" s="25"/>
      <c r="C738" s="20"/>
      <c r="D738" s="26"/>
      <c r="E738" s="27"/>
      <c r="F738" s="20"/>
      <c r="G738" s="20"/>
      <c r="H738" s="26"/>
      <c r="I738" s="24" t="str">
        <f aca="false">IF($C738="","",IFERROR(INDEX(WorkerIDs,MATCH($C738,WorkerNames,0)),"?"))</f>
        <v/>
      </c>
      <c r="J738" s="18" t="str">
        <f aca="false">IF($B738="","",$B738-WEEKDAY($B738,2)+1)</f>
        <v/>
      </c>
      <c r="K738" s="28" t="str">
        <f aca="false">IF(OR($I738="",$I738="?",$D738&lt;&gt;"Advance",$B738=""),"",$I738&amp;"|"&amp;$J738&amp;"|"&amp;COUNTIFS($I$6:$I738,$I738,$J$6:$J738,$J738,$D$6:$D738,"Advance"))</f>
        <v/>
      </c>
      <c r="L738" s="29" t="str">
        <f aca="false">IF(OR($I738="",$I738="?",$B738=""),"",SUMPRODUCT((Weeks!$A$6:$A$58&lt;=$J738)*(Weeks!$Z$4:$AK$4=$I738)*Weeks!$Z$6:$AK$58)-SUMIFS($E$6:$E$1005,$I$6:$I$1005,$I738,$B$6:$B$1005,"&lt;="&amp;$B738))</f>
        <v/>
      </c>
      <c r="M738" s="19" t="str">
        <f aca="false">IF($B738&amp;$C738&amp;$D738&amp;$E738="","",IF($B738="","missing date",IF($C738="","missing worker",IF($I738="?","unknown worker - was the name changed on Workers?",IF($D738="","missing type",IF(N($E738)=0,"missing amount",IF(AND($E738&lt;0,$D738&lt;&gt;"Correction"),"negative amount - use a Correction to undo",IF(OR($B738&lt;Weeks!$A$6,$B738&gt;Weeks!$B$58),"date outside this workbook's year",IF(AND($D738="Advance",N($L738)&lt;0),"Warning: more than earned so far - worker now owes "&amp;ROUND(-$L738,0),"")))))))))</f>
        <v/>
      </c>
    </row>
    <row r="739" customFormat="false" ht="15" hidden="false" customHeight="false" outlineLevel="0" collapsed="false">
      <c r="A739" s="24" t="str">
        <f aca="false">IF($B739="","",ROW()-5)</f>
        <v/>
      </c>
      <c r="B739" s="25"/>
      <c r="C739" s="20"/>
      <c r="D739" s="26"/>
      <c r="E739" s="27"/>
      <c r="F739" s="20"/>
      <c r="G739" s="20"/>
      <c r="H739" s="26"/>
      <c r="I739" s="24" t="str">
        <f aca="false">IF($C739="","",IFERROR(INDEX(WorkerIDs,MATCH($C739,WorkerNames,0)),"?"))</f>
        <v/>
      </c>
      <c r="J739" s="18" t="str">
        <f aca="false">IF($B739="","",$B739-WEEKDAY($B739,2)+1)</f>
        <v/>
      </c>
      <c r="K739" s="28" t="str">
        <f aca="false">IF(OR($I739="",$I739="?",$D739&lt;&gt;"Advance",$B739=""),"",$I739&amp;"|"&amp;$J739&amp;"|"&amp;COUNTIFS($I$6:$I739,$I739,$J$6:$J739,$J739,$D$6:$D739,"Advance"))</f>
        <v/>
      </c>
      <c r="L739" s="29" t="str">
        <f aca="false">IF(OR($I739="",$I739="?",$B739=""),"",SUMPRODUCT((Weeks!$A$6:$A$58&lt;=$J739)*(Weeks!$Z$4:$AK$4=$I739)*Weeks!$Z$6:$AK$58)-SUMIFS($E$6:$E$1005,$I$6:$I$1005,$I739,$B$6:$B$1005,"&lt;="&amp;$B739))</f>
        <v/>
      </c>
      <c r="M739" s="19" t="str">
        <f aca="false">IF($B739&amp;$C739&amp;$D739&amp;$E739="","",IF($B739="","missing date",IF($C739="","missing worker",IF($I739="?","unknown worker - was the name changed on Workers?",IF($D739="","missing type",IF(N($E739)=0,"missing amount",IF(AND($E739&lt;0,$D739&lt;&gt;"Correction"),"negative amount - use a Correction to undo",IF(OR($B739&lt;Weeks!$A$6,$B739&gt;Weeks!$B$58),"date outside this workbook's year",IF(AND($D739="Advance",N($L739)&lt;0),"Warning: more than earned so far - worker now owes "&amp;ROUND(-$L739,0),"")))))))))</f>
        <v/>
      </c>
    </row>
    <row r="740" customFormat="false" ht="15" hidden="false" customHeight="false" outlineLevel="0" collapsed="false">
      <c r="A740" s="24" t="str">
        <f aca="false">IF($B740="","",ROW()-5)</f>
        <v/>
      </c>
      <c r="B740" s="25"/>
      <c r="C740" s="20"/>
      <c r="D740" s="26"/>
      <c r="E740" s="27"/>
      <c r="F740" s="20"/>
      <c r="G740" s="20"/>
      <c r="H740" s="26"/>
      <c r="I740" s="24" t="str">
        <f aca="false">IF($C740="","",IFERROR(INDEX(WorkerIDs,MATCH($C740,WorkerNames,0)),"?"))</f>
        <v/>
      </c>
      <c r="J740" s="18" t="str">
        <f aca="false">IF($B740="","",$B740-WEEKDAY($B740,2)+1)</f>
        <v/>
      </c>
      <c r="K740" s="28" t="str">
        <f aca="false">IF(OR($I740="",$I740="?",$D740&lt;&gt;"Advance",$B740=""),"",$I740&amp;"|"&amp;$J740&amp;"|"&amp;COUNTIFS($I$6:$I740,$I740,$J$6:$J740,$J740,$D$6:$D740,"Advance"))</f>
        <v/>
      </c>
      <c r="L740" s="29" t="str">
        <f aca="false">IF(OR($I740="",$I740="?",$B740=""),"",SUMPRODUCT((Weeks!$A$6:$A$58&lt;=$J740)*(Weeks!$Z$4:$AK$4=$I740)*Weeks!$Z$6:$AK$58)-SUMIFS($E$6:$E$1005,$I$6:$I$1005,$I740,$B$6:$B$1005,"&lt;="&amp;$B740))</f>
        <v/>
      </c>
      <c r="M740" s="19" t="str">
        <f aca="false">IF($B740&amp;$C740&amp;$D740&amp;$E740="","",IF($B740="","missing date",IF($C740="","missing worker",IF($I740="?","unknown worker - was the name changed on Workers?",IF($D740="","missing type",IF(N($E740)=0,"missing amount",IF(AND($E740&lt;0,$D740&lt;&gt;"Correction"),"negative amount - use a Correction to undo",IF(OR($B740&lt;Weeks!$A$6,$B740&gt;Weeks!$B$58),"date outside this workbook's year",IF(AND($D740="Advance",N($L740)&lt;0),"Warning: more than earned so far - worker now owes "&amp;ROUND(-$L740,0),"")))))))))</f>
        <v/>
      </c>
    </row>
    <row r="741" customFormat="false" ht="15" hidden="false" customHeight="false" outlineLevel="0" collapsed="false">
      <c r="A741" s="24" t="str">
        <f aca="false">IF($B741="","",ROW()-5)</f>
        <v/>
      </c>
      <c r="B741" s="25"/>
      <c r="C741" s="20"/>
      <c r="D741" s="26"/>
      <c r="E741" s="27"/>
      <c r="F741" s="20"/>
      <c r="G741" s="20"/>
      <c r="H741" s="26"/>
      <c r="I741" s="24" t="str">
        <f aca="false">IF($C741="","",IFERROR(INDEX(WorkerIDs,MATCH($C741,WorkerNames,0)),"?"))</f>
        <v/>
      </c>
      <c r="J741" s="18" t="str">
        <f aca="false">IF($B741="","",$B741-WEEKDAY($B741,2)+1)</f>
        <v/>
      </c>
      <c r="K741" s="28" t="str">
        <f aca="false">IF(OR($I741="",$I741="?",$D741&lt;&gt;"Advance",$B741=""),"",$I741&amp;"|"&amp;$J741&amp;"|"&amp;COUNTIFS($I$6:$I741,$I741,$J$6:$J741,$J741,$D$6:$D741,"Advance"))</f>
        <v/>
      </c>
      <c r="L741" s="29" t="str">
        <f aca="false">IF(OR($I741="",$I741="?",$B741=""),"",SUMPRODUCT((Weeks!$A$6:$A$58&lt;=$J741)*(Weeks!$Z$4:$AK$4=$I741)*Weeks!$Z$6:$AK$58)-SUMIFS($E$6:$E$1005,$I$6:$I$1005,$I741,$B$6:$B$1005,"&lt;="&amp;$B741))</f>
        <v/>
      </c>
      <c r="M741" s="19" t="str">
        <f aca="false">IF($B741&amp;$C741&amp;$D741&amp;$E741="","",IF($B741="","missing date",IF($C741="","missing worker",IF($I741="?","unknown worker - was the name changed on Workers?",IF($D741="","missing type",IF(N($E741)=0,"missing amount",IF(AND($E741&lt;0,$D741&lt;&gt;"Correction"),"negative amount - use a Correction to undo",IF(OR($B741&lt;Weeks!$A$6,$B741&gt;Weeks!$B$58),"date outside this workbook's year",IF(AND($D741="Advance",N($L741)&lt;0),"Warning: more than earned so far - worker now owes "&amp;ROUND(-$L741,0),"")))))))))</f>
        <v/>
      </c>
    </row>
    <row r="742" customFormat="false" ht="15" hidden="false" customHeight="false" outlineLevel="0" collapsed="false">
      <c r="A742" s="24" t="str">
        <f aca="false">IF($B742="","",ROW()-5)</f>
        <v/>
      </c>
      <c r="B742" s="25"/>
      <c r="C742" s="20"/>
      <c r="D742" s="26"/>
      <c r="E742" s="27"/>
      <c r="F742" s="20"/>
      <c r="G742" s="20"/>
      <c r="H742" s="26"/>
      <c r="I742" s="24" t="str">
        <f aca="false">IF($C742="","",IFERROR(INDEX(WorkerIDs,MATCH($C742,WorkerNames,0)),"?"))</f>
        <v/>
      </c>
      <c r="J742" s="18" t="str">
        <f aca="false">IF($B742="","",$B742-WEEKDAY($B742,2)+1)</f>
        <v/>
      </c>
      <c r="K742" s="28" t="str">
        <f aca="false">IF(OR($I742="",$I742="?",$D742&lt;&gt;"Advance",$B742=""),"",$I742&amp;"|"&amp;$J742&amp;"|"&amp;COUNTIFS($I$6:$I742,$I742,$J$6:$J742,$J742,$D$6:$D742,"Advance"))</f>
        <v/>
      </c>
      <c r="L742" s="29" t="str">
        <f aca="false">IF(OR($I742="",$I742="?",$B742=""),"",SUMPRODUCT((Weeks!$A$6:$A$58&lt;=$J742)*(Weeks!$Z$4:$AK$4=$I742)*Weeks!$Z$6:$AK$58)-SUMIFS($E$6:$E$1005,$I$6:$I$1005,$I742,$B$6:$B$1005,"&lt;="&amp;$B742))</f>
        <v/>
      </c>
      <c r="M742" s="19" t="str">
        <f aca="false">IF($B742&amp;$C742&amp;$D742&amp;$E742="","",IF($B742="","missing date",IF($C742="","missing worker",IF($I742="?","unknown worker - was the name changed on Workers?",IF($D742="","missing type",IF(N($E742)=0,"missing amount",IF(AND($E742&lt;0,$D742&lt;&gt;"Correction"),"negative amount - use a Correction to undo",IF(OR($B742&lt;Weeks!$A$6,$B742&gt;Weeks!$B$58),"date outside this workbook's year",IF(AND($D742="Advance",N($L742)&lt;0),"Warning: more than earned so far - worker now owes "&amp;ROUND(-$L742,0),"")))))))))</f>
        <v/>
      </c>
    </row>
    <row r="743" customFormat="false" ht="15" hidden="false" customHeight="false" outlineLevel="0" collapsed="false">
      <c r="A743" s="24" t="str">
        <f aca="false">IF($B743="","",ROW()-5)</f>
        <v/>
      </c>
      <c r="B743" s="25"/>
      <c r="C743" s="20"/>
      <c r="D743" s="26"/>
      <c r="E743" s="27"/>
      <c r="F743" s="20"/>
      <c r="G743" s="20"/>
      <c r="H743" s="26"/>
      <c r="I743" s="24" t="str">
        <f aca="false">IF($C743="","",IFERROR(INDEX(WorkerIDs,MATCH($C743,WorkerNames,0)),"?"))</f>
        <v/>
      </c>
      <c r="J743" s="18" t="str">
        <f aca="false">IF($B743="","",$B743-WEEKDAY($B743,2)+1)</f>
        <v/>
      </c>
      <c r="K743" s="28" t="str">
        <f aca="false">IF(OR($I743="",$I743="?",$D743&lt;&gt;"Advance",$B743=""),"",$I743&amp;"|"&amp;$J743&amp;"|"&amp;COUNTIFS($I$6:$I743,$I743,$J$6:$J743,$J743,$D$6:$D743,"Advance"))</f>
        <v/>
      </c>
      <c r="L743" s="29" t="str">
        <f aca="false">IF(OR($I743="",$I743="?",$B743=""),"",SUMPRODUCT((Weeks!$A$6:$A$58&lt;=$J743)*(Weeks!$Z$4:$AK$4=$I743)*Weeks!$Z$6:$AK$58)-SUMIFS($E$6:$E$1005,$I$6:$I$1005,$I743,$B$6:$B$1005,"&lt;="&amp;$B743))</f>
        <v/>
      </c>
      <c r="M743" s="19" t="str">
        <f aca="false">IF($B743&amp;$C743&amp;$D743&amp;$E743="","",IF($B743="","missing date",IF($C743="","missing worker",IF($I743="?","unknown worker - was the name changed on Workers?",IF($D743="","missing type",IF(N($E743)=0,"missing amount",IF(AND($E743&lt;0,$D743&lt;&gt;"Correction"),"negative amount - use a Correction to undo",IF(OR($B743&lt;Weeks!$A$6,$B743&gt;Weeks!$B$58),"date outside this workbook's year",IF(AND($D743="Advance",N($L743)&lt;0),"Warning: more than earned so far - worker now owes "&amp;ROUND(-$L743,0),"")))))))))</f>
        <v/>
      </c>
    </row>
    <row r="744" customFormat="false" ht="15" hidden="false" customHeight="false" outlineLevel="0" collapsed="false">
      <c r="A744" s="24" t="str">
        <f aca="false">IF($B744="","",ROW()-5)</f>
        <v/>
      </c>
      <c r="B744" s="25"/>
      <c r="C744" s="20"/>
      <c r="D744" s="26"/>
      <c r="E744" s="27"/>
      <c r="F744" s="20"/>
      <c r="G744" s="20"/>
      <c r="H744" s="26"/>
      <c r="I744" s="24" t="str">
        <f aca="false">IF($C744="","",IFERROR(INDEX(WorkerIDs,MATCH($C744,WorkerNames,0)),"?"))</f>
        <v/>
      </c>
      <c r="J744" s="18" t="str">
        <f aca="false">IF($B744="","",$B744-WEEKDAY($B744,2)+1)</f>
        <v/>
      </c>
      <c r="K744" s="28" t="str">
        <f aca="false">IF(OR($I744="",$I744="?",$D744&lt;&gt;"Advance",$B744=""),"",$I744&amp;"|"&amp;$J744&amp;"|"&amp;COUNTIFS($I$6:$I744,$I744,$J$6:$J744,$J744,$D$6:$D744,"Advance"))</f>
        <v/>
      </c>
      <c r="L744" s="29" t="str">
        <f aca="false">IF(OR($I744="",$I744="?",$B744=""),"",SUMPRODUCT((Weeks!$A$6:$A$58&lt;=$J744)*(Weeks!$Z$4:$AK$4=$I744)*Weeks!$Z$6:$AK$58)-SUMIFS($E$6:$E$1005,$I$6:$I$1005,$I744,$B$6:$B$1005,"&lt;="&amp;$B744))</f>
        <v/>
      </c>
      <c r="M744" s="19" t="str">
        <f aca="false">IF($B744&amp;$C744&amp;$D744&amp;$E744="","",IF($B744="","missing date",IF($C744="","missing worker",IF($I744="?","unknown worker - was the name changed on Workers?",IF($D744="","missing type",IF(N($E744)=0,"missing amount",IF(AND($E744&lt;0,$D744&lt;&gt;"Correction"),"negative amount - use a Correction to undo",IF(OR($B744&lt;Weeks!$A$6,$B744&gt;Weeks!$B$58),"date outside this workbook's year",IF(AND($D744="Advance",N($L744)&lt;0),"Warning: more than earned so far - worker now owes "&amp;ROUND(-$L744,0),"")))))))))</f>
        <v/>
      </c>
    </row>
    <row r="745" customFormat="false" ht="15" hidden="false" customHeight="false" outlineLevel="0" collapsed="false">
      <c r="A745" s="24" t="str">
        <f aca="false">IF($B745="","",ROW()-5)</f>
        <v/>
      </c>
      <c r="B745" s="25"/>
      <c r="C745" s="20"/>
      <c r="D745" s="26"/>
      <c r="E745" s="27"/>
      <c r="F745" s="20"/>
      <c r="G745" s="20"/>
      <c r="H745" s="26"/>
      <c r="I745" s="24" t="str">
        <f aca="false">IF($C745="","",IFERROR(INDEX(WorkerIDs,MATCH($C745,WorkerNames,0)),"?"))</f>
        <v/>
      </c>
      <c r="J745" s="18" t="str">
        <f aca="false">IF($B745="","",$B745-WEEKDAY($B745,2)+1)</f>
        <v/>
      </c>
      <c r="K745" s="28" t="str">
        <f aca="false">IF(OR($I745="",$I745="?",$D745&lt;&gt;"Advance",$B745=""),"",$I745&amp;"|"&amp;$J745&amp;"|"&amp;COUNTIFS($I$6:$I745,$I745,$J$6:$J745,$J745,$D$6:$D745,"Advance"))</f>
        <v/>
      </c>
      <c r="L745" s="29" t="str">
        <f aca="false">IF(OR($I745="",$I745="?",$B745=""),"",SUMPRODUCT((Weeks!$A$6:$A$58&lt;=$J745)*(Weeks!$Z$4:$AK$4=$I745)*Weeks!$Z$6:$AK$58)-SUMIFS($E$6:$E$1005,$I$6:$I$1005,$I745,$B$6:$B$1005,"&lt;="&amp;$B745))</f>
        <v/>
      </c>
      <c r="M745" s="19" t="str">
        <f aca="false">IF($B745&amp;$C745&amp;$D745&amp;$E745="","",IF($B745="","missing date",IF($C745="","missing worker",IF($I745="?","unknown worker - was the name changed on Workers?",IF($D745="","missing type",IF(N($E745)=0,"missing amount",IF(AND($E745&lt;0,$D745&lt;&gt;"Correction"),"negative amount - use a Correction to undo",IF(OR($B745&lt;Weeks!$A$6,$B745&gt;Weeks!$B$58),"date outside this workbook's year",IF(AND($D745="Advance",N($L745)&lt;0),"Warning: more than earned so far - worker now owes "&amp;ROUND(-$L745,0),"")))))))))</f>
        <v/>
      </c>
    </row>
    <row r="746" customFormat="false" ht="15" hidden="false" customHeight="false" outlineLevel="0" collapsed="false">
      <c r="A746" s="24" t="str">
        <f aca="false">IF($B746="","",ROW()-5)</f>
        <v/>
      </c>
      <c r="B746" s="25"/>
      <c r="C746" s="20"/>
      <c r="D746" s="26"/>
      <c r="E746" s="27"/>
      <c r="F746" s="20"/>
      <c r="G746" s="20"/>
      <c r="H746" s="26"/>
      <c r="I746" s="24" t="str">
        <f aca="false">IF($C746="","",IFERROR(INDEX(WorkerIDs,MATCH($C746,WorkerNames,0)),"?"))</f>
        <v/>
      </c>
      <c r="J746" s="18" t="str">
        <f aca="false">IF($B746="","",$B746-WEEKDAY($B746,2)+1)</f>
        <v/>
      </c>
      <c r="K746" s="28" t="str">
        <f aca="false">IF(OR($I746="",$I746="?",$D746&lt;&gt;"Advance",$B746=""),"",$I746&amp;"|"&amp;$J746&amp;"|"&amp;COUNTIFS($I$6:$I746,$I746,$J$6:$J746,$J746,$D$6:$D746,"Advance"))</f>
        <v/>
      </c>
      <c r="L746" s="29" t="str">
        <f aca="false">IF(OR($I746="",$I746="?",$B746=""),"",SUMPRODUCT((Weeks!$A$6:$A$58&lt;=$J746)*(Weeks!$Z$4:$AK$4=$I746)*Weeks!$Z$6:$AK$58)-SUMIFS($E$6:$E$1005,$I$6:$I$1005,$I746,$B$6:$B$1005,"&lt;="&amp;$B746))</f>
        <v/>
      </c>
      <c r="M746" s="19" t="str">
        <f aca="false">IF($B746&amp;$C746&amp;$D746&amp;$E746="","",IF($B746="","missing date",IF($C746="","missing worker",IF($I746="?","unknown worker - was the name changed on Workers?",IF($D746="","missing type",IF(N($E746)=0,"missing amount",IF(AND($E746&lt;0,$D746&lt;&gt;"Correction"),"negative amount - use a Correction to undo",IF(OR($B746&lt;Weeks!$A$6,$B746&gt;Weeks!$B$58),"date outside this workbook's year",IF(AND($D746="Advance",N($L746)&lt;0),"Warning: more than earned so far - worker now owes "&amp;ROUND(-$L746,0),"")))))))))</f>
        <v/>
      </c>
    </row>
    <row r="747" customFormat="false" ht="15" hidden="false" customHeight="false" outlineLevel="0" collapsed="false">
      <c r="A747" s="24" t="str">
        <f aca="false">IF($B747="","",ROW()-5)</f>
        <v/>
      </c>
      <c r="B747" s="25"/>
      <c r="C747" s="20"/>
      <c r="D747" s="26"/>
      <c r="E747" s="27"/>
      <c r="F747" s="20"/>
      <c r="G747" s="20"/>
      <c r="H747" s="26"/>
      <c r="I747" s="24" t="str">
        <f aca="false">IF($C747="","",IFERROR(INDEX(WorkerIDs,MATCH($C747,WorkerNames,0)),"?"))</f>
        <v/>
      </c>
      <c r="J747" s="18" t="str">
        <f aca="false">IF($B747="","",$B747-WEEKDAY($B747,2)+1)</f>
        <v/>
      </c>
      <c r="K747" s="28" t="str">
        <f aca="false">IF(OR($I747="",$I747="?",$D747&lt;&gt;"Advance",$B747=""),"",$I747&amp;"|"&amp;$J747&amp;"|"&amp;COUNTIFS($I$6:$I747,$I747,$J$6:$J747,$J747,$D$6:$D747,"Advance"))</f>
        <v/>
      </c>
      <c r="L747" s="29" t="str">
        <f aca="false">IF(OR($I747="",$I747="?",$B747=""),"",SUMPRODUCT((Weeks!$A$6:$A$58&lt;=$J747)*(Weeks!$Z$4:$AK$4=$I747)*Weeks!$Z$6:$AK$58)-SUMIFS($E$6:$E$1005,$I$6:$I$1005,$I747,$B$6:$B$1005,"&lt;="&amp;$B747))</f>
        <v/>
      </c>
      <c r="M747" s="19" t="str">
        <f aca="false">IF($B747&amp;$C747&amp;$D747&amp;$E747="","",IF($B747="","missing date",IF($C747="","missing worker",IF($I747="?","unknown worker - was the name changed on Workers?",IF($D747="","missing type",IF(N($E747)=0,"missing amount",IF(AND($E747&lt;0,$D747&lt;&gt;"Correction"),"negative amount - use a Correction to undo",IF(OR($B747&lt;Weeks!$A$6,$B747&gt;Weeks!$B$58),"date outside this workbook's year",IF(AND($D747="Advance",N($L747)&lt;0),"Warning: more than earned so far - worker now owes "&amp;ROUND(-$L747,0),"")))))))))</f>
        <v/>
      </c>
    </row>
    <row r="748" customFormat="false" ht="15" hidden="false" customHeight="false" outlineLevel="0" collapsed="false">
      <c r="A748" s="24" t="str">
        <f aca="false">IF($B748="","",ROW()-5)</f>
        <v/>
      </c>
      <c r="B748" s="25"/>
      <c r="C748" s="20"/>
      <c r="D748" s="26"/>
      <c r="E748" s="27"/>
      <c r="F748" s="20"/>
      <c r="G748" s="20"/>
      <c r="H748" s="26"/>
      <c r="I748" s="24" t="str">
        <f aca="false">IF($C748="","",IFERROR(INDEX(WorkerIDs,MATCH($C748,WorkerNames,0)),"?"))</f>
        <v/>
      </c>
      <c r="J748" s="18" t="str">
        <f aca="false">IF($B748="","",$B748-WEEKDAY($B748,2)+1)</f>
        <v/>
      </c>
      <c r="K748" s="28" t="str">
        <f aca="false">IF(OR($I748="",$I748="?",$D748&lt;&gt;"Advance",$B748=""),"",$I748&amp;"|"&amp;$J748&amp;"|"&amp;COUNTIFS($I$6:$I748,$I748,$J$6:$J748,$J748,$D$6:$D748,"Advance"))</f>
        <v/>
      </c>
      <c r="L748" s="29" t="str">
        <f aca="false">IF(OR($I748="",$I748="?",$B748=""),"",SUMPRODUCT((Weeks!$A$6:$A$58&lt;=$J748)*(Weeks!$Z$4:$AK$4=$I748)*Weeks!$Z$6:$AK$58)-SUMIFS($E$6:$E$1005,$I$6:$I$1005,$I748,$B$6:$B$1005,"&lt;="&amp;$B748))</f>
        <v/>
      </c>
      <c r="M748" s="19" t="str">
        <f aca="false">IF($B748&amp;$C748&amp;$D748&amp;$E748="","",IF($B748="","missing date",IF($C748="","missing worker",IF($I748="?","unknown worker - was the name changed on Workers?",IF($D748="","missing type",IF(N($E748)=0,"missing amount",IF(AND($E748&lt;0,$D748&lt;&gt;"Correction"),"negative amount - use a Correction to undo",IF(OR($B748&lt;Weeks!$A$6,$B748&gt;Weeks!$B$58),"date outside this workbook's year",IF(AND($D748="Advance",N($L748)&lt;0),"Warning: more than earned so far - worker now owes "&amp;ROUND(-$L748,0),"")))))))))</f>
        <v/>
      </c>
    </row>
    <row r="749" customFormat="false" ht="15" hidden="false" customHeight="false" outlineLevel="0" collapsed="false">
      <c r="A749" s="24" t="str">
        <f aca="false">IF($B749="","",ROW()-5)</f>
        <v/>
      </c>
      <c r="B749" s="25"/>
      <c r="C749" s="20"/>
      <c r="D749" s="26"/>
      <c r="E749" s="27"/>
      <c r="F749" s="20"/>
      <c r="G749" s="20"/>
      <c r="H749" s="26"/>
      <c r="I749" s="24" t="str">
        <f aca="false">IF($C749="","",IFERROR(INDEX(WorkerIDs,MATCH($C749,WorkerNames,0)),"?"))</f>
        <v/>
      </c>
      <c r="J749" s="18" t="str">
        <f aca="false">IF($B749="","",$B749-WEEKDAY($B749,2)+1)</f>
        <v/>
      </c>
      <c r="K749" s="28" t="str">
        <f aca="false">IF(OR($I749="",$I749="?",$D749&lt;&gt;"Advance",$B749=""),"",$I749&amp;"|"&amp;$J749&amp;"|"&amp;COUNTIFS($I$6:$I749,$I749,$J$6:$J749,$J749,$D$6:$D749,"Advance"))</f>
        <v/>
      </c>
      <c r="L749" s="29" t="str">
        <f aca="false">IF(OR($I749="",$I749="?",$B749=""),"",SUMPRODUCT((Weeks!$A$6:$A$58&lt;=$J749)*(Weeks!$Z$4:$AK$4=$I749)*Weeks!$Z$6:$AK$58)-SUMIFS($E$6:$E$1005,$I$6:$I$1005,$I749,$B$6:$B$1005,"&lt;="&amp;$B749))</f>
        <v/>
      </c>
      <c r="M749" s="19" t="str">
        <f aca="false">IF($B749&amp;$C749&amp;$D749&amp;$E749="","",IF($B749="","missing date",IF($C749="","missing worker",IF($I749="?","unknown worker - was the name changed on Workers?",IF($D749="","missing type",IF(N($E749)=0,"missing amount",IF(AND($E749&lt;0,$D749&lt;&gt;"Correction"),"negative amount - use a Correction to undo",IF(OR($B749&lt;Weeks!$A$6,$B749&gt;Weeks!$B$58),"date outside this workbook's year",IF(AND($D749="Advance",N($L749)&lt;0),"Warning: more than earned so far - worker now owes "&amp;ROUND(-$L749,0),"")))))))))</f>
        <v/>
      </c>
    </row>
    <row r="750" customFormat="false" ht="15" hidden="false" customHeight="false" outlineLevel="0" collapsed="false">
      <c r="A750" s="24" t="str">
        <f aca="false">IF($B750="","",ROW()-5)</f>
        <v/>
      </c>
      <c r="B750" s="25"/>
      <c r="C750" s="20"/>
      <c r="D750" s="26"/>
      <c r="E750" s="27"/>
      <c r="F750" s="20"/>
      <c r="G750" s="20"/>
      <c r="H750" s="26"/>
      <c r="I750" s="24" t="str">
        <f aca="false">IF($C750="","",IFERROR(INDEX(WorkerIDs,MATCH($C750,WorkerNames,0)),"?"))</f>
        <v/>
      </c>
      <c r="J750" s="18" t="str">
        <f aca="false">IF($B750="","",$B750-WEEKDAY($B750,2)+1)</f>
        <v/>
      </c>
      <c r="K750" s="28" t="str">
        <f aca="false">IF(OR($I750="",$I750="?",$D750&lt;&gt;"Advance",$B750=""),"",$I750&amp;"|"&amp;$J750&amp;"|"&amp;COUNTIFS($I$6:$I750,$I750,$J$6:$J750,$J750,$D$6:$D750,"Advance"))</f>
        <v/>
      </c>
      <c r="L750" s="29" t="str">
        <f aca="false">IF(OR($I750="",$I750="?",$B750=""),"",SUMPRODUCT((Weeks!$A$6:$A$58&lt;=$J750)*(Weeks!$Z$4:$AK$4=$I750)*Weeks!$Z$6:$AK$58)-SUMIFS($E$6:$E$1005,$I$6:$I$1005,$I750,$B$6:$B$1005,"&lt;="&amp;$B750))</f>
        <v/>
      </c>
      <c r="M750" s="19" t="str">
        <f aca="false">IF($B750&amp;$C750&amp;$D750&amp;$E750="","",IF($B750="","missing date",IF($C750="","missing worker",IF($I750="?","unknown worker - was the name changed on Workers?",IF($D750="","missing type",IF(N($E750)=0,"missing amount",IF(AND($E750&lt;0,$D750&lt;&gt;"Correction"),"negative amount - use a Correction to undo",IF(OR($B750&lt;Weeks!$A$6,$B750&gt;Weeks!$B$58),"date outside this workbook's year",IF(AND($D750="Advance",N($L750)&lt;0),"Warning: more than earned so far - worker now owes "&amp;ROUND(-$L750,0),"")))))))))</f>
        <v/>
      </c>
    </row>
    <row r="751" customFormat="false" ht="15" hidden="false" customHeight="false" outlineLevel="0" collapsed="false">
      <c r="A751" s="24" t="str">
        <f aca="false">IF($B751="","",ROW()-5)</f>
        <v/>
      </c>
      <c r="B751" s="25"/>
      <c r="C751" s="20"/>
      <c r="D751" s="26"/>
      <c r="E751" s="27"/>
      <c r="F751" s="20"/>
      <c r="G751" s="20"/>
      <c r="H751" s="26"/>
      <c r="I751" s="24" t="str">
        <f aca="false">IF($C751="","",IFERROR(INDEX(WorkerIDs,MATCH($C751,WorkerNames,0)),"?"))</f>
        <v/>
      </c>
      <c r="J751" s="18" t="str">
        <f aca="false">IF($B751="","",$B751-WEEKDAY($B751,2)+1)</f>
        <v/>
      </c>
      <c r="K751" s="28" t="str">
        <f aca="false">IF(OR($I751="",$I751="?",$D751&lt;&gt;"Advance",$B751=""),"",$I751&amp;"|"&amp;$J751&amp;"|"&amp;COUNTIFS($I$6:$I751,$I751,$J$6:$J751,$J751,$D$6:$D751,"Advance"))</f>
        <v/>
      </c>
      <c r="L751" s="29" t="str">
        <f aca="false">IF(OR($I751="",$I751="?",$B751=""),"",SUMPRODUCT((Weeks!$A$6:$A$58&lt;=$J751)*(Weeks!$Z$4:$AK$4=$I751)*Weeks!$Z$6:$AK$58)-SUMIFS($E$6:$E$1005,$I$6:$I$1005,$I751,$B$6:$B$1005,"&lt;="&amp;$B751))</f>
        <v/>
      </c>
      <c r="M751" s="19" t="str">
        <f aca="false">IF($B751&amp;$C751&amp;$D751&amp;$E751="","",IF($B751="","missing date",IF($C751="","missing worker",IF($I751="?","unknown worker - was the name changed on Workers?",IF($D751="","missing type",IF(N($E751)=0,"missing amount",IF(AND($E751&lt;0,$D751&lt;&gt;"Correction"),"negative amount - use a Correction to undo",IF(OR($B751&lt;Weeks!$A$6,$B751&gt;Weeks!$B$58),"date outside this workbook's year",IF(AND($D751="Advance",N($L751)&lt;0),"Warning: more than earned so far - worker now owes "&amp;ROUND(-$L751,0),"")))))))))</f>
        <v/>
      </c>
    </row>
    <row r="752" customFormat="false" ht="15" hidden="false" customHeight="false" outlineLevel="0" collapsed="false">
      <c r="A752" s="24" t="str">
        <f aca="false">IF($B752="","",ROW()-5)</f>
        <v/>
      </c>
      <c r="B752" s="25"/>
      <c r="C752" s="20"/>
      <c r="D752" s="26"/>
      <c r="E752" s="27"/>
      <c r="F752" s="20"/>
      <c r="G752" s="20"/>
      <c r="H752" s="26"/>
      <c r="I752" s="24" t="str">
        <f aca="false">IF($C752="","",IFERROR(INDEX(WorkerIDs,MATCH($C752,WorkerNames,0)),"?"))</f>
        <v/>
      </c>
      <c r="J752" s="18" t="str">
        <f aca="false">IF($B752="","",$B752-WEEKDAY($B752,2)+1)</f>
        <v/>
      </c>
      <c r="K752" s="28" t="str">
        <f aca="false">IF(OR($I752="",$I752="?",$D752&lt;&gt;"Advance",$B752=""),"",$I752&amp;"|"&amp;$J752&amp;"|"&amp;COUNTIFS($I$6:$I752,$I752,$J$6:$J752,$J752,$D$6:$D752,"Advance"))</f>
        <v/>
      </c>
      <c r="L752" s="29" t="str">
        <f aca="false">IF(OR($I752="",$I752="?",$B752=""),"",SUMPRODUCT((Weeks!$A$6:$A$58&lt;=$J752)*(Weeks!$Z$4:$AK$4=$I752)*Weeks!$Z$6:$AK$58)-SUMIFS($E$6:$E$1005,$I$6:$I$1005,$I752,$B$6:$B$1005,"&lt;="&amp;$B752))</f>
        <v/>
      </c>
      <c r="M752" s="19" t="str">
        <f aca="false">IF($B752&amp;$C752&amp;$D752&amp;$E752="","",IF($B752="","missing date",IF($C752="","missing worker",IF($I752="?","unknown worker - was the name changed on Workers?",IF($D752="","missing type",IF(N($E752)=0,"missing amount",IF(AND($E752&lt;0,$D752&lt;&gt;"Correction"),"negative amount - use a Correction to undo",IF(OR($B752&lt;Weeks!$A$6,$B752&gt;Weeks!$B$58),"date outside this workbook's year",IF(AND($D752="Advance",N($L752)&lt;0),"Warning: more than earned so far - worker now owes "&amp;ROUND(-$L752,0),"")))))))))</f>
        <v/>
      </c>
    </row>
    <row r="753" customFormat="false" ht="15" hidden="false" customHeight="false" outlineLevel="0" collapsed="false">
      <c r="A753" s="24" t="str">
        <f aca="false">IF($B753="","",ROW()-5)</f>
        <v/>
      </c>
      <c r="B753" s="25"/>
      <c r="C753" s="20"/>
      <c r="D753" s="26"/>
      <c r="E753" s="27"/>
      <c r="F753" s="20"/>
      <c r="G753" s="20"/>
      <c r="H753" s="26"/>
      <c r="I753" s="24" t="str">
        <f aca="false">IF($C753="","",IFERROR(INDEX(WorkerIDs,MATCH($C753,WorkerNames,0)),"?"))</f>
        <v/>
      </c>
      <c r="J753" s="18" t="str">
        <f aca="false">IF($B753="","",$B753-WEEKDAY($B753,2)+1)</f>
        <v/>
      </c>
      <c r="K753" s="28" t="str">
        <f aca="false">IF(OR($I753="",$I753="?",$D753&lt;&gt;"Advance",$B753=""),"",$I753&amp;"|"&amp;$J753&amp;"|"&amp;COUNTIFS($I$6:$I753,$I753,$J$6:$J753,$J753,$D$6:$D753,"Advance"))</f>
        <v/>
      </c>
      <c r="L753" s="29" t="str">
        <f aca="false">IF(OR($I753="",$I753="?",$B753=""),"",SUMPRODUCT((Weeks!$A$6:$A$58&lt;=$J753)*(Weeks!$Z$4:$AK$4=$I753)*Weeks!$Z$6:$AK$58)-SUMIFS($E$6:$E$1005,$I$6:$I$1005,$I753,$B$6:$B$1005,"&lt;="&amp;$B753))</f>
        <v/>
      </c>
      <c r="M753" s="19" t="str">
        <f aca="false">IF($B753&amp;$C753&amp;$D753&amp;$E753="","",IF($B753="","missing date",IF($C753="","missing worker",IF($I753="?","unknown worker - was the name changed on Workers?",IF($D753="","missing type",IF(N($E753)=0,"missing amount",IF(AND($E753&lt;0,$D753&lt;&gt;"Correction"),"negative amount - use a Correction to undo",IF(OR($B753&lt;Weeks!$A$6,$B753&gt;Weeks!$B$58),"date outside this workbook's year",IF(AND($D753="Advance",N($L753)&lt;0),"Warning: more than earned so far - worker now owes "&amp;ROUND(-$L753,0),"")))))))))</f>
        <v/>
      </c>
    </row>
    <row r="754" customFormat="false" ht="15" hidden="false" customHeight="false" outlineLevel="0" collapsed="false">
      <c r="A754" s="24" t="str">
        <f aca="false">IF($B754="","",ROW()-5)</f>
        <v/>
      </c>
      <c r="B754" s="25"/>
      <c r="C754" s="20"/>
      <c r="D754" s="26"/>
      <c r="E754" s="27"/>
      <c r="F754" s="20"/>
      <c r="G754" s="20"/>
      <c r="H754" s="26"/>
      <c r="I754" s="24" t="str">
        <f aca="false">IF($C754="","",IFERROR(INDEX(WorkerIDs,MATCH($C754,WorkerNames,0)),"?"))</f>
        <v/>
      </c>
      <c r="J754" s="18" t="str">
        <f aca="false">IF($B754="","",$B754-WEEKDAY($B754,2)+1)</f>
        <v/>
      </c>
      <c r="K754" s="28" t="str">
        <f aca="false">IF(OR($I754="",$I754="?",$D754&lt;&gt;"Advance",$B754=""),"",$I754&amp;"|"&amp;$J754&amp;"|"&amp;COUNTIFS($I$6:$I754,$I754,$J$6:$J754,$J754,$D$6:$D754,"Advance"))</f>
        <v/>
      </c>
      <c r="L754" s="29" t="str">
        <f aca="false">IF(OR($I754="",$I754="?",$B754=""),"",SUMPRODUCT((Weeks!$A$6:$A$58&lt;=$J754)*(Weeks!$Z$4:$AK$4=$I754)*Weeks!$Z$6:$AK$58)-SUMIFS($E$6:$E$1005,$I$6:$I$1005,$I754,$B$6:$B$1005,"&lt;="&amp;$B754))</f>
        <v/>
      </c>
      <c r="M754" s="19" t="str">
        <f aca="false">IF($B754&amp;$C754&amp;$D754&amp;$E754="","",IF($B754="","missing date",IF($C754="","missing worker",IF($I754="?","unknown worker - was the name changed on Workers?",IF($D754="","missing type",IF(N($E754)=0,"missing amount",IF(AND($E754&lt;0,$D754&lt;&gt;"Correction"),"negative amount - use a Correction to undo",IF(OR($B754&lt;Weeks!$A$6,$B754&gt;Weeks!$B$58),"date outside this workbook's year",IF(AND($D754="Advance",N($L754)&lt;0),"Warning: more than earned so far - worker now owes "&amp;ROUND(-$L754,0),"")))))))))</f>
        <v/>
      </c>
    </row>
    <row r="755" customFormat="false" ht="15" hidden="false" customHeight="false" outlineLevel="0" collapsed="false">
      <c r="A755" s="24" t="str">
        <f aca="false">IF($B755="","",ROW()-5)</f>
        <v/>
      </c>
      <c r="B755" s="25"/>
      <c r="C755" s="20"/>
      <c r="D755" s="26"/>
      <c r="E755" s="27"/>
      <c r="F755" s="20"/>
      <c r="G755" s="20"/>
      <c r="H755" s="26"/>
      <c r="I755" s="24" t="str">
        <f aca="false">IF($C755="","",IFERROR(INDEX(WorkerIDs,MATCH($C755,WorkerNames,0)),"?"))</f>
        <v/>
      </c>
      <c r="J755" s="18" t="str">
        <f aca="false">IF($B755="","",$B755-WEEKDAY($B755,2)+1)</f>
        <v/>
      </c>
      <c r="K755" s="28" t="str">
        <f aca="false">IF(OR($I755="",$I755="?",$D755&lt;&gt;"Advance",$B755=""),"",$I755&amp;"|"&amp;$J755&amp;"|"&amp;COUNTIFS($I$6:$I755,$I755,$J$6:$J755,$J755,$D$6:$D755,"Advance"))</f>
        <v/>
      </c>
      <c r="L755" s="29" t="str">
        <f aca="false">IF(OR($I755="",$I755="?",$B755=""),"",SUMPRODUCT((Weeks!$A$6:$A$58&lt;=$J755)*(Weeks!$Z$4:$AK$4=$I755)*Weeks!$Z$6:$AK$58)-SUMIFS($E$6:$E$1005,$I$6:$I$1005,$I755,$B$6:$B$1005,"&lt;="&amp;$B755))</f>
        <v/>
      </c>
      <c r="M755" s="19" t="str">
        <f aca="false">IF($B755&amp;$C755&amp;$D755&amp;$E755="","",IF($B755="","missing date",IF($C755="","missing worker",IF($I755="?","unknown worker - was the name changed on Workers?",IF($D755="","missing type",IF(N($E755)=0,"missing amount",IF(AND($E755&lt;0,$D755&lt;&gt;"Correction"),"negative amount - use a Correction to undo",IF(OR($B755&lt;Weeks!$A$6,$B755&gt;Weeks!$B$58),"date outside this workbook's year",IF(AND($D755="Advance",N($L755)&lt;0),"Warning: more than earned so far - worker now owes "&amp;ROUND(-$L755,0),"")))))))))</f>
        <v/>
      </c>
    </row>
    <row r="756" customFormat="false" ht="15" hidden="false" customHeight="false" outlineLevel="0" collapsed="false">
      <c r="A756" s="24" t="str">
        <f aca="false">IF($B756="","",ROW()-5)</f>
        <v/>
      </c>
      <c r="B756" s="25"/>
      <c r="C756" s="20"/>
      <c r="D756" s="26"/>
      <c r="E756" s="27"/>
      <c r="F756" s="20"/>
      <c r="G756" s="20"/>
      <c r="H756" s="26"/>
      <c r="I756" s="24" t="str">
        <f aca="false">IF($C756="","",IFERROR(INDEX(WorkerIDs,MATCH($C756,WorkerNames,0)),"?"))</f>
        <v/>
      </c>
      <c r="J756" s="18" t="str">
        <f aca="false">IF($B756="","",$B756-WEEKDAY($B756,2)+1)</f>
        <v/>
      </c>
      <c r="K756" s="28" t="str">
        <f aca="false">IF(OR($I756="",$I756="?",$D756&lt;&gt;"Advance",$B756=""),"",$I756&amp;"|"&amp;$J756&amp;"|"&amp;COUNTIFS($I$6:$I756,$I756,$J$6:$J756,$J756,$D$6:$D756,"Advance"))</f>
        <v/>
      </c>
      <c r="L756" s="29" t="str">
        <f aca="false">IF(OR($I756="",$I756="?",$B756=""),"",SUMPRODUCT((Weeks!$A$6:$A$58&lt;=$J756)*(Weeks!$Z$4:$AK$4=$I756)*Weeks!$Z$6:$AK$58)-SUMIFS($E$6:$E$1005,$I$6:$I$1005,$I756,$B$6:$B$1005,"&lt;="&amp;$B756))</f>
        <v/>
      </c>
      <c r="M756" s="19" t="str">
        <f aca="false">IF($B756&amp;$C756&amp;$D756&amp;$E756="","",IF($B756="","missing date",IF($C756="","missing worker",IF($I756="?","unknown worker - was the name changed on Workers?",IF($D756="","missing type",IF(N($E756)=0,"missing amount",IF(AND($E756&lt;0,$D756&lt;&gt;"Correction"),"negative amount - use a Correction to undo",IF(OR($B756&lt;Weeks!$A$6,$B756&gt;Weeks!$B$58),"date outside this workbook's year",IF(AND($D756="Advance",N($L756)&lt;0),"Warning: more than earned so far - worker now owes "&amp;ROUND(-$L756,0),"")))))))))</f>
        <v/>
      </c>
    </row>
    <row r="757" customFormat="false" ht="15" hidden="false" customHeight="false" outlineLevel="0" collapsed="false">
      <c r="A757" s="24" t="str">
        <f aca="false">IF($B757="","",ROW()-5)</f>
        <v/>
      </c>
      <c r="B757" s="25"/>
      <c r="C757" s="20"/>
      <c r="D757" s="26"/>
      <c r="E757" s="27"/>
      <c r="F757" s="20"/>
      <c r="G757" s="20"/>
      <c r="H757" s="26"/>
      <c r="I757" s="24" t="str">
        <f aca="false">IF($C757="","",IFERROR(INDEX(WorkerIDs,MATCH($C757,WorkerNames,0)),"?"))</f>
        <v/>
      </c>
      <c r="J757" s="18" t="str">
        <f aca="false">IF($B757="","",$B757-WEEKDAY($B757,2)+1)</f>
        <v/>
      </c>
      <c r="K757" s="28" t="str">
        <f aca="false">IF(OR($I757="",$I757="?",$D757&lt;&gt;"Advance",$B757=""),"",$I757&amp;"|"&amp;$J757&amp;"|"&amp;COUNTIFS($I$6:$I757,$I757,$J$6:$J757,$J757,$D$6:$D757,"Advance"))</f>
        <v/>
      </c>
      <c r="L757" s="29" t="str">
        <f aca="false">IF(OR($I757="",$I757="?",$B757=""),"",SUMPRODUCT((Weeks!$A$6:$A$58&lt;=$J757)*(Weeks!$Z$4:$AK$4=$I757)*Weeks!$Z$6:$AK$58)-SUMIFS($E$6:$E$1005,$I$6:$I$1005,$I757,$B$6:$B$1005,"&lt;="&amp;$B757))</f>
        <v/>
      </c>
      <c r="M757" s="19" t="str">
        <f aca="false">IF($B757&amp;$C757&amp;$D757&amp;$E757="","",IF($B757="","missing date",IF($C757="","missing worker",IF($I757="?","unknown worker - was the name changed on Workers?",IF($D757="","missing type",IF(N($E757)=0,"missing amount",IF(AND($E757&lt;0,$D757&lt;&gt;"Correction"),"negative amount - use a Correction to undo",IF(OR($B757&lt;Weeks!$A$6,$B757&gt;Weeks!$B$58),"date outside this workbook's year",IF(AND($D757="Advance",N($L757)&lt;0),"Warning: more than earned so far - worker now owes "&amp;ROUND(-$L757,0),"")))))))))</f>
        <v/>
      </c>
    </row>
    <row r="758" customFormat="false" ht="15" hidden="false" customHeight="false" outlineLevel="0" collapsed="false">
      <c r="A758" s="24" t="str">
        <f aca="false">IF($B758="","",ROW()-5)</f>
        <v/>
      </c>
      <c r="B758" s="25"/>
      <c r="C758" s="20"/>
      <c r="D758" s="26"/>
      <c r="E758" s="27"/>
      <c r="F758" s="20"/>
      <c r="G758" s="20"/>
      <c r="H758" s="26"/>
      <c r="I758" s="24" t="str">
        <f aca="false">IF($C758="","",IFERROR(INDEX(WorkerIDs,MATCH($C758,WorkerNames,0)),"?"))</f>
        <v/>
      </c>
      <c r="J758" s="18" t="str">
        <f aca="false">IF($B758="","",$B758-WEEKDAY($B758,2)+1)</f>
        <v/>
      </c>
      <c r="K758" s="28" t="str">
        <f aca="false">IF(OR($I758="",$I758="?",$D758&lt;&gt;"Advance",$B758=""),"",$I758&amp;"|"&amp;$J758&amp;"|"&amp;COUNTIFS($I$6:$I758,$I758,$J$6:$J758,$J758,$D$6:$D758,"Advance"))</f>
        <v/>
      </c>
      <c r="L758" s="29" t="str">
        <f aca="false">IF(OR($I758="",$I758="?",$B758=""),"",SUMPRODUCT((Weeks!$A$6:$A$58&lt;=$J758)*(Weeks!$Z$4:$AK$4=$I758)*Weeks!$Z$6:$AK$58)-SUMIFS($E$6:$E$1005,$I$6:$I$1005,$I758,$B$6:$B$1005,"&lt;="&amp;$B758))</f>
        <v/>
      </c>
      <c r="M758" s="19" t="str">
        <f aca="false">IF($B758&amp;$C758&amp;$D758&amp;$E758="","",IF($B758="","missing date",IF($C758="","missing worker",IF($I758="?","unknown worker - was the name changed on Workers?",IF($D758="","missing type",IF(N($E758)=0,"missing amount",IF(AND($E758&lt;0,$D758&lt;&gt;"Correction"),"negative amount - use a Correction to undo",IF(OR($B758&lt;Weeks!$A$6,$B758&gt;Weeks!$B$58),"date outside this workbook's year",IF(AND($D758="Advance",N($L758)&lt;0),"Warning: more than earned so far - worker now owes "&amp;ROUND(-$L758,0),"")))))))))</f>
        <v/>
      </c>
    </row>
    <row r="759" customFormat="false" ht="15" hidden="false" customHeight="false" outlineLevel="0" collapsed="false">
      <c r="A759" s="24" t="str">
        <f aca="false">IF($B759="","",ROW()-5)</f>
        <v/>
      </c>
      <c r="B759" s="25"/>
      <c r="C759" s="20"/>
      <c r="D759" s="26"/>
      <c r="E759" s="27"/>
      <c r="F759" s="20"/>
      <c r="G759" s="20"/>
      <c r="H759" s="26"/>
      <c r="I759" s="24" t="str">
        <f aca="false">IF($C759="","",IFERROR(INDEX(WorkerIDs,MATCH($C759,WorkerNames,0)),"?"))</f>
        <v/>
      </c>
      <c r="J759" s="18" t="str">
        <f aca="false">IF($B759="","",$B759-WEEKDAY($B759,2)+1)</f>
        <v/>
      </c>
      <c r="K759" s="28" t="str">
        <f aca="false">IF(OR($I759="",$I759="?",$D759&lt;&gt;"Advance",$B759=""),"",$I759&amp;"|"&amp;$J759&amp;"|"&amp;COUNTIFS($I$6:$I759,$I759,$J$6:$J759,$J759,$D$6:$D759,"Advance"))</f>
        <v/>
      </c>
      <c r="L759" s="29" t="str">
        <f aca="false">IF(OR($I759="",$I759="?",$B759=""),"",SUMPRODUCT((Weeks!$A$6:$A$58&lt;=$J759)*(Weeks!$Z$4:$AK$4=$I759)*Weeks!$Z$6:$AK$58)-SUMIFS($E$6:$E$1005,$I$6:$I$1005,$I759,$B$6:$B$1005,"&lt;="&amp;$B759))</f>
        <v/>
      </c>
      <c r="M759" s="19" t="str">
        <f aca="false">IF($B759&amp;$C759&amp;$D759&amp;$E759="","",IF($B759="","missing date",IF($C759="","missing worker",IF($I759="?","unknown worker - was the name changed on Workers?",IF($D759="","missing type",IF(N($E759)=0,"missing amount",IF(AND($E759&lt;0,$D759&lt;&gt;"Correction"),"negative amount - use a Correction to undo",IF(OR($B759&lt;Weeks!$A$6,$B759&gt;Weeks!$B$58),"date outside this workbook's year",IF(AND($D759="Advance",N($L759)&lt;0),"Warning: more than earned so far - worker now owes "&amp;ROUND(-$L759,0),"")))))))))</f>
        <v/>
      </c>
    </row>
    <row r="760" customFormat="false" ht="15" hidden="false" customHeight="false" outlineLevel="0" collapsed="false">
      <c r="A760" s="24" t="str">
        <f aca="false">IF($B760="","",ROW()-5)</f>
        <v/>
      </c>
      <c r="B760" s="25"/>
      <c r="C760" s="20"/>
      <c r="D760" s="26"/>
      <c r="E760" s="27"/>
      <c r="F760" s="20"/>
      <c r="G760" s="20"/>
      <c r="H760" s="26"/>
      <c r="I760" s="24" t="str">
        <f aca="false">IF($C760="","",IFERROR(INDEX(WorkerIDs,MATCH($C760,WorkerNames,0)),"?"))</f>
        <v/>
      </c>
      <c r="J760" s="18" t="str">
        <f aca="false">IF($B760="","",$B760-WEEKDAY($B760,2)+1)</f>
        <v/>
      </c>
      <c r="K760" s="28" t="str">
        <f aca="false">IF(OR($I760="",$I760="?",$D760&lt;&gt;"Advance",$B760=""),"",$I760&amp;"|"&amp;$J760&amp;"|"&amp;COUNTIFS($I$6:$I760,$I760,$J$6:$J760,$J760,$D$6:$D760,"Advance"))</f>
        <v/>
      </c>
      <c r="L760" s="29" t="str">
        <f aca="false">IF(OR($I760="",$I760="?",$B760=""),"",SUMPRODUCT((Weeks!$A$6:$A$58&lt;=$J760)*(Weeks!$Z$4:$AK$4=$I760)*Weeks!$Z$6:$AK$58)-SUMIFS($E$6:$E$1005,$I$6:$I$1005,$I760,$B$6:$B$1005,"&lt;="&amp;$B760))</f>
        <v/>
      </c>
      <c r="M760" s="19" t="str">
        <f aca="false">IF($B760&amp;$C760&amp;$D760&amp;$E760="","",IF($B760="","missing date",IF($C760="","missing worker",IF($I760="?","unknown worker - was the name changed on Workers?",IF($D760="","missing type",IF(N($E760)=0,"missing amount",IF(AND($E760&lt;0,$D760&lt;&gt;"Correction"),"negative amount - use a Correction to undo",IF(OR($B760&lt;Weeks!$A$6,$B760&gt;Weeks!$B$58),"date outside this workbook's year",IF(AND($D760="Advance",N($L760)&lt;0),"Warning: more than earned so far - worker now owes "&amp;ROUND(-$L760,0),"")))))))))</f>
        <v/>
      </c>
    </row>
    <row r="761" customFormat="false" ht="15" hidden="false" customHeight="false" outlineLevel="0" collapsed="false">
      <c r="A761" s="24" t="str">
        <f aca="false">IF($B761="","",ROW()-5)</f>
        <v/>
      </c>
      <c r="B761" s="25"/>
      <c r="C761" s="20"/>
      <c r="D761" s="26"/>
      <c r="E761" s="27"/>
      <c r="F761" s="20"/>
      <c r="G761" s="20"/>
      <c r="H761" s="26"/>
      <c r="I761" s="24" t="str">
        <f aca="false">IF($C761="","",IFERROR(INDEX(WorkerIDs,MATCH($C761,WorkerNames,0)),"?"))</f>
        <v/>
      </c>
      <c r="J761" s="18" t="str">
        <f aca="false">IF($B761="","",$B761-WEEKDAY($B761,2)+1)</f>
        <v/>
      </c>
      <c r="K761" s="28" t="str">
        <f aca="false">IF(OR($I761="",$I761="?",$D761&lt;&gt;"Advance",$B761=""),"",$I761&amp;"|"&amp;$J761&amp;"|"&amp;COUNTIFS($I$6:$I761,$I761,$J$6:$J761,$J761,$D$6:$D761,"Advance"))</f>
        <v/>
      </c>
      <c r="L761" s="29" t="str">
        <f aca="false">IF(OR($I761="",$I761="?",$B761=""),"",SUMPRODUCT((Weeks!$A$6:$A$58&lt;=$J761)*(Weeks!$Z$4:$AK$4=$I761)*Weeks!$Z$6:$AK$58)-SUMIFS($E$6:$E$1005,$I$6:$I$1005,$I761,$B$6:$B$1005,"&lt;="&amp;$B761))</f>
        <v/>
      </c>
      <c r="M761" s="19" t="str">
        <f aca="false">IF($B761&amp;$C761&amp;$D761&amp;$E761="","",IF($B761="","missing date",IF($C761="","missing worker",IF($I761="?","unknown worker - was the name changed on Workers?",IF($D761="","missing type",IF(N($E761)=0,"missing amount",IF(AND($E761&lt;0,$D761&lt;&gt;"Correction"),"negative amount - use a Correction to undo",IF(OR($B761&lt;Weeks!$A$6,$B761&gt;Weeks!$B$58),"date outside this workbook's year",IF(AND($D761="Advance",N($L761)&lt;0),"Warning: more than earned so far - worker now owes "&amp;ROUND(-$L761,0),"")))))))))</f>
        <v/>
      </c>
    </row>
    <row r="762" customFormat="false" ht="15" hidden="false" customHeight="false" outlineLevel="0" collapsed="false">
      <c r="A762" s="24" t="str">
        <f aca="false">IF($B762="","",ROW()-5)</f>
        <v/>
      </c>
      <c r="B762" s="25"/>
      <c r="C762" s="20"/>
      <c r="D762" s="26"/>
      <c r="E762" s="27"/>
      <c r="F762" s="20"/>
      <c r="G762" s="20"/>
      <c r="H762" s="26"/>
      <c r="I762" s="24" t="str">
        <f aca="false">IF($C762="","",IFERROR(INDEX(WorkerIDs,MATCH($C762,WorkerNames,0)),"?"))</f>
        <v/>
      </c>
      <c r="J762" s="18" t="str">
        <f aca="false">IF($B762="","",$B762-WEEKDAY($B762,2)+1)</f>
        <v/>
      </c>
      <c r="K762" s="28" t="str">
        <f aca="false">IF(OR($I762="",$I762="?",$D762&lt;&gt;"Advance",$B762=""),"",$I762&amp;"|"&amp;$J762&amp;"|"&amp;COUNTIFS($I$6:$I762,$I762,$J$6:$J762,$J762,$D$6:$D762,"Advance"))</f>
        <v/>
      </c>
      <c r="L762" s="29" t="str">
        <f aca="false">IF(OR($I762="",$I762="?",$B762=""),"",SUMPRODUCT((Weeks!$A$6:$A$58&lt;=$J762)*(Weeks!$Z$4:$AK$4=$I762)*Weeks!$Z$6:$AK$58)-SUMIFS($E$6:$E$1005,$I$6:$I$1005,$I762,$B$6:$B$1005,"&lt;="&amp;$B762))</f>
        <v/>
      </c>
      <c r="M762" s="19" t="str">
        <f aca="false">IF($B762&amp;$C762&amp;$D762&amp;$E762="","",IF($B762="","missing date",IF($C762="","missing worker",IF($I762="?","unknown worker - was the name changed on Workers?",IF($D762="","missing type",IF(N($E762)=0,"missing amount",IF(AND($E762&lt;0,$D762&lt;&gt;"Correction"),"negative amount - use a Correction to undo",IF(OR($B762&lt;Weeks!$A$6,$B762&gt;Weeks!$B$58),"date outside this workbook's year",IF(AND($D762="Advance",N($L762)&lt;0),"Warning: more than earned so far - worker now owes "&amp;ROUND(-$L762,0),"")))))))))</f>
        <v/>
      </c>
    </row>
    <row r="763" customFormat="false" ht="15" hidden="false" customHeight="false" outlineLevel="0" collapsed="false">
      <c r="A763" s="24" t="str">
        <f aca="false">IF($B763="","",ROW()-5)</f>
        <v/>
      </c>
      <c r="B763" s="25"/>
      <c r="C763" s="20"/>
      <c r="D763" s="26"/>
      <c r="E763" s="27"/>
      <c r="F763" s="20"/>
      <c r="G763" s="20"/>
      <c r="H763" s="26"/>
      <c r="I763" s="24" t="str">
        <f aca="false">IF($C763="","",IFERROR(INDEX(WorkerIDs,MATCH($C763,WorkerNames,0)),"?"))</f>
        <v/>
      </c>
      <c r="J763" s="18" t="str">
        <f aca="false">IF($B763="","",$B763-WEEKDAY($B763,2)+1)</f>
        <v/>
      </c>
      <c r="K763" s="28" t="str">
        <f aca="false">IF(OR($I763="",$I763="?",$D763&lt;&gt;"Advance",$B763=""),"",$I763&amp;"|"&amp;$J763&amp;"|"&amp;COUNTIFS($I$6:$I763,$I763,$J$6:$J763,$J763,$D$6:$D763,"Advance"))</f>
        <v/>
      </c>
      <c r="L763" s="29" t="str">
        <f aca="false">IF(OR($I763="",$I763="?",$B763=""),"",SUMPRODUCT((Weeks!$A$6:$A$58&lt;=$J763)*(Weeks!$Z$4:$AK$4=$I763)*Weeks!$Z$6:$AK$58)-SUMIFS($E$6:$E$1005,$I$6:$I$1005,$I763,$B$6:$B$1005,"&lt;="&amp;$B763))</f>
        <v/>
      </c>
      <c r="M763" s="19" t="str">
        <f aca="false">IF($B763&amp;$C763&amp;$D763&amp;$E763="","",IF($B763="","missing date",IF($C763="","missing worker",IF($I763="?","unknown worker - was the name changed on Workers?",IF($D763="","missing type",IF(N($E763)=0,"missing amount",IF(AND($E763&lt;0,$D763&lt;&gt;"Correction"),"negative amount - use a Correction to undo",IF(OR($B763&lt;Weeks!$A$6,$B763&gt;Weeks!$B$58),"date outside this workbook's year",IF(AND($D763="Advance",N($L763)&lt;0),"Warning: more than earned so far - worker now owes "&amp;ROUND(-$L763,0),"")))))))))</f>
        <v/>
      </c>
    </row>
    <row r="764" customFormat="false" ht="15" hidden="false" customHeight="false" outlineLevel="0" collapsed="false">
      <c r="A764" s="24" t="str">
        <f aca="false">IF($B764="","",ROW()-5)</f>
        <v/>
      </c>
      <c r="B764" s="25"/>
      <c r="C764" s="20"/>
      <c r="D764" s="26"/>
      <c r="E764" s="27"/>
      <c r="F764" s="20"/>
      <c r="G764" s="20"/>
      <c r="H764" s="26"/>
      <c r="I764" s="24" t="str">
        <f aca="false">IF($C764="","",IFERROR(INDEX(WorkerIDs,MATCH($C764,WorkerNames,0)),"?"))</f>
        <v/>
      </c>
      <c r="J764" s="18" t="str">
        <f aca="false">IF($B764="","",$B764-WEEKDAY($B764,2)+1)</f>
        <v/>
      </c>
      <c r="K764" s="28" t="str">
        <f aca="false">IF(OR($I764="",$I764="?",$D764&lt;&gt;"Advance",$B764=""),"",$I764&amp;"|"&amp;$J764&amp;"|"&amp;COUNTIFS($I$6:$I764,$I764,$J$6:$J764,$J764,$D$6:$D764,"Advance"))</f>
        <v/>
      </c>
      <c r="L764" s="29" t="str">
        <f aca="false">IF(OR($I764="",$I764="?",$B764=""),"",SUMPRODUCT((Weeks!$A$6:$A$58&lt;=$J764)*(Weeks!$Z$4:$AK$4=$I764)*Weeks!$Z$6:$AK$58)-SUMIFS($E$6:$E$1005,$I$6:$I$1005,$I764,$B$6:$B$1005,"&lt;="&amp;$B764))</f>
        <v/>
      </c>
      <c r="M764" s="19" t="str">
        <f aca="false">IF($B764&amp;$C764&amp;$D764&amp;$E764="","",IF($B764="","missing date",IF($C764="","missing worker",IF($I764="?","unknown worker - was the name changed on Workers?",IF($D764="","missing type",IF(N($E764)=0,"missing amount",IF(AND($E764&lt;0,$D764&lt;&gt;"Correction"),"negative amount - use a Correction to undo",IF(OR($B764&lt;Weeks!$A$6,$B764&gt;Weeks!$B$58),"date outside this workbook's year",IF(AND($D764="Advance",N($L764)&lt;0),"Warning: more than earned so far - worker now owes "&amp;ROUND(-$L764,0),"")))))))))</f>
        <v/>
      </c>
    </row>
    <row r="765" customFormat="false" ht="15" hidden="false" customHeight="false" outlineLevel="0" collapsed="false">
      <c r="A765" s="24" t="str">
        <f aca="false">IF($B765="","",ROW()-5)</f>
        <v/>
      </c>
      <c r="B765" s="25"/>
      <c r="C765" s="20"/>
      <c r="D765" s="26"/>
      <c r="E765" s="27"/>
      <c r="F765" s="20"/>
      <c r="G765" s="20"/>
      <c r="H765" s="26"/>
      <c r="I765" s="24" t="str">
        <f aca="false">IF($C765="","",IFERROR(INDEX(WorkerIDs,MATCH($C765,WorkerNames,0)),"?"))</f>
        <v/>
      </c>
      <c r="J765" s="18" t="str">
        <f aca="false">IF($B765="","",$B765-WEEKDAY($B765,2)+1)</f>
        <v/>
      </c>
      <c r="K765" s="28" t="str">
        <f aca="false">IF(OR($I765="",$I765="?",$D765&lt;&gt;"Advance",$B765=""),"",$I765&amp;"|"&amp;$J765&amp;"|"&amp;COUNTIFS($I$6:$I765,$I765,$J$6:$J765,$J765,$D$6:$D765,"Advance"))</f>
        <v/>
      </c>
      <c r="L765" s="29" t="str">
        <f aca="false">IF(OR($I765="",$I765="?",$B765=""),"",SUMPRODUCT((Weeks!$A$6:$A$58&lt;=$J765)*(Weeks!$Z$4:$AK$4=$I765)*Weeks!$Z$6:$AK$58)-SUMIFS($E$6:$E$1005,$I$6:$I$1005,$I765,$B$6:$B$1005,"&lt;="&amp;$B765))</f>
        <v/>
      </c>
      <c r="M765" s="19" t="str">
        <f aca="false">IF($B765&amp;$C765&amp;$D765&amp;$E765="","",IF($B765="","missing date",IF($C765="","missing worker",IF($I765="?","unknown worker - was the name changed on Workers?",IF($D765="","missing type",IF(N($E765)=0,"missing amount",IF(AND($E765&lt;0,$D765&lt;&gt;"Correction"),"negative amount - use a Correction to undo",IF(OR($B765&lt;Weeks!$A$6,$B765&gt;Weeks!$B$58),"date outside this workbook's year",IF(AND($D765="Advance",N($L765)&lt;0),"Warning: more than earned so far - worker now owes "&amp;ROUND(-$L765,0),"")))))))))</f>
        <v/>
      </c>
    </row>
    <row r="766" customFormat="false" ht="15" hidden="false" customHeight="false" outlineLevel="0" collapsed="false">
      <c r="A766" s="24" t="str">
        <f aca="false">IF($B766="","",ROW()-5)</f>
        <v/>
      </c>
      <c r="B766" s="25"/>
      <c r="C766" s="20"/>
      <c r="D766" s="26"/>
      <c r="E766" s="27"/>
      <c r="F766" s="20"/>
      <c r="G766" s="20"/>
      <c r="H766" s="26"/>
      <c r="I766" s="24" t="str">
        <f aca="false">IF($C766="","",IFERROR(INDEX(WorkerIDs,MATCH($C766,WorkerNames,0)),"?"))</f>
        <v/>
      </c>
      <c r="J766" s="18" t="str">
        <f aca="false">IF($B766="","",$B766-WEEKDAY($B766,2)+1)</f>
        <v/>
      </c>
      <c r="K766" s="28" t="str">
        <f aca="false">IF(OR($I766="",$I766="?",$D766&lt;&gt;"Advance",$B766=""),"",$I766&amp;"|"&amp;$J766&amp;"|"&amp;COUNTIFS($I$6:$I766,$I766,$J$6:$J766,$J766,$D$6:$D766,"Advance"))</f>
        <v/>
      </c>
      <c r="L766" s="29" t="str">
        <f aca="false">IF(OR($I766="",$I766="?",$B766=""),"",SUMPRODUCT((Weeks!$A$6:$A$58&lt;=$J766)*(Weeks!$Z$4:$AK$4=$I766)*Weeks!$Z$6:$AK$58)-SUMIFS($E$6:$E$1005,$I$6:$I$1005,$I766,$B$6:$B$1005,"&lt;="&amp;$B766))</f>
        <v/>
      </c>
      <c r="M766" s="19" t="str">
        <f aca="false">IF($B766&amp;$C766&amp;$D766&amp;$E766="","",IF($B766="","missing date",IF($C766="","missing worker",IF($I766="?","unknown worker - was the name changed on Workers?",IF($D766="","missing type",IF(N($E766)=0,"missing amount",IF(AND($E766&lt;0,$D766&lt;&gt;"Correction"),"negative amount - use a Correction to undo",IF(OR($B766&lt;Weeks!$A$6,$B766&gt;Weeks!$B$58),"date outside this workbook's year",IF(AND($D766="Advance",N($L766)&lt;0),"Warning: more than earned so far - worker now owes "&amp;ROUND(-$L766,0),"")))))))))</f>
        <v/>
      </c>
    </row>
    <row r="767" customFormat="false" ht="15" hidden="false" customHeight="false" outlineLevel="0" collapsed="false">
      <c r="A767" s="24" t="str">
        <f aca="false">IF($B767="","",ROW()-5)</f>
        <v/>
      </c>
      <c r="B767" s="25"/>
      <c r="C767" s="20"/>
      <c r="D767" s="26"/>
      <c r="E767" s="27"/>
      <c r="F767" s="20"/>
      <c r="G767" s="20"/>
      <c r="H767" s="26"/>
      <c r="I767" s="24" t="str">
        <f aca="false">IF($C767="","",IFERROR(INDEX(WorkerIDs,MATCH($C767,WorkerNames,0)),"?"))</f>
        <v/>
      </c>
      <c r="J767" s="18" t="str">
        <f aca="false">IF($B767="","",$B767-WEEKDAY($B767,2)+1)</f>
        <v/>
      </c>
      <c r="K767" s="28" t="str">
        <f aca="false">IF(OR($I767="",$I767="?",$D767&lt;&gt;"Advance",$B767=""),"",$I767&amp;"|"&amp;$J767&amp;"|"&amp;COUNTIFS($I$6:$I767,$I767,$J$6:$J767,$J767,$D$6:$D767,"Advance"))</f>
        <v/>
      </c>
      <c r="L767" s="29" t="str">
        <f aca="false">IF(OR($I767="",$I767="?",$B767=""),"",SUMPRODUCT((Weeks!$A$6:$A$58&lt;=$J767)*(Weeks!$Z$4:$AK$4=$I767)*Weeks!$Z$6:$AK$58)-SUMIFS($E$6:$E$1005,$I$6:$I$1005,$I767,$B$6:$B$1005,"&lt;="&amp;$B767))</f>
        <v/>
      </c>
      <c r="M767" s="19" t="str">
        <f aca="false">IF($B767&amp;$C767&amp;$D767&amp;$E767="","",IF($B767="","missing date",IF($C767="","missing worker",IF($I767="?","unknown worker - was the name changed on Workers?",IF($D767="","missing type",IF(N($E767)=0,"missing amount",IF(AND($E767&lt;0,$D767&lt;&gt;"Correction"),"negative amount - use a Correction to undo",IF(OR($B767&lt;Weeks!$A$6,$B767&gt;Weeks!$B$58),"date outside this workbook's year",IF(AND($D767="Advance",N($L767)&lt;0),"Warning: more than earned so far - worker now owes "&amp;ROUND(-$L767,0),"")))))))))</f>
        <v/>
      </c>
    </row>
    <row r="768" customFormat="false" ht="15" hidden="false" customHeight="false" outlineLevel="0" collapsed="false">
      <c r="A768" s="24" t="str">
        <f aca="false">IF($B768="","",ROW()-5)</f>
        <v/>
      </c>
      <c r="B768" s="25"/>
      <c r="C768" s="20"/>
      <c r="D768" s="26"/>
      <c r="E768" s="27"/>
      <c r="F768" s="20"/>
      <c r="G768" s="20"/>
      <c r="H768" s="26"/>
      <c r="I768" s="24" t="str">
        <f aca="false">IF($C768="","",IFERROR(INDEX(WorkerIDs,MATCH($C768,WorkerNames,0)),"?"))</f>
        <v/>
      </c>
      <c r="J768" s="18" t="str">
        <f aca="false">IF($B768="","",$B768-WEEKDAY($B768,2)+1)</f>
        <v/>
      </c>
      <c r="K768" s="28" t="str">
        <f aca="false">IF(OR($I768="",$I768="?",$D768&lt;&gt;"Advance",$B768=""),"",$I768&amp;"|"&amp;$J768&amp;"|"&amp;COUNTIFS($I$6:$I768,$I768,$J$6:$J768,$J768,$D$6:$D768,"Advance"))</f>
        <v/>
      </c>
      <c r="L768" s="29" t="str">
        <f aca="false">IF(OR($I768="",$I768="?",$B768=""),"",SUMPRODUCT((Weeks!$A$6:$A$58&lt;=$J768)*(Weeks!$Z$4:$AK$4=$I768)*Weeks!$Z$6:$AK$58)-SUMIFS($E$6:$E$1005,$I$6:$I$1005,$I768,$B$6:$B$1005,"&lt;="&amp;$B768))</f>
        <v/>
      </c>
      <c r="M768" s="19" t="str">
        <f aca="false">IF($B768&amp;$C768&amp;$D768&amp;$E768="","",IF($B768="","missing date",IF($C768="","missing worker",IF($I768="?","unknown worker - was the name changed on Workers?",IF($D768="","missing type",IF(N($E768)=0,"missing amount",IF(AND($E768&lt;0,$D768&lt;&gt;"Correction"),"negative amount - use a Correction to undo",IF(OR($B768&lt;Weeks!$A$6,$B768&gt;Weeks!$B$58),"date outside this workbook's year",IF(AND($D768="Advance",N($L768)&lt;0),"Warning: more than earned so far - worker now owes "&amp;ROUND(-$L768,0),"")))))))))</f>
        <v/>
      </c>
    </row>
    <row r="769" customFormat="false" ht="15" hidden="false" customHeight="false" outlineLevel="0" collapsed="false">
      <c r="A769" s="24" t="str">
        <f aca="false">IF($B769="","",ROW()-5)</f>
        <v/>
      </c>
      <c r="B769" s="25"/>
      <c r="C769" s="20"/>
      <c r="D769" s="26"/>
      <c r="E769" s="27"/>
      <c r="F769" s="20"/>
      <c r="G769" s="20"/>
      <c r="H769" s="26"/>
      <c r="I769" s="24" t="str">
        <f aca="false">IF($C769="","",IFERROR(INDEX(WorkerIDs,MATCH($C769,WorkerNames,0)),"?"))</f>
        <v/>
      </c>
      <c r="J769" s="18" t="str">
        <f aca="false">IF($B769="","",$B769-WEEKDAY($B769,2)+1)</f>
        <v/>
      </c>
      <c r="K769" s="28" t="str">
        <f aca="false">IF(OR($I769="",$I769="?",$D769&lt;&gt;"Advance",$B769=""),"",$I769&amp;"|"&amp;$J769&amp;"|"&amp;COUNTIFS($I$6:$I769,$I769,$J$6:$J769,$J769,$D$6:$D769,"Advance"))</f>
        <v/>
      </c>
      <c r="L769" s="29" t="str">
        <f aca="false">IF(OR($I769="",$I769="?",$B769=""),"",SUMPRODUCT((Weeks!$A$6:$A$58&lt;=$J769)*(Weeks!$Z$4:$AK$4=$I769)*Weeks!$Z$6:$AK$58)-SUMIFS($E$6:$E$1005,$I$6:$I$1005,$I769,$B$6:$B$1005,"&lt;="&amp;$B769))</f>
        <v/>
      </c>
      <c r="M769" s="19" t="str">
        <f aca="false">IF($B769&amp;$C769&amp;$D769&amp;$E769="","",IF($B769="","missing date",IF($C769="","missing worker",IF($I769="?","unknown worker - was the name changed on Workers?",IF($D769="","missing type",IF(N($E769)=0,"missing amount",IF(AND($E769&lt;0,$D769&lt;&gt;"Correction"),"negative amount - use a Correction to undo",IF(OR($B769&lt;Weeks!$A$6,$B769&gt;Weeks!$B$58),"date outside this workbook's year",IF(AND($D769="Advance",N($L769)&lt;0),"Warning: more than earned so far - worker now owes "&amp;ROUND(-$L769,0),"")))))))))</f>
        <v/>
      </c>
    </row>
    <row r="770" customFormat="false" ht="15" hidden="false" customHeight="false" outlineLevel="0" collapsed="false">
      <c r="A770" s="24" t="str">
        <f aca="false">IF($B770="","",ROW()-5)</f>
        <v/>
      </c>
      <c r="B770" s="25"/>
      <c r="C770" s="20"/>
      <c r="D770" s="26"/>
      <c r="E770" s="27"/>
      <c r="F770" s="20"/>
      <c r="G770" s="20"/>
      <c r="H770" s="26"/>
      <c r="I770" s="24" t="str">
        <f aca="false">IF($C770="","",IFERROR(INDEX(WorkerIDs,MATCH($C770,WorkerNames,0)),"?"))</f>
        <v/>
      </c>
      <c r="J770" s="18" t="str">
        <f aca="false">IF($B770="","",$B770-WEEKDAY($B770,2)+1)</f>
        <v/>
      </c>
      <c r="K770" s="28" t="str">
        <f aca="false">IF(OR($I770="",$I770="?",$D770&lt;&gt;"Advance",$B770=""),"",$I770&amp;"|"&amp;$J770&amp;"|"&amp;COUNTIFS($I$6:$I770,$I770,$J$6:$J770,$J770,$D$6:$D770,"Advance"))</f>
        <v/>
      </c>
      <c r="L770" s="29" t="str">
        <f aca="false">IF(OR($I770="",$I770="?",$B770=""),"",SUMPRODUCT((Weeks!$A$6:$A$58&lt;=$J770)*(Weeks!$Z$4:$AK$4=$I770)*Weeks!$Z$6:$AK$58)-SUMIFS($E$6:$E$1005,$I$6:$I$1005,$I770,$B$6:$B$1005,"&lt;="&amp;$B770))</f>
        <v/>
      </c>
      <c r="M770" s="19" t="str">
        <f aca="false">IF($B770&amp;$C770&amp;$D770&amp;$E770="","",IF($B770="","missing date",IF($C770="","missing worker",IF($I770="?","unknown worker - was the name changed on Workers?",IF($D770="","missing type",IF(N($E770)=0,"missing amount",IF(AND($E770&lt;0,$D770&lt;&gt;"Correction"),"negative amount - use a Correction to undo",IF(OR($B770&lt;Weeks!$A$6,$B770&gt;Weeks!$B$58),"date outside this workbook's year",IF(AND($D770="Advance",N($L770)&lt;0),"Warning: more than earned so far - worker now owes "&amp;ROUND(-$L770,0),"")))))))))</f>
        <v/>
      </c>
    </row>
    <row r="771" customFormat="false" ht="15" hidden="false" customHeight="false" outlineLevel="0" collapsed="false">
      <c r="A771" s="24" t="str">
        <f aca="false">IF($B771="","",ROW()-5)</f>
        <v/>
      </c>
      <c r="B771" s="25"/>
      <c r="C771" s="20"/>
      <c r="D771" s="26"/>
      <c r="E771" s="27"/>
      <c r="F771" s="20"/>
      <c r="G771" s="20"/>
      <c r="H771" s="26"/>
      <c r="I771" s="24" t="str">
        <f aca="false">IF($C771="","",IFERROR(INDEX(WorkerIDs,MATCH($C771,WorkerNames,0)),"?"))</f>
        <v/>
      </c>
      <c r="J771" s="18" t="str">
        <f aca="false">IF($B771="","",$B771-WEEKDAY($B771,2)+1)</f>
        <v/>
      </c>
      <c r="K771" s="28" t="str">
        <f aca="false">IF(OR($I771="",$I771="?",$D771&lt;&gt;"Advance",$B771=""),"",$I771&amp;"|"&amp;$J771&amp;"|"&amp;COUNTIFS($I$6:$I771,$I771,$J$6:$J771,$J771,$D$6:$D771,"Advance"))</f>
        <v/>
      </c>
      <c r="L771" s="29" t="str">
        <f aca="false">IF(OR($I771="",$I771="?",$B771=""),"",SUMPRODUCT((Weeks!$A$6:$A$58&lt;=$J771)*(Weeks!$Z$4:$AK$4=$I771)*Weeks!$Z$6:$AK$58)-SUMIFS($E$6:$E$1005,$I$6:$I$1005,$I771,$B$6:$B$1005,"&lt;="&amp;$B771))</f>
        <v/>
      </c>
      <c r="M771" s="19" t="str">
        <f aca="false">IF($B771&amp;$C771&amp;$D771&amp;$E771="","",IF($B771="","missing date",IF($C771="","missing worker",IF($I771="?","unknown worker - was the name changed on Workers?",IF($D771="","missing type",IF(N($E771)=0,"missing amount",IF(AND($E771&lt;0,$D771&lt;&gt;"Correction"),"negative amount - use a Correction to undo",IF(OR($B771&lt;Weeks!$A$6,$B771&gt;Weeks!$B$58),"date outside this workbook's year",IF(AND($D771="Advance",N($L771)&lt;0),"Warning: more than earned so far - worker now owes "&amp;ROUND(-$L771,0),"")))))))))</f>
        <v/>
      </c>
    </row>
    <row r="772" customFormat="false" ht="15" hidden="false" customHeight="false" outlineLevel="0" collapsed="false">
      <c r="A772" s="24" t="str">
        <f aca="false">IF($B772="","",ROW()-5)</f>
        <v/>
      </c>
      <c r="B772" s="25"/>
      <c r="C772" s="20"/>
      <c r="D772" s="26"/>
      <c r="E772" s="27"/>
      <c r="F772" s="20"/>
      <c r="G772" s="20"/>
      <c r="H772" s="26"/>
      <c r="I772" s="24" t="str">
        <f aca="false">IF($C772="","",IFERROR(INDEX(WorkerIDs,MATCH($C772,WorkerNames,0)),"?"))</f>
        <v/>
      </c>
      <c r="J772" s="18" t="str">
        <f aca="false">IF($B772="","",$B772-WEEKDAY($B772,2)+1)</f>
        <v/>
      </c>
      <c r="K772" s="28" t="str">
        <f aca="false">IF(OR($I772="",$I772="?",$D772&lt;&gt;"Advance",$B772=""),"",$I772&amp;"|"&amp;$J772&amp;"|"&amp;COUNTIFS($I$6:$I772,$I772,$J$6:$J772,$J772,$D$6:$D772,"Advance"))</f>
        <v/>
      </c>
      <c r="L772" s="29" t="str">
        <f aca="false">IF(OR($I772="",$I772="?",$B772=""),"",SUMPRODUCT((Weeks!$A$6:$A$58&lt;=$J772)*(Weeks!$Z$4:$AK$4=$I772)*Weeks!$Z$6:$AK$58)-SUMIFS($E$6:$E$1005,$I$6:$I$1005,$I772,$B$6:$B$1005,"&lt;="&amp;$B772))</f>
        <v/>
      </c>
      <c r="M772" s="19" t="str">
        <f aca="false">IF($B772&amp;$C772&amp;$D772&amp;$E772="","",IF($B772="","missing date",IF($C772="","missing worker",IF($I772="?","unknown worker - was the name changed on Workers?",IF($D772="","missing type",IF(N($E772)=0,"missing amount",IF(AND($E772&lt;0,$D772&lt;&gt;"Correction"),"negative amount - use a Correction to undo",IF(OR($B772&lt;Weeks!$A$6,$B772&gt;Weeks!$B$58),"date outside this workbook's year",IF(AND($D772="Advance",N($L772)&lt;0),"Warning: more than earned so far - worker now owes "&amp;ROUND(-$L772,0),"")))))))))</f>
        <v/>
      </c>
    </row>
    <row r="773" customFormat="false" ht="15" hidden="false" customHeight="false" outlineLevel="0" collapsed="false">
      <c r="A773" s="24" t="str">
        <f aca="false">IF($B773="","",ROW()-5)</f>
        <v/>
      </c>
      <c r="B773" s="25"/>
      <c r="C773" s="20"/>
      <c r="D773" s="26"/>
      <c r="E773" s="27"/>
      <c r="F773" s="20"/>
      <c r="G773" s="20"/>
      <c r="H773" s="26"/>
      <c r="I773" s="24" t="str">
        <f aca="false">IF($C773="","",IFERROR(INDEX(WorkerIDs,MATCH($C773,WorkerNames,0)),"?"))</f>
        <v/>
      </c>
      <c r="J773" s="18" t="str">
        <f aca="false">IF($B773="","",$B773-WEEKDAY($B773,2)+1)</f>
        <v/>
      </c>
      <c r="K773" s="28" t="str">
        <f aca="false">IF(OR($I773="",$I773="?",$D773&lt;&gt;"Advance",$B773=""),"",$I773&amp;"|"&amp;$J773&amp;"|"&amp;COUNTIFS($I$6:$I773,$I773,$J$6:$J773,$J773,$D$6:$D773,"Advance"))</f>
        <v/>
      </c>
      <c r="L773" s="29" t="str">
        <f aca="false">IF(OR($I773="",$I773="?",$B773=""),"",SUMPRODUCT((Weeks!$A$6:$A$58&lt;=$J773)*(Weeks!$Z$4:$AK$4=$I773)*Weeks!$Z$6:$AK$58)-SUMIFS($E$6:$E$1005,$I$6:$I$1005,$I773,$B$6:$B$1005,"&lt;="&amp;$B773))</f>
        <v/>
      </c>
      <c r="M773" s="19" t="str">
        <f aca="false">IF($B773&amp;$C773&amp;$D773&amp;$E773="","",IF($B773="","missing date",IF($C773="","missing worker",IF($I773="?","unknown worker - was the name changed on Workers?",IF($D773="","missing type",IF(N($E773)=0,"missing amount",IF(AND($E773&lt;0,$D773&lt;&gt;"Correction"),"negative amount - use a Correction to undo",IF(OR($B773&lt;Weeks!$A$6,$B773&gt;Weeks!$B$58),"date outside this workbook's year",IF(AND($D773="Advance",N($L773)&lt;0),"Warning: more than earned so far - worker now owes "&amp;ROUND(-$L773,0),"")))))))))</f>
        <v/>
      </c>
    </row>
    <row r="774" customFormat="false" ht="15" hidden="false" customHeight="false" outlineLevel="0" collapsed="false">
      <c r="A774" s="24" t="str">
        <f aca="false">IF($B774="","",ROW()-5)</f>
        <v/>
      </c>
      <c r="B774" s="25"/>
      <c r="C774" s="20"/>
      <c r="D774" s="26"/>
      <c r="E774" s="27"/>
      <c r="F774" s="20"/>
      <c r="G774" s="20"/>
      <c r="H774" s="26"/>
      <c r="I774" s="24" t="str">
        <f aca="false">IF($C774="","",IFERROR(INDEX(WorkerIDs,MATCH($C774,WorkerNames,0)),"?"))</f>
        <v/>
      </c>
      <c r="J774" s="18" t="str">
        <f aca="false">IF($B774="","",$B774-WEEKDAY($B774,2)+1)</f>
        <v/>
      </c>
      <c r="K774" s="28" t="str">
        <f aca="false">IF(OR($I774="",$I774="?",$D774&lt;&gt;"Advance",$B774=""),"",$I774&amp;"|"&amp;$J774&amp;"|"&amp;COUNTIFS($I$6:$I774,$I774,$J$6:$J774,$J774,$D$6:$D774,"Advance"))</f>
        <v/>
      </c>
      <c r="L774" s="29" t="str">
        <f aca="false">IF(OR($I774="",$I774="?",$B774=""),"",SUMPRODUCT((Weeks!$A$6:$A$58&lt;=$J774)*(Weeks!$Z$4:$AK$4=$I774)*Weeks!$Z$6:$AK$58)-SUMIFS($E$6:$E$1005,$I$6:$I$1005,$I774,$B$6:$B$1005,"&lt;="&amp;$B774))</f>
        <v/>
      </c>
      <c r="M774" s="19" t="str">
        <f aca="false">IF($B774&amp;$C774&amp;$D774&amp;$E774="","",IF($B774="","missing date",IF($C774="","missing worker",IF($I774="?","unknown worker - was the name changed on Workers?",IF($D774="","missing type",IF(N($E774)=0,"missing amount",IF(AND($E774&lt;0,$D774&lt;&gt;"Correction"),"negative amount - use a Correction to undo",IF(OR($B774&lt;Weeks!$A$6,$B774&gt;Weeks!$B$58),"date outside this workbook's year",IF(AND($D774="Advance",N($L774)&lt;0),"Warning: more than earned so far - worker now owes "&amp;ROUND(-$L774,0),"")))))))))</f>
        <v/>
      </c>
    </row>
    <row r="775" customFormat="false" ht="15" hidden="false" customHeight="false" outlineLevel="0" collapsed="false">
      <c r="A775" s="24" t="str">
        <f aca="false">IF($B775="","",ROW()-5)</f>
        <v/>
      </c>
      <c r="B775" s="25"/>
      <c r="C775" s="20"/>
      <c r="D775" s="26"/>
      <c r="E775" s="27"/>
      <c r="F775" s="20"/>
      <c r="G775" s="20"/>
      <c r="H775" s="26"/>
      <c r="I775" s="24" t="str">
        <f aca="false">IF($C775="","",IFERROR(INDEX(WorkerIDs,MATCH($C775,WorkerNames,0)),"?"))</f>
        <v/>
      </c>
      <c r="J775" s="18" t="str">
        <f aca="false">IF($B775="","",$B775-WEEKDAY($B775,2)+1)</f>
        <v/>
      </c>
      <c r="K775" s="28" t="str">
        <f aca="false">IF(OR($I775="",$I775="?",$D775&lt;&gt;"Advance",$B775=""),"",$I775&amp;"|"&amp;$J775&amp;"|"&amp;COUNTIFS($I$6:$I775,$I775,$J$6:$J775,$J775,$D$6:$D775,"Advance"))</f>
        <v/>
      </c>
      <c r="L775" s="29" t="str">
        <f aca="false">IF(OR($I775="",$I775="?",$B775=""),"",SUMPRODUCT((Weeks!$A$6:$A$58&lt;=$J775)*(Weeks!$Z$4:$AK$4=$I775)*Weeks!$Z$6:$AK$58)-SUMIFS($E$6:$E$1005,$I$6:$I$1005,$I775,$B$6:$B$1005,"&lt;="&amp;$B775))</f>
        <v/>
      </c>
      <c r="M775" s="19" t="str">
        <f aca="false">IF($B775&amp;$C775&amp;$D775&amp;$E775="","",IF($B775="","missing date",IF($C775="","missing worker",IF($I775="?","unknown worker - was the name changed on Workers?",IF($D775="","missing type",IF(N($E775)=0,"missing amount",IF(AND($E775&lt;0,$D775&lt;&gt;"Correction"),"negative amount - use a Correction to undo",IF(OR($B775&lt;Weeks!$A$6,$B775&gt;Weeks!$B$58),"date outside this workbook's year",IF(AND($D775="Advance",N($L775)&lt;0),"Warning: more than earned so far - worker now owes "&amp;ROUND(-$L775,0),"")))))))))</f>
        <v/>
      </c>
    </row>
    <row r="776" customFormat="false" ht="15" hidden="false" customHeight="false" outlineLevel="0" collapsed="false">
      <c r="A776" s="24" t="str">
        <f aca="false">IF($B776="","",ROW()-5)</f>
        <v/>
      </c>
      <c r="B776" s="25"/>
      <c r="C776" s="20"/>
      <c r="D776" s="26"/>
      <c r="E776" s="27"/>
      <c r="F776" s="20"/>
      <c r="G776" s="20"/>
      <c r="H776" s="26"/>
      <c r="I776" s="24" t="str">
        <f aca="false">IF($C776="","",IFERROR(INDEX(WorkerIDs,MATCH($C776,WorkerNames,0)),"?"))</f>
        <v/>
      </c>
      <c r="J776" s="18" t="str">
        <f aca="false">IF($B776="","",$B776-WEEKDAY($B776,2)+1)</f>
        <v/>
      </c>
      <c r="K776" s="28" t="str">
        <f aca="false">IF(OR($I776="",$I776="?",$D776&lt;&gt;"Advance",$B776=""),"",$I776&amp;"|"&amp;$J776&amp;"|"&amp;COUNTIFS($I$6:$I776,$I776,$J$6:$J776,$J776,$D$6:$D776,"Advance"))</f>
        <v/>
      </c>
      <c r="L776" s="29" t="str">
        <f aca="false">IF(OR($I776="",$I776="?",$B776=""),"",SUMPRODUCT((Weeks!$A$6:$A$58&lt;=$J776)*(Weeks!$Z$4:$AK$4=$I776)*Weeks!$Z$6:$AK$58)-SUMIFS($E$6:$E$1005,$I$6:$I$1005,$I776,$B$6:$B$1005,"&lt;="&amp;$B776))</f>
        <v/>
      </c>
      <c r="M776" s="19" t="str">
        <f aca="false">IF($B776&amp;$C776&amp;$D776&amp;$E776="","",IF($B776="","missing date",IF($C776="","missing worker",IF($I776="?","unknown worker - was the name changed on Workers?",IF($D776="","missing type",IF(N($E776)=0,"missing amount",IF(AND($E776&lt;0,$D776&lt;&gt;"Correction"),"negative amount - use a Correction to undo",IF(OR($B776&lt;Weeks!$A$6,$B776&gt;Weeks!$B$58),"date outside this workbook's year",IF(AND($D776="Advance",N($L776)&lt;0),"Warning: more than earned so far - worker now owes "&amp;ROUND(-$L776,0),"")))))))))</f>
        <v/>
      </c>
    </row>
    <row r="777" customFormat="false" ht="15" hidden="false" customHeight="false" outlineLevel="0" collapsed="false">
      <c r="A777" s="24" t="str">
        <f aca="false">IF($B777="","",ROW()-5)</f>
        <v/>
      </c>
      <c r="B777" s="25"/>
      <c r="C777" s="20"/>
      <c r="D777" s="26"/>
      <c r="E777" s="27"/>
      <c r="F777" s="20"/>
      <c r="G777" s="20"/>
      <c r="H777" s="26"/>
      <c r="I777" s="24" t="str">
        <f aca="false">IF($C777="","",IFERROR(INDEX(WorkerIDs,MATCH($C777,WorkerNames,0)),"?"))</f>
        <v/>
      </c>
      <c r="J777" s="18" t="str">
        <f aca="false">IF($B777="","",$B777-WEEKDAY($B777,2)+1)</f>
        <v/>
      </c>
      <c r="K777" s="28" t="str">
        <f aca="false">IF(OR($I777="",$I777="?",$D777&lt;&gt;"Advance",$B777=""),"",$I777&amp;"|"&amp;$J777&amp;"|"&amp;COUNTIFS($I$6:$I777,$I777,$J$6:$J777,$J777,$D$6:$D777,"Advance"))</f>
        <v/>
      </c>
      <c r="L777" s="29" t="str">
        <f aca="false">IF(OR($I777="",$I777="?",$B777=""),"",SUMPRODUCT((Weeks!$A$6:$A$58&lt;=$J777)*(Weeks!$Z$4:$AK$4=$I777)*Weeks!$Z$6:$AK$58)-SUMIFS($E$6:$E$1005,$I$6:$I$1005,$I777,$B$6:$B$1005,"&lt;="&amp;$B777))</f>
        <v/>
      </c>
      <c r="M777" s="19" t="str">
        <f aca="false">IF($B777&amp;$C777&amp;$D777&amp;$E777="","",IF($B777="","missing date",IF($C777="","missing worker",IF($I777="?","unknown worker - was the name changed on Workers?",IF($D777="","missing type",IF(N($E777)=0,"missing amount",IF(AND($E777&lt;0,$D777&lt;&gt;"Correction"),"negative amount - use a Correction to undo",IF(OR($B777&lt;Weeks!$A$6,$B777&gt;Weeks!$B$58),"date outside this workbook's year",IF(AND($D777="Advance",N($L777)&lt;0),"Warning: more than earned so far - worker now owes "&amp;ROUND(-$L777,0),"")))))))))</f>
        <v/>
      </c>
    </row>
    <row r="778" customFormat="false" ht="15" hidden="false" customHeight="false" outlineLevel="0" collapsed="false">
      <c r="A778" s="24" t="str">
        <f aca="false">IF($B778="","",ROW()-5)</f>
        <v/>
      </c>
      <c r="B778" s="25"/>
      <c r="C778" s="20"/>
      <c r="D778" s="26"/>
      <c r="E778" s="27"/>
      <c r="F778" s="20"/>
      <c r="G778" s="20"/>
      <c r="H778" s="26"/>
      <c r="I778" s="24" t="str">
        <f aca="false">IF($C778="","",IFERROR(INDEX(WorkerIDs,MATCH($C778,WorkerNames,0)),"?"))</f>
        <v/>
      </c>
      <c r="J778" s="18" t="str">
        <f aca="false">IF($B778="","",$B778-WEEKDAY($B778,2)+1)</f>
        <v/>
      </c>
      <c r="K778" s="28" t="str">
        <f aca="false">IF(OR($I778="",$I778="?",$D778&lt;&gt;"Advance",$B778=""),"",$I778&amp;"|"&amp;$J778&amp;"|"&amp;COUNTIFS($I$6:$I778,$I778,$J$6:$J778,$J778,$D$6:$D778,"Advance"))</f>
        <v/>
      </c>
      <c r="L778" s="29" t="str">
        <f aca="false">IF(OR($I778="",$I778="?",$B778=""),"",SUMPRODUCT((Weeks!$A$6:$A$58&lt;=$J778)*(Weeks!$Z$4:$AK$4=$I778)*Weeks!$Z$6:$AK$58)-SUMIFS($E$6:$E$1005,$I$6:$I$1005,$I778,$B$6:$B$1005,"&lt;="&amp;$B778))</f>
        <v/>
      </c>
      <c r="M778" s="19" t="str">
        <f aca="false">IF($B778&amp;$C778&amp;$D778&amp;$E778="","",IF($B778="","missing date",IF($C778="","missing worker",IF($I778="?","unknown worker - was the name changed on Workers?",IF($D778="","missing type",IF(N($E778)=0,"missing amount",IF(AND($E778&lt;0,$D778&lt;&gt;"Correction"),"negative amount - use a Correction to undo",IF(OR($B778&lt;Weeks!$A$6,$B778&gt;Weeks!$B$58),"date outside this workbook's year",IF(AND($D778="Advance",N($L778)&lt;0),"Warning: more than earned so far - worker now owes "&amp;ROUND(-$L778,0),"")))))))))</f>
        <v/>
      </c>
    </row>
    <row r="779" customFormat="false" ht="15" hidden="false" customHeight="false" outlineLevel="0" collapsed="false">
      <c r="A779" s="24" t="str">
        <f aca="false">IF($B779="","",ROW()-5)</f>
        <v/>
      </c>
      <c r="B779" s="25"/>
      <c r="C779" s="20"/>
      <c r="D779" s="26"/>
      <c r="E779" s="27"/>
      <c r="F779" s="20"/>
      <c r="G779" s="20"/>
      <c r="H779" s="26"/>
      <c r="I779" s="24" t="str">
        <f aca="false">IF($C779="","",IFERROR(INDEX(WorkerIDs,MATCH($C779,WorkerNames,0)),"?"))</f>
        <v/>
      </c>
      <c r="J779" s="18" t="str">
        <f aca="false">IF($B779="","",$B779-WEEKDAY($B779,2)+1)</f>
        <v/>
      </c>
      <c r="K779" s="28" t="str">
        <f aca="false">IF(OR($I779="",$I779="?",$D779&lt;&gt;"Advance",$B779=""),"",$I779&amp;"|"&amp;$J779&amp;"|"&amp;COUNTIFS($I$6:$I779,$I779,$J$6:$J779,$J779,$D$6:$D779,"Advance"))</f>
        <v/>
      </c>
      <c r="L779" s="29" t="str">
        <f aca="false">IF(OR($I779="",$I779="?",$B779=""),"",SUMPRODUCT((Weeks!$A$6:$A$58&lt;=$J779)*(Weeks!$Z$4:$AK$4=$I779)*Weeks!$Z$6:$AK$58)-SUMIFS($E$6:$E$1005,$I$6:$I$1005,$I779,$B$6:$B$1005,"&lt;="&amp;$B779))</f>
        <v/>
      </c>
      <c r="M779" s="19" t="str">
        <f aca="false">IF($B779&amp;$C779&amp;$D779&amp;$E779="","",IF($B779="","missing date",IF($C779="","missing worker",IF($I779="?","unknown worker - was the name changed on Workers?",IF($D779="","missing type",IF(N($E779)=0,"missing amount",IF(AND($E779&lt;0,$D779&lt;&gt;"Correction"),"negative amount - use a Correction to undo",IF(OR($B779&lt;Weeks!$A$6,$B779&gt;Weeks!$B$58),"date outside this workbook's year",IF(AND($D779="Advance",N($L779)&lt;0),"Warning: more than earned so far - worker now owes "&amp;ROUND(-$L779,0),"")))))))))</f>
        <v/>
      </c>
    </row>
    <row r="780" customFormat="false" ht="15" hidden="false" customHeight="false" outlineLevel="0" collapsed="false">
      <c r="A780" s="24" t="str">
        <f aca="false">IF($B780="","",ROW()-5)</f>
        <v/>
      </c>
      <c r="B780" s="25"/>
      <c r="C780" s="20"/>
      <c r="D780" s="26"/>
      <c r="E780" s="27"/>
      <c r="F780" s="20"/>
      <c r="G780" s="20"/>
      <c r="H780" s="26"/>
      <c r="I780" s="24" t="str">
        <f aca="false">IF($C780="","",IFERROR(INDEX(WorkerIDs,MATCH($C780,WorkerNames,0)),"?"))</f>
        <v/>
      </c>
      <c r="J780" s="18" t="str">
        <f aca="false">IF($B780="","",$B780-WEEKDAY($B780,2)+1)</f>
        <v/>
      </c>
      <c r="K780" s="28" t="str">
        <f aca="false">IF(OR($I780="",$I780="?",$D780&lt;&gt;"Advance",$B780=""),"",$I780&amp;"|"&amp;$J780&amp;"|"&amp;COUNTIFS($I$6:$I780,$I780,$J$6:$J780,$J780,$D$6:$D780,"Advance"))</f>
        <v/>
      </c>
      <c r="L780" s="29" t="str">
        <f aca="false">IF(OR($I780="",$I780="?",$B780=""),"",SUMPRODUCT((Weeks!$A$6:$A$58&lt;=$J780)*(Weeks!$Z$4:$AK$4=$I780)*Weeks!$Z$6:$AK$58)-SUMIFS($E$6:$E$1005,$I$6:$I$1005,$I780,$B$6:$B$1005,"&lt;="&amp;$B780))</f>
        <v/>
      </c>
      <c r="M780" s="19" t="str">
        <f aca="false">IF($B780&amp;$C780&amp;$D780&amp;$E780="","",IF($B780="","missing date",IF($C780="","missing worker",IF($I780="?","unknown worker - was the name changed on Workers?",IF($D780="","missing type",IF(N($E780)=0,"missing amount",IF(AND($E780&lt;0,$D780&lt;&gt;"Correction"),"negative amount - use a Correction to undo",IF(OR($B780&lt;Weeks!$A$6,$B780&gt;Weeks!$B$58),"date outside this workbook's year",IF(AND($D780="Advance",N($L780)&lt;0),"Warning: more than earned so far - worker now owes "&amp;ROUND(-$L780,0),"")))))))))</f>
        <v/>
      </c>
    </row>
    <row r="781" customFormat="false" ht="15" hidden="false" customHeight="false" outlineLevel="0" collapsed="false">
      <c r="A781" s="24" t="str">
        <f aca="false">IF($B781="","",ROW()-5)</f>
        <v/>
      </c>
      <c r="B781" s="25"/>
      <c r="C781" s="20"/>
      <c r="D781" s="26"/>
      <c r="E781" s="27"/>
      <c r="F781" s="20"/>
      <c r="G781" s="20"/>
      <c r="H781" s="26"/>
      <c r="I781" s="24" t="str">
        <f aca="false">IF($C781="","",IFERROR(INDEX(WorkerIDs,MATCH($C781,WorkerNames,0)),"?"))</f>
        <v/>
      </c>
      <c r="J781" s="18" t="str">
        <f aca="false">IF($B781="","",$B781-WEEKDAY($B781,2)+1)</f>
        <v/>
      </c>
      <c r="K781" s="28" t="str">
        <f aca="false">IF(OR($I781="",$I781="?",$D781&lt;&gt;"Advance",$B781=""),"",$I781&amp;"|"&amp;$J781&amp;"|"&amp;COUNTIFS($I$6:$I781,$I781,$J$6:$J781,$J781,$D$6:$D781,"Advance"))</f>
        <v/>
      </c>
      <c r="L781" s="29" t="str">
        <f aca="false">IF(OR($I781="",$I781="?",$B781=""),"",SUMPRODUCT((Weeks!$A$6:$A$58&lt;=$J781)*(Weeks!$Z$4:$AK$4=$I781)*Weeks!$Z$6:$AK$58)-SUMIFS($E$6:$E$1005,$I$6:$I$1005,$I781,$B$6:$B$1005,"&lt;="&amp;$B781))</f>
        <v/>
      </c>
      <c r="M781" s="19" t="str">
        <f aca="false">IF($B781&amp;$C781&amp;$D781&amp;$E781="","",IF($B781="","missing date",IF($C781="","missing worker",IF($I781="?","unknown worker - was the name changed on Workers?",IF($D781="","missing type",IF(N($E781)=0,"missing amount",IF(AND($E781&lt;0,$D781&lt;&gt;"Correction"),"negative amount - use a Correction to undo",IF(OR($B781&lt;Weeks!$A$6,$B781&gt;Weeks!$B$58),"date outside this workbook's year",IF(AND($D781="Advance",N($L781)&lt;0),"Warning: more than earned so far - worker now owes "&amp;ROUND(-$L781,0),"")))))))))</f>
        <v/>
      </c>
    </row>
    <row r="782" customFormat="false" ht="15" hidden="false" customHeight="false" outlineLevel="0" collapsed="false">
      <c r="A782" s="24" t="str">
        <f aca="false">IF($B782="","",ROW()-5)</f>
        <v/>
      </c>
      <c r="B782" s="25"/>
      <c r="C782" s="20"/>
      <c r="D782" s="26"/>
      <c r="E782" s="27"/>
      <c r="F782" s="20"/>
      <c r="G782" s="20"/>
      <c r="H782" s="26"/>
      <c r="I782" s="24" t="str">
        <f aca="false">IF($C782="","",IFERROR(INDEX(WorkerIDs,MATCH($C782,WorkerNames,0)),"?"))</f>
        <v/>
      </c>
      <c r="J782" s="18" t="str">
        <f aca="false">IF($B782="","",$B782-WEEKDAY($B782,2)+1)</f>
        <v/>
      </c>
      <c r="K782" s="28" t="str">
        <f aca="false">IF(OR($I782="",$I782="?",$D782&lt;&gt;"Advance",$B782=""),"",$I782&amp;"|"&amp;$J782&amp;"|"&amp;COUNTIFS($I$6:$I782,$I782,$J$6:$J782,$J782,$D$6:$D782,"Advance"))</f>
        <v/>
      </c>
      <c r="L782" s="29" t="str">
        <f aca="false">IF(OR($I782="",$I782="?",$B782=""),"",SUMPRODUCT((Weeks!$A$6:$A$58&lt;=$J782)*(Weeks!$Z$4:$AK$4=$I782)*Weeks!$Z$6:$AK$58)-SUMIFS($E$6:$E$1005,$I$6:$I$1005,$I782,$B$6:$B$1005,"&lt;="&amp;$B782))</f>
        <v/>
      </c>
      <c r="M782" s="19" t="str">
        <f aca="false">IF($B782&amp;$C782&amp;$D782&amp;$E782="","",IF($B782="","missing date",IF($C782="","missing worker",IF($I782="?","unknown worker - was the name changed on Workers?",IF($D782="","missing type",IF(N($E782)=0,"missing amount",IF(AND($E782&lt;0,$D782&lt;&gt;"Correction"),"negative amount - use a Correction to undo",IF(OR($B782&lt;Weeks!$A$6,$B782&gt;Weeks!$B$58),"date outside this workbook's year",IF(AND($D782="Advance",N($L782)&lt;0),"Warning: more than earned so far - worker now owes "&amp;ROUND(-$L782,0),"")))))))))</f>
        <v/>
      </c>
    </row>
    <row r="783" customFormat="false" ht="15" hidden="false" customHeight="false" outlineLevel="0" collapsed="false">
      <c r="A783" s="24" t="str">
        <f aca="false">IF($B783="","",ROW()-5)</f>
        <v/>
      </c>
      <c r="B783" s="25"/>
      <c r="C783" s="20"/>
      <c r="D783" s="26"/>
      <c r="E783" s="27"/>
      <c r="F783" s="20"/>
      <c r="G783" s="20"/>
      <c r="H783" s="26"/>
      <c r="I783" s="24" t="str">
        <f aca="false">IF($C783="","",IFERROR(INDEX(WorkerIDs,MATCH($C783,WorkerNames,0)),"?"))</f>
        <v/>
      </c>
      <c r="J783" s="18" t="str">
        <f aca="false">IF($B783="","",$B783-WEEKDAY($B783,2)+1)</f>
        <v/>
      </c>
      <c r="K783" s="28" t="str">
        <f aca="false">IF(OR($I783="",$I783="?",$D783&lt;&gt;"Advance",$B783=""),"",$I783&amp;"|"&amp;$J783&amp;"|"&amp;COUNTIFS($I$6:$I783,$I783,$J$6:$J783,$J783,$D$6:$D783,"Advance"))</f>
        <v/>
      </c>
      <c r="L783" s="29" t="str">
        <f aca="false">IF(OR($I783="",$I783="?",$B783=""),"",SUMPRODUCT((Weeks!$A$6:$A$58&lt;=$J783)*(Weeks!$Z$4:$AK$4=$I783)*Weeks!$Z$6:$AK$58)-SUMIFS($E$6:$E$1005,$I$6:$I$1005,$I783,$B$6:$B$1005,"&lt;="&amp;$B783))</f>
        <v/>
      </c>
      <c r="M783" s="19" t="str">
        <f aca="false">IF($B783&amp;$C783&amp;$D783&amp;$E783="","",IF($B783="","missing date",IF($C783="","missing worker",IF($I783="?","unknown worker - was the name changed on Workers?",IF($D783="","missing type",IF(N($E783)=0,"missing amount",IF(AND($E783&lt;0,$D783&lt;&gt;"Correction"),"negative amount - use a Correction to undo",IF(OR($B783&lt;Weeks!$A$6,$B783&gt;Weeks!$B$58),"date outside this workbook's year",IF(AND($D783="Advance",N($L783)&lt;0),"Warning: more than earned so far - worker now owes "&amp;ROUND(-$L783,0),"")))))))))</f>
        <v/>
      </c>
    </row>
    <row r="784" customFormat="false" ht="15" hidden="false" customHeight="false" outlineLevel="0" collapsed="false">
      <c r="A784" s="24" t="str">
        <f aca="false">IF($B784="","",ROW()-5)</f>
        <v/>
      </c>
      <c r="B784" s="25"/>
      <c r="C784" s="20"/>
      <c r="D784" s="26"/>
      <c r="E784" s="27"/>
      <c r="F784" s="20"/>
      <c r="G784" s="20"/>
      <c r="H784" s="26"/>
      <c r="I784" s="24" t="str">
        <f aca="false">IF($C784="","",IFERROR(INDEX(WorkerIDs,MATCH($C784,WorkerNames,0)),"?"))</f>
        <v/>
      </c>
      <c r="J784" s="18" t="str">
        <f aca="false">IF($B784="","",$B784-WEEKDAY($B784,2)+1)</f>
        <v/>
      </c>
      <c r="K784" s="28" t="str">
        <f aca="false">IF(OR($I784="",$I784="?",$D784&lt;&gt;"Advance",$B784=""),"",$I784&amp;"|"&amp;$J784&amp;"|"&amp;COUNTIFS($I$6:$I784,$I784,$J$6:$J784,$J784,$D$6:$D784,"Advance"))</f>
        <v/>
      </c>
      <c r="L784" s="29" t="str">
        <f aca="false">IF(OR($I784="",$I784="?",$B784=""),"",SUMPRODUCT((Weeks!$A$6:$A$58&lt;=$J784)*(Weeks!$Z$4:$AK$4=$I784)*Weeks!$Z$6:$AK$58)-SUMIFS($E$6:$E$1005,$I$6:$I$1005,$I784,$B$6:$B$1005,"&lt;="&amp;$B784))</f>
        <v/>
      </c>
      <c r="M784" s="19" t="str">
        <f aca="false">IF($B784&amp;$C784&amp;$D784&amp;$E784="","",IF($B784="","missing date",IF($C784="","missing worker",IF($I784="?","unknown worker - was the name changed on Workers?",IF($D784="","missing type",IF(N($E784)=0,"missing amount",IF(AND($E784&lt;0,$D784&lt;&gt;"Correction"),"negative amount - use a Correction to undo",IF(OR($B784&lt;Weeks!$A$6,$B784&gt;Weeks!$B$58),"date outside this workbook's year",IF(AND($D784="Advance",N($L784)&lt;0),"Warning: more than earned so far - worker now owes "&amp;ROUND(-$L784,0),"")))))))))</f>
        <v/>
      </c>
    </row>
    <row r="785" customFormat="false" ht="15" hidden="false" customHeight="false" outlineLevel="0" collapsed="false">
      <c r="A785" s="24" t="str">
        <f aca="false">IF($B785="","",ROW()-5)</f>
        <v/>
      </c>
      <c r="B785" s="25"/>
      <c r="C785" s="20"/>
      <c r="D785" s="26"/>
      <c r="E785" s="27"/>
      <c r="F785" s="20"/>
      <c r="G785" s="20"/>
      <c r="H785" s="26"/>
      <c r="I785" s="24" t="str">
        <f aca="false">IF($C785="","",IFERROR(INDEX(WorkerIDs,MATCH($C785,WorkerNames,0)),"?"))</f>
        <v/>
      </c>
      <c r="J785" s="18" t="str">
        <f aca="false">IF($B785="","",$B785-WEEKDAY($B785,2)+1)</f>
        <v/>
      </c>
      <c r="K785" s="28" t="str">
        <f aca="false">IF(OR($I785="",$I785="?",$D785&lt;&gt;"Advance",$B785=""),"",$I785&amp;"|"&amp;$J785&amp;"|"&amp;COUNTIFS($I$6:$I785,$I785,$J$6:$J785,$J785,$D$6:$D785,"Advance"))</f>
        <v/>
      </c>
      <c r="L785" s="29" t="str">
        <f aca="false">IF(OR($I785="",$I785="?",$B785=""),"",SUMPRODUCT((Weeks!$A$6:$A$58&lt;=$J785)*(Weeks!$Z$4:$AK$4=$I785)*Weeks!$Z$6:$AK$58)-SUMIFS($E$6:$E$1005,$I$6:$I$1005,$I785,$B$6:$B$1005,"&lt;="&amp;$B785))</f>
        <v/>
      </c>
      <c r="M785" s="19" t="str">
        <f aca="false">IF($B785&amp;$C785&amp;$D785&amp;$E785="","",IF($B785="","missing date",IF($C785="","missing worker",IF($I785="?","unknown worker - was the name changed on Workers?",IF($D785="","missing type",IF(N($E785)=0,"missing amount",IF(AND($E785&lt;0,$D785&lt;&gt;"Correction"),"negative amount - use a Correction to undo",IF(OR($B785&lt;Weeks!$A$6,$B785&gt;Weeks!$B$58),"date outside this workbook's year",IF(AND($D785="Advance",N($L785)&lt;0),"Warning: more than earned so far - worker now owes "&amp;ROUND(-$L785,0),"")))))))))</f>
        <v/>
      </c>
    </row>
    <row r="786" customFormat="false" ht="15" hidden="false" customHeight="false" outlineLevel="0" collapsed="false">
      <c r="A786" s="24" t="str">
        <f aca="false">IF($B786="","",ROW()-5)</f>
        <v/>
      </c>
      <c r="B786" s="25"/>
      <c r="C786" s="20"/>
      <c r="D786" s="26"/>
      <c r="E786" s="27"/>
      <c r="F786" s="20"/>
      <c r="G786" s="20"/>
      <c r="H786" s="26"/>
      <c r="I786" s="24" t="str">
        <f aca="false">IF($C786="","",IFERROR(INDEX(WorkerIDs,MATCH($C786,WorkerNames,0)),"?"))</f>
        <v/>
      </c>
      <c r="J786" s="18" t="str">
        <f aca="false">IF($B786="","",$B786-WEEKDAY($B786,2)+1)</f>
        <v/>
      </c>
      <c r="K786" s="28" t="str">
        <f aca="false">IF(OR($I786="",$I786="?",$D786&lt;&gt;"Advance",$B786=""),"",$I786&amp;"|"&amp;$J786&amp;"|"&amp;COUNTIFS($I$6:$I786,$I786,$J$6:$J786,$J786,$D$6:$D786,"Advance"))</f>
        <v/>
      </c>
      <c r="L786" s="29" t="str">
        <f aca="false">IF(OR($I786="",$I786="?",$B786=""),"",SUMPRODUCT((Weeks!$A$6:$A$58&lt;=$J786)*(Weeks!$Z$4:$AK$4=$I786)*Weeks!$Z$6:$AK$58)-SUMIFS($E$6:$E$1005,$I$6:$I$1005,$I786,$B$6:$B$1005,"&lt;="&amp;$B786))</f>
        <v/>
      </c>
      <c r="M786" s="19" t="str">
        <f aca="false">IF($B786&amp;$C786&amp;$D786&amp;$E786="","",IF($B786="","missing date",IF($C786="","missing worker",IF($I786="?","unknown worker - was the name changed on Workers?",IF($D786="","missing type",IF(N($E786)=0,"missing amount",IF(AND($E786&lt;0,$D786&lt;&gt;"Correction"),"negative amount - use a Correction to undo",IF(OR($B786&lt;Weeks!$A$6,$B786&gt;Weeks!$B$58),"date outside this workbook's year",IF(AND($D786="Advance",N($L786)&lt;0),"Warning: more than earned so far - worker now owes "&amp;ROUND(-$L786,0),"")))))))))</f>
        <v/>
      </c>
    </row>
    <row r="787" customFormat="false" ht="15" hidden="false" customHeight="false" outlineLevel="0" collapsed="false">
      <c r="A787" s="24" t="str">
        <f aca="false">IF($B787="","",ROW()-5)</f>
        <v/>
      </c>
      <c r="B787" s="25"/>
      <c r="C787" s="20"/>
      <c r="D787" s="26"/>
      <c r="E787" s="27"/>
      <c r="F787" s="20"/>
      <c r="G787" s="20"/>
      <c r="H787" s="26"/>
      <c r="I787" s="24" t="str">
        <f aca="false">IF($C787="","",IFERROR(INDEX(WorkerIDs,MATCH($C787,WorkerNames,0)),"?"))</f>
        <v/>
      </c>
      <c r="J787" s="18" t="str">
        <f aca="false">IF($B787="","",$B787-WEEKDAY($B787,2)+1)</f>
        <v/>
      </c>
      <c r="K787" s="28" t="str">
        <f aca="false">IF(OR($I787="",$I787="?",$D787&lt;&gt;"Advance",$B787=""),"",$I787&amp;"|"&amp;$J787&amp;"|"&amp;COUNTIFS($I$6:$I787,$I787,$J$6:$J787,$J787,$D$6:$D787,"Advance"))</f>
        <v/>
      </c>
      <c r="L787" s="29" t="str">
        <f aca="false">IF(OR($I787="",$I787="?",$B787=""),"",SUMPRODUCT((Weeks!$A$6:$A$58&lt;=$J787)*(Weeks!$Z$4:$AK$4=$I787)*Weeks!$Z$6:$AK$58)-SUMIFS($E$6:$E$1005,$I$6:$I$1005,$I787,$B$6:$B$1005,"&lt;="&amp;$B787))</f>
        <v/>
      </c>
      <c r="M787" s="19" t="str">
        <f aca="false">IF($B787&amp;$C787&amp;$D787&amp;$E787="","",IF($B787="","missing date",IF($C787="","missing worker",IF($I787="?","unknown worker - was the name changed on Workers?",IF($D787="","missing type",IF(N($E787)=0,"missing amount",IF(AND($E787&lt;0,$D787&lt;&gt;"Correction"),"negative amount - use a Correction to undo",IF(OR($B787&lt;Weeks!$A$6,$B787&gt;Weeks!$B$58),"date outside this workbook's year",IF(AND($D787="Advance",N($L787)&lt;0),"Warning: more than earned so far - worker now owes "&amp;ROUND(-$L787,0),"")))))))))</f>
        <v/>
      </c>
    </row>
    <row r="788" customFormat="false" ht="15" hidden="false" customHeight="false" outlineLevel="0" collapsed="false">
      <c r="A788" s="24" t="str">
        <f aca="false">IF($B788="","",ROW()-5)</f>
        <v/>
      </c>
      <c r="B788" s="25"/>
      <c r="C788" s="20"/>
      <c r="D788" s="26"/>
      <c r="E788" s="27"/>
      <c r="F788" s="20"/>
      <c r="G788" s="20"/>
      <c r="H788" s="26"/>
      <c r="I788" s="24" t="str">
        <f aca="false">IF($C788="","",IFERROR(INDEX(WorkerIDs,MATCH($C788,WorkerNames,0)),"?"))</f>
        <v/>
      </c>
      <c r="J788" s="18" t="str">
        <f aca="false">IF($B788="","",$B788-WEEKDAY($B788,2)+1)</f>
        <v/>
      </c>
      <c r="K788" s="28" t="str">
        <f aca="false">IF(OR($I788="",$I788="?",$D788&lt;&gt;"Advance",$B788=""),"",$I788&amp;"|"&amp;$J788&amp;"|"&amp;COUNTIFS($I$6:$I788,$I788,$J$6:$J788,$J788,$D$6:$D788,"Advance"))</f>
        <v/>
      </c>
      <c r="L788" s="29" t="str">
        <f aca="false">IF(OR($I788="",$I788="?",$B788=""),"",SUMPRODUCT((Weeks!$A$6:$A$58&lt;=$J788)*(Weeks!$Z$4:$AK$4=$I788)*Weeks!$Z$6:$AK$58)-SUMIFS($E$6:$E$1005,$I$6:$I$1005,$I788,$B$6:$B$1005,"&lt;="&amp;$B788))</f>
        <v/>
      </c>
      <c r="M788" s="19" t="str">
        <f aca="false">IF($B788&amp;$C788&amp;$D788&amp;$E788="","",IF($B788="","missing date",IF($C788="","missing worker",IF($I788="?","unknown worker - was the name changed on Workers?",IF($D788="","missing type",IF(N($E788)=0,"missing amount",IF(AND($E788&lt;0,$D788&lt;&gt;"Correction"),"negative amount - use a Correction to undo",IF(OR($B788&lt;Weeks!$A$6,$B788&gt;Weeks!$B$58),"date outside this workbook's year",IF(AND($D788="Advance",N($L788)&lt;0),"Warning: more than earned so far - worker now owes "&amp;ROUND(-$L788,0),"")))))))))</f>
        <v/>
      </c>
    </row>
    <row r="789" customFormat="false" ht="15" hidden="false" customHeight="false" outlineLevel="0" collapsed="false">
      <c r="A789" s="24" t="str">
        <f aca="false">IF($B789="","",ROW()-5)</f>
        <v/>
      </c>
      <c r="B789" s="25"/>
      <c r="C789" s="20"/>
      <c r="D789" s="26"/>
      <c r="E789" s="27"/>
      <c r="F789" s="20"/>
      <c r="G789" s="20"/>
      <c r="H789" s="26"/>
      <c r="I789" s="24" t="str">
        <f aca="false">IF($C789="","",IFERROR(INDEX(WorkerIDs,MATCH($C789,WorkerNames,0)),"?"))</f>
        <v/>
      </c>
      <c r="J789" s="18" t="str">
        <f aca="false">IF($B789="","",$B789-WEEKDAY($B789,2)+1)</f>
        <v/>
      </c>
      <c r="K789" s="28" t="str">
        <f aca="false">IF(OR($I789="",$I789="?",$D789&lt;&gt;"Advance",$B789=""),"",$I789&amp;"|"&amp;$J789&amp;"|"&amp;COUNTIFS($I$6:$I789,$I789,$J$6:$J789,$J789,$D$6:$D789,"Advance"))</f>
        <v/>
      </c>
      <c r="L789" s="29" t="str">
        <f aca="false">IF(OR($I789="",$I789="?",$B789=""),"",SUMPRODUCT((Weeks!$A$6:$A$58&lt;=$J789)*(Weeks!$Z$4:$AK$4=$I789)*Weeks!$Z$6:$AK$58)-SUMIFS($E$6:$E$1005,$I$6:$I$1005,$I789,$B$6:$B$1005,"&lt;="&amp;$B789))</f>
        <v/>
      </c>
      <c r="M789" s="19" t="str">
        <f aca="false">IF($B789&amp;$C789&amp;$D789&amp;$E789="","",IF($B789="","missing date",IF($C789="","missing worker",IF($I789="?","unknown worker - was the name changed on Workers?",IF($D789="","missing type",IF(N($E789)=0,"missing amount",IF(AND($E789&lt;0,$D789&lt;&gt;"Correction"),"negative amount - use a Correction to undo",IF(OR($B789&lt;Weeks!$A$6,$B789&gt;Weeks!$B$58),"date outside this workbook's year",IF(AND($D789="Advance",N($L789)&lt;0),"Warning: more than earned so far - worker now owes "&amp;ROUND(-$L789,0),"")))))))))</f>
        <v/>
      </c>
    </row>
    <row r="790" customFormat="false" ht="15" hidden="false" customHeight="false" outlineLevel="0" collapsed="false">
      <c r="A790" s="24" t="str">
        <f aca="false">IF($B790="","",ROW()-5)</f>
        <v/>
      </c>
      <c r="B790" s="25"/>
      <c r="C790" s="20"/>
      <c r="D790" s="26"/>
      <c r="E790" s="27"/>
      <c r="F790" s="20"/>
      <c r="G790" s="20"/>
      <c r="H790" s="26"/>
      <c r="I790" s="24" t="str">
        <f aca="false">IF($C790="","",IFERROR(INDEX(WorkerIDs,MATCH($C790,WorkerNames,0)),"?"))</f>
        <v/>
      </c>
      <c r="J790" s="18" t="str">
        <f aca="false">IF($B790="","",$B790-WEEKDAY($B790,2)+1)</f>
        <v/>
      </c>
      <c r="K790" s="28" t="str">
        <f aca="false">IF(OR($I790="",$I790="?",$D790&lt;&gt;"Advance",$B790=""),"",$I790&amp;"|"&amp;$J790&amp;"|"&amp;COUNTIFS($I$6:$I790,$I790,$J$6:$J790,$J790,$D$6:$D790,"Advance"))</f>
        <v/>
      </c>
      <c r="L790" s="29" t="str">
        <f aca="false">IF(OR($I790="",$I790="?",$B790=""),"",SUMPRODUCT((Weeks!$A$6:$A$58&lt;=$J790)*(Weeks!$Z$4:$AK$4=$I790)*Weeks!$Z$6:$AK$58)-SUMIFS($E$6:$E$1005,$I$6:$I$1005,$I790,$B$6:$B$1005,"&lt;="&amp;$B790))</f>
        <v/>
      </c>
      <c r="M790" s="19" t="str">
        <f aca="false">IF($B790&amp;$C790&amp;$D790&amp;$E790="","",IF($B790="","missing date",IF($C790="","missing worker",IF($I790="?","unknown worker - was the name changed on Workers?",IF($D790="","missing type",IF(N($E790)=0,"missing amount",IF(AND($E790&lt;0,$D790&lt;&gt;"Correction"),"negative amount - use a Correction to undo",IF(OR($B790&lt;Weeks!$A$6,$B790&gt;Weeks!$B$58),"date outside this workbook's year",IF(AND($D790="Advance",N($L790)&lt;0),"Warning: more than earned so far - worker now owes "&amp;ROUND(-$L790,0),"")))))))))</f>
        <v/>
      </c>
    </row>
    <row r="791" customFormat="false" ht="15" hidden="false" customHeight="false" outlineLevel="0" collapsed="false">
      <c r="A791" s="24" t="str">
        <f aca="false">IF($B791="","",ROW()-5)</f>
        <v/>
      </c>
      <c r="B791" s="25"/>
      <c r="C791" s="20"/>
      <c r="D791" s="26"/>
      <c r="E791" s="27"/>
      <c r="F791" s="20"/>
      <c r="G791" s="20"/>
      <c r="H791" s="26"/>
      <c r="I791" s="24" t="str">
        <f aca="false">IF($C791="","",IFERROR(INDEX(WorkerIDs,MATCH($C791,WorkerNames,0)),"?"))</f>
        <v/>
      </c>
      <c r="J791" s="18" t="str">
        <f aca="false">IF($B791="","",$B791-WEEKDAY($B791,2)+1)</f>
        <v/>
      </c>
      <c r="K791" s="28" t="str">
        <f aca="false">IF(OR($I791="",$I791="?",$D791&lt;&gt;"Advance",$B791=""),"",$I791&amp;"|"&amp;$J791&amp;"|"&amp;COUNTIFS($I$6:$I791,$I791,$J$6:$J791,$J791,$D$6:$D791,"Advance"))</f>
        <v/>
      </c>
      <c r="L791" s="29" t="str">
        <f aca="false">IF(OR($I791="",$I791="?",$B791=""),"",SUMPRODUCT((Weeks!$A$6:$A$58&lt;=$J791)*(Weeks!$Z$4:$AK$4=$I791)*Weeks!$Z$6:$AK$58)-SUMIFS($E$6:$E$1005,$I$6:$I$1005,$I791,$B$6:$B$1005,"&lt;="&amp;$B791))</f>
        <v/>
      </c>
      <c r="M791" s="19" t="str">
        <f aca="false">IF($B791&amp;$C791&amp;$D791&amp;$E791="","",IF($B791="","missing date",IF($C791="","missing worker",IF($I791="?","unknown worker - was the name changed on Workers?",IF($D791="","missing type",IF(N($E791)=0,"missing amount",IF(AND($E791&lt;0,$D791&lt;&gt;"Correction"),"negative amount - use a Correction to undo",IF(OR($B791&lt;Weeks!$A$6,$B791&gt;Weeks!$B$58),"date outside this workbook's year",IF(AND($D791="Advance",N($L791)&lt;0),"Warning: more than earned so far - worker now owes "&amp;ROUND(-$L791,0),"")))))))))</f>
        <v/>
      </c>
    </row>
    <row r="792" customFormat="false" ht="15" hidden="false" customHeight="false" outlineLevel="0" collapsed="false">
      <c r="A792" s="24" t="str">
        <f aca="false">IF($B792="","",ROW()-5)</f>
        <v/>
      </c>
      <c r="B792" s="25"/>
      <c r="C792" s="20"/>
      <c r="D792" s="26"/>
      <c r="E792" s="27"/>
      <c r="F792" s="20"/>
      <c r="G792" s="20"/>
      <c r="H792" s="26"/>
      <c r="I792" s="24" t="str">
        <f aca="false">IF($C792="","",IFERROR(INDEX(WorkerIDs,MATCH($C792,WorkerNames,0)),"?"))</f>
        <v/>
      </c>
      <c r="J792" s="18" t="str">
        <f aca="false">IF($B792="","",$B792-WEEKDAY($B792,2)+1)</f>
        <v/>
      </c>
      <c r="K792" s="28" t="str">
        <f aca="false">IF(OR($I792="",$I792="?",$D792&lt;&gt;"Advance",$B792=""),"",$I792&amp;"|"&amp;$J792&amp;"|"&amp;COUNTIFS($I$6:$I792,$I792,$J$6:$J792,$J792,$D$6:$D792,"Advance"))</f>
        <v/>
      </c>
      <c r="L792" s="29" t="str">
        <f aca="false">IF(OR($I792="",$I792="?",$B792=""),"",SUMPRODUCT((Weeks!$A$6:$A$58&lt;=$J792)*(Weeks!$Z$4:$AK$4=$I792)*Weeks!$Z$6:$AK$58)-SUMIFS($E$6:$E$1005,$I$6:$I$1005,$I792,$B$6:$B$1005,"&lt;="&amp;$B792))</f>
        <v/>
      </c>
      <c r="M792" s="19" t="str">
        <f aca="false">IF($B792&amp;$C792&amp;$D792&amp;$E792="","",IF($B792="","missing date",IF($C792="","missing worker",IF($I792="?","unknown worker - was the name changed on Workers?",IF($D792="","missing type",IF(N($E792)=0,"missing amount",IF(AND($E792&lt;0,$D792&lt;&gt;"Correction"),"negative amount - use a Correction to undo",IF(OR($B792&lt;Weeks!$A$6,$B792&gt;Weeks!$B$58),"date outside this workbook's year",IF(AND($D792="Advance",N($L792)&lt;0),"Warning: more than earned so far - worker now owes "&amp;ROUND(-$L792,0),"")))))))))</f>
        <v/>
      </c>
    </row>
    <row r="793" customFormat="false" ht="15" hidden="false" customHeight="false" outlineLevel="0" collapsed="false">
      <c r="A793" s="24" t="str">
        <f aca="false">IF($B793="","",ROW()-5)</f>
        <v/>
      </c>
      <c r="B793" s="25"/>
      <c r="C793" s="20"/>
      <c r="D793" s="26"/>
      <c r="E793" s="27"/>
      <c r="F793" s="20"/>
      <c r="G793" s="20"/>
      <c r="H793" s="26"/>
      <c r="I793" s="24" t="str">
        <f aca="false">IF($C793="","",IFERROR(INDEX(WorkerIDs,MATCH($C793,WorkerNames,0)),"?"))</f>
        <v/>
      </c>
      <c r="J793" s="18" t="str">
        <f aca="false">IF($B793="","",$B793-WEEKDAY($B793,2)+1)</f>
        <v/>
      </c>
      <c r="K793" s="28" t="str">
        <f aca="false">IF(OR($I793="",$I793="?",$D793&lt;&gt;"Advance",$B793=""),"",$I793&amp;"|"&amp;$J793&amp;"|"&amp;COUNTIFS($I$6:$I793,$I793,$J$6:$J793,$J793,$D$6:$D793,"Advance"))</f>
        <v/>
      </c>
      <c r="L793" s="29" t="str">
        <f aca="false">IF(OR($I793="",$I793="?",$B793=""),"",SUMPRODUCT((Weeks!$A$6:$A$58&lt;=$J793)*(Weeks!$Z$4:$AK$4=$I793)*Weeks!$Z$6:$AK$58)-SUMIFS($E$6:$E$1005,$I$6:$I$1005,$I793,$B$6:$B$1005,"&lt;="&amp;$B793))</f>
        <v/>
      </c>
      <c r="M793" s="19" t="str">
        <f aca="false">IF($B793&amp;$C793&amp;$D793&amp;$E793="","",IF($B793="","missing date",IF($C793="","missing worker",IF($I793="?","unknown worker - was the name changed on Workers?",IF($D793="","missing type",IF(N($E793)=0,"missing amount",IF(AND($E793&lt;0,$D793&lt;&gt;"Correction"),"negative amount - use a Correction to undo",IF(OR($B793&lt;Weeks!$A$6,$B793&gt;Weeks!$B$58),"date outside this workbook's year",IF(AND($D793="Advance",N($L793)&lt;0),"Warning: more than earned so far - worker now owes "&amp;ROUND(-$L793,0),"")))))))))</f>
        <v/>
      </c>
    </row>
    <row r="794" customFormat="false" ht="15" hidden="false" customHeight="false" outlineLevel="0" collapsed="false">
      <c r="A794" s="24" t="str">
        <f aca="false">IF($B794="","",ROW()-5)</f>
        <v/>
      </c>
      <c r="B794" s="25"/>
      <c r="C794" s="20"/>
      <c r="D794" s="26"/>
      <c r="E794" s="27"/>
      <c r="F794" s="20"/>
      <c r="G794" s="20"/>
      <c r="H794" s="26"/>
      <c r="I794" s="24" t="str">
        <f aca="false">IF($C794="","",IFERROR(INDEX(WorkerIDs,MATCH($C794,WorkerNames,0)),"?"))</f>
        <v/>
      </c>
      <c r="J794" s="18" t="str">
        <f aca="false">IF($B794="","",$B794-WEEKDAY($B794,2)+1)</f>
        <v/>
      </c>
      <c r="K794" s="28" t="str">
        <f aca="false">IF(OR($I794="",$I794="?",$D794&lt;&gt;"Advance",$B794=""),"",$I794&amp;"|"&amp;$J794&amp;"|"&amp;COUNTIFS($I$6:$I794,$I794,$J$6:$J794,$J794,$D$6:$D794,"Advance"))</f>
        <v/>
      </c>
      <c r="L794" s="29" t="str">
        <f aca="false">IF(OR($I794="",$I794="?",$B794=""),"",SUMPRODUCT((Weeks!$A$6:$A$58&lt;=$J794)*(Weeks!$Z$4:$AK$4=$I794)*Weeks!$Z$6:$AK$58)-SUMIFS($E$6:$E$1005,$I$6:$I$1005,$I794,$B$6:$B$1005,"&lt;="&amp;$B794))</f>
        <v/>
      </c>
      <c r="M794" s="19" t="str">
        <f aca="false">IF($B794&amp;$C794&amp;$D794&amp;$E794="","",IF($B794="","missing date",IF($C794="","missing worker",IF($I794="?","unknown worker - was the name changed on Workers?",IF($D794="","missing type",IF(N($E794)=0,"missing amount",IF(AND($E794&lt;0,$D794&lt;&gt;"Correction"),"negative amount - use a Correction to undo",IF(OR($B794&lt;Weeks!$A$6,$B794&gt;Weeks!$B$58),"date outside this workbook's year",IF(AND($D794="Advance",N($L794)&lt;0),"Warning: more than earned so far - worker now owes "&amp;ROUND(-$L794,0),"")))))))))</f>
        <v/>
      </c>
    </row>
    <row r="795" customFormat="false" ht="15" hidden="false" customHeight="false" outlineLevel="0" collapsed="false">
      <c r="A795" s="24" t="str">
        <f aca="false">IF($B795="","",ROW()-5)</f>
        <v/>
      </c>
      <c r="B795" s="25"/>
      <c r="C795" s="20"/>
      <c r="D795" s="26"/>
      <c r="E795" s="27"/>
      <c r="F795" s="20"/>
      <c r="G795" s="20"/>
      <c r="H795" s="26"/>
      <c r="I795" s="24" t="str">
        <f aca="false">IF($C795="","",IFERROR(INDEX(WorkerIDs,MATCH($C795,WorkerNames,0)),"?"))</f>
        <v/>
      </c>
      <c r="J795" s="18" t="str">
        <f aca="false">IF($B795="","",$B795-WEEKDAY($B795,2)+1)</f>
        <v/>
      </c>
      <c r="K795" s="28" t="str">
        <f aca="false">IF(OR($I795="",$I795="?",$D795&lt;&gt;"Advance",$B795=""),"",$I795&amp;"|"&amp;$J795&amp;"|"&amp;COUNTIFS($I$6:$I795,$I795,$J$6:$J795,$J795,$D$6:$D795,"Advance"))</f>
        <v/>
      </c>
      <c r="L795" s="29" t="str">
        <f aca="false">IF(OR($I795="",$I795="?",$B795=""),"",SUMPRODUCT((Weeks!$A$6:$A$58&lt;=$J795)*(Weeks!$Z$4:$AK$4=$I795)*Weeks!$Z$6:$AK$58)-SUMIFS($E$6:$E$1005,$I$6:$I$1005,$I795,$B$6:$B$1005,"&lt;="&amp;$B795))</f>
        <v/>
      </c>
      <c r="M795" s="19" t="str">
        <f aca="false">IF($B795&amp;$C795&amp;$D795&amp;$E795="","",IF($B795="","missing date",IF($C795="","missing worker",IF($I795="?","unknown worker - was the name changed on Workers?",IF($D795="","missing type",IF(N($E795)=0,"missing amount",IF(AND($E795&lt;0,$D795&lt;&gt;"Correction"),"negative amount - use a Correction to undo",IF(OR($B795&lt;Weeks!$A$6,$B795&gt;Weeks!$B$58),"date outside this workbook's year",IF(AND($D795="Advance",N($L795)&lt;0),"Warning: more than earned so far - worker now owes "&amp;ROUND(-$L795,0),"")))))))))</f>
        <v/>
      </c>
    </row>
    <row r="796" customFormat="false" ht="15" hidden="false" customHeight="false" outlineLevel="0" collapsed="false">
      <c r="A796" s="24" t="str">
        <f aca="false">IF($B796="","",ROW()-5)</f>
        <v/>
      </c>
      <c r="B796" s="25"/>
      <c r="C796" s="20"/>
      <c r="D796" s="26"/>
      <c r="E796" s="27"/>
      <c r="F796" s="20"/>
      <c r="G796" s="20"/>
      <c r="H796" s="26"/>
      <c r="I796" s="24" t="str">
        <f aca="false">IF($C796="","",IFERROR(INDEX(WorkerIDs,MATCH($C796,WorkerNames,0)),"?"))</f>
        <v/>
      </c>
      <c r="J796" s="18" t="str">
        <f aca="false">IF($B796="","",$B796-WEEKDAY($B796,2)+1)</f>
        <v/>
      </c>
      <c r="K796" s="28" t="str">
        <f aca="false">IF(OR($I796="",$I796="?",$D796&lt;&gt;"Advance",$B796=""),"",$I796&amp;"|"&amp;$J796&amp;"|"&amp;COUNTIFS($I$6:$I796,$I796,$J$6:$J796,$J796,$D$6:$D796,"Advance"))</f>
        <v/>
      </c>
      <c r="L796" s="29" t="str">
        <f aca="false">IF(OR($I796="",$I796="?",$B796=""),"",SUMPRODUCT((Weeks!$A$6:$A$58&lt;=$J796)*(Weeks!$Z$4:$AK$4=$I796)*Weeks!$Z$6:$AK$58)-SUMIFS($E$6:$E$1005,$I$6:$I$1005,$I796,$B$6:$B$1005,"&lt;="&amp;$B796))</f>
        <v/>
      </c>
      <c r="M796" s="19" t="str">
        <f aca="false">IF($B796&amp;$C796&amp;$D796&amp;$E796="","",IF($B796="","missing date",IF($C796="","missing worker",IF($I796="?","unknown worker - was the name changed on Workers?",IF($D796="","missing type",IF(N($E796)=0,"missing amount",IF(AND($E796&lt;0,$D796&lt;&gt;"Correction"),"negative amount - use a Correction to undo",IF(OR($B796&lt;Weeks!$A$6,$B796&gt;Weeks!$B$58),"date outside this workbook's year",IF(AND($D796="Advance",N($L796)&lt;0),"Warning: more than earned so far - worker now owes "&amp;ROUND(-$L796,0),"")))))))))</f>
        <v/>
      </c>
    </row>
    <row r="797" customFormat="false" ht="15" hidden="false" customHeight="false" outlineLevel="0" collapsed="false">
      <c r="A797" s="24" t="str">
        <f aca="false">IF($B797="","",ROW()-5)</f>
        <v/>
      </c>
      <c r="B797" s="25"/>
      <c r="C797" s="20"/>
      <c r="D797" s="26"/>
      <c r="E797" s="27"/>
      <c r="F797" s="20"/>
      <c r="G797" s="20"/>
      <c r="H797" s="26"/>
      <c r="I797" s="24" t="str">
        <f aca="false">IF($C797="","",IFERROR(INDEX(WorkerIDs,MATCH($C797,WorkerNames,0)),"?"))</f>
        <v/>
      </c>
      <c r="J797" s="18" t="str">
        <f aca="false">IF($B797="","",$B797-WEEKDAY($B797,2)+1)</f>
        <v/>
      </c>
      <c r="K797" s="28" t="str">
        <f aca="false">IF(OR($I797="",$I797="?",$D797&lt;&gt;"Advance",$B797=""),"",$I797&amp;"|"&amp;$J797&amp;"|"&amp;COUNTIFS($I$6:$I797,$I797,$J$6:$J797,$J797,$D$6:$D797,"Advance"))</f>
        <v/>
      </c>
      <c r="L797" s="29" t="str">
        <f aca="false">IF(OR($I797="",$I797="?",$B797=""),"",SUMPRODUCT((Weeks!$A$6:$A$58&lt;=$J797)*(Weeks!$Z$4:$AK$4=$I797)*Weeks!$Z$6:$AK$58)-SUMIFS($E$6:$E$1005,$I$6:$I$1005,$I797,$B$6:$B$1005,"&lt;="&amp;$B797))</f>
        <v/>
      </c>
      <c r="M797" s="19" t="str">
        <f aca="false">IF($B797&amp;$C797&amp;$D797&amp;$E797="","",IF($B797="","missing date",IF($C797="","missing worker",IF($I797="?","unknown worker - was the name changed on Workers?",IF($D797="","missing type",IF(N($E797)=0,"missing amount",IF(AND($E797&lt;0,$D797&lt;&gt;"Correction"),"negative amount - use a Correction to undo",IF(OR($B797&lt;Weeks!$A$6,$B797&gt;Weeks!$B$58),"date outside this workbook's year",IF(AND($D797="Advance",N($L797)&lt;0),"Warning: more than earned so far - worker now owes "&amp;ROUND(-$L797,0),"")))))))))</f>
        <v/>
      </c>
    </row>
    <row r="798" customFormat="false" ht="15" hidden="false" customHeight="false" outlineLevel="0" collapsed="false">
      <c r="A798" s="24" t="str">
        <f aca="false">IF($B798="","",ROW()-5)</f>
        <v/>
      </c>
      <c r="B798" s="25"/>
      <c r="C798" s="20"/>
      <c r="D798" s="26"/>
      <c r="E798" s="27"/>
      <c r="F798" s="20"/>
      <c r="G798" s="20"/>
      <c r="H798" s="26"/>
      <c r="I798" s="24" t="str">
        <f aca="false">IF($C798="","",IFERROR(INDEX(WorkerIDs,MATCH($C798,WorkerNames,0)),"?"))</f>
        <v/>
      </c>
      <c r="J798" s="18" t="str">
        <f aca="false">IF($B798="","",$B798-WEEKDAY($B798,2)+1)</f>
        <v/>
      </c>
      <c r="K798" s="28" t="str">
        <f aca="false">IF(OR($I798="",$I798="?",$D798&lt;&gt;"Advance",$B798=""),"",$I798&amp;"|"&amp;$J798&amp;"|"&amp;COUNTIFS($I$6:$I798,$I798,$J$6:$J798,$J798,$D$6:$D798,"Advance"))</f>
        <v/>
      </c>
      <c r="L798" s="29" t="str">
        <f aca="false">IF(OR($I798="",$I798="?",$B798=""),"",SUMPRODUCT((Weeks!$A$6:$A$58&lt;=$J798)*(Weeks!$Z$4:$AK$4=$I798)*Weeks!$Z$6:$AK$58)-SUMIFS($E$6:$E$1005,$I$6:$I$1005,$I798,$B$6:$B$1005,"&lt;="&amp;$B798))</f>
        <v/>
      </c>
      <c r="M798" s="19" t="str">
        <f aca="false">IF($B798&amp;$C798&amp;$D798&amp;$E798="","",IF($B798="","missing date",IF($C798="","missing worker",IF($I798="?","unknown worker - was the name changed on Workers?",IF($D798="","missing type",IF(N($E798)=0,"missing amount",IF(AND($E798&lt;0,$D798&lt;&gt;"Correction"),"negative amount - use a Correction to undo",IF(OR($B798&lt;Weeks!$A$6,$B798&gt;Weeks!$B$58),"date outside this workbook's year",IF(AND($D798="Advance",N($L798)&lt;0),"Warning: more than earned so far - worker now owes "&amp;ROUND(-$L798,0),"")))))))))</f>
        <v/>
      </c>
    </row>
    <row r="799" customFormat="false" ht="15" hidden="false" customHeight="false" outlineLevel="0" collapsed="false">
      <c r="A799" s="24" t="str">
        <f aca="false">IF($B799="","",ROW()-5)</f>
        <v/>
      </c>
      <c r="B799" s="25"/>
      <c r="C799" s="20"/>
      <c r="D799" s="26"/>
      <c r="E799" s="27"/>
      <c r="F799" s="20"/>
      <c r="G799" s="20"/>
      <c r="H799" s="26"/>
      <c r="I799" s="24" t="str">
        <f aca="false">IF($C799="","",IFERROR(INDEX(WorkerIDs,MATCH($C799,WorkerNames,0)),"?"))</f>
        <v/>
      </c>
      <c r="J799" s="18" t="str">
        <f aca="false">IF($B799="","",$B799-WEEKDAY($B799,2)+1)</f>
        <v/>
      </c>
      <c r="K799" s="28" t="str">
        <f aca="false">IF(OR($I799="",$I799="?",$D799&lt;&gt;"Advance",$B799=""),"",$I799&amp;"|"&amp;$J799&amp;"|"&amp;COUNTIFS($I$6:$I799,$I799,$J$6:$J799,$J799,$D$6:$D799,"Advance"))</f>
        <v/>
      </c>
      <c r="L799" s="29" t="str">
        <f aca="false">IF(OR($I799="",$I799="?",$B799=""),"",SUMPRODUCT((Weeks!$A$6:$A$58&lt;=$J799)*(Weeks!$Z$4:$AK$4=$I799)*Weeks!$Z$6:$AK$58)-SUMIFS($E$6:$E$1005,$I$6:$I$1005,$I799,$B$6:$B$1005,"&lt;="&amp;$B799))</f>
        <v/>
      </c>
      <c r="M799" s="19" t="str">
        <f aca="false">IF($B799&amp;$C799&amp;$D799&amp;$E799="","",IF($B799="","missing date",IF($C799="","missing worker",IF($I799="?","unknown worker - was the name changed on Workers?",IF($D799="","missing type",IF(N($E799)=0,"missing amount",IF(AND($E799&lt;0,$D799&lt;&gt;"Correction"),"negative amount - use a Correction to undo",IF(OR($B799&lt;Weeks!$A$6,$B799&gt;Weeks!$B$58),"date outside this workbook's year",IF(AND($D799="Advance",N($L799)&lt;0),"Warning: more than earned so far - worker now owes "&amp;ROUND(-$L799,0),"")))))))))</f>
        <v/>
      </c>
    </row>
    <row r="800" customFormat="false" ht="15" hidden="false" customHeight="false" outlineLevel="0" collapsed="false">
      <c r="A800" s="24" t="str">
        <f aca="false">IF($B800="","",ROW()-5)</f>
        <v/>
      </c>
      <c r="B800" s="25"/>
      <c r="C800" s="20"/>
      <c r="D800" s="26"/>
      <c r="E800" s="27"/>
      <c r="F800" s="20"/>
      <c r="G800" s="20"/>
      <c r="H800" s="26"/>
      <c r="I800" s="24" t="str">
        <f aca="false">IF($C800="","",IFERROR(INDEX(WorkerIDs,MATCH($C800,WorkerNames,0)),"?"))</f>
        <v/>
      </c>
      <c r="J800" s="18" t="str">
        <f aca="false">IF($B800="","",$B800-WEEKDAY($B800,2)+1)</f>
        <v/>
      </c>
      <c r="K800" s="28" t="str">
        <f aca="false">IF(OR($I800="",$I800="?",$D800&lt;&gt;"Advance",$B800=""),"",$I800&amp;"|"&amp;$J800&amp;"|"&amp;COUNTIFS($I$6:$I800,$I800,$J$6:$J800,$J800,$D$6:$D800,"Advance"))</f>
        <v/>
      </c>
      <c r="L800" s="29" t="str">
        <f aca="false">IF(OR($I800="",$I800="?",$B800=""),"",SUMPRODUCT((Weeks!$A$6:$A$58&lt;=$J800)*(Weeks!$Z$4:$AK$4=$I800)*Weeks!$Z$6:$AK$58)-SUMIFS($E$6:$E$1005,$I$6:$I$1005,$I800,$B$6:$B$1005,"&lt;="&amp;$B800))</f>
        <v/>
      </c>
      <c r="M800" s="19" t="str">
        <f aca="false">IF($B800&amp;$C800&amp;$D800&amp;$E800="","",IF($B800="","missing date",IF($C800="","missing worker",IF($I800="?","unknown worker - was the name changed on Workers?",IF($D800="","missing type",IF(N($E800)=0,"missing amount",IF(AND($E800&lt;0,$D800&lt;&gt;"Correction"),"negative amount - use a Correction to undo",IF(OR($B800&lt;Weeks!$A$6,$B800&gt;Weeks!$B$58),"date outside this workbook's year",IF(AND($D800="Advance",N($L800)&lt;0),"Warning: more than earned so far - worker now owes "&amp;ROUND(-$L800,0),"")))))))))</f>
        <v/>
      </c>
    </row>
    <row r="801" customFormat="false" ht="15" hidden="false" customHeight="false" outlineLevel="0" collapsed="false">
      <c r="A801" s="24" t="str">
        <f aca="false">IF($B801="","",ROW()-5)</f>
        <v/>
      </c>
      <c r="B801" s="25"/>
      <c r="C801" s="20"/>
      <c r="D801" s="26"/>
      <c r="E801" s="27"/>
      <c r="F801" s="20"/>
      <c r="G801" s="20"/>
      <c r="H801" s="26"/>
      <c r="I801" s="24" t="str">
        <f aca="false">IF($C801="","",IFERROR(INDEX(WorkerIDs,MATCH($C801,WorkerNames,0)),"?"))</f>
        <v/>
      </c>
      <c r="J801" s="18" t="str">
        <f aca="false">IF($B801="","",$B801-WEEKDAY($B801,2)+1)</f>
        <v/>
      </c>
      <c r="K801" s="28" t="str">
        <f aca="false">IF(OR($I801="",$I801="?",$D801&lt;&gt;"Advance",$B801=""),"",$I801&amp;"|"&amp;$J801&amp;"|"&amp;COUNTIFS($I$6:$I801,$I801,$J$6:$J801,$J801,$D$6:$D801,"Advance"))</f>
        <v/>
      </c>
      <c r="L801" s="29" t="str">
        <f aca="false">IF(OR($I801="",$I801="?",$B801=""),"",SUMPRODUCT((Weeks!$A$6:$A$58&lt;=$J801)*(Weeks!$Z$4:$AK$4=$I801)*Weeks!$Z$6:$AK$58)-SUMIFS($E$6:$E$1005,$I$6:$I$1005,$I801,$B$6:$B$1005,"&lt;="&amp;$B801))</f>
        <v/>
      </c>
      <c r="M801" s="19" t="str">
        <f aca="false">IF($B801&amp;$C801&amp;$D801&amp;$E801="","",IF($B801="","missing date",IF($C801="","missing worker",IF($I801="?","unknown worker - was the name changed on Workers?",IF($D801="","missing type",IF(N($E801)=0,"missing amount",IF(AND($E801&lt;0,$D801&lt;&gt;"Correction"),"negative amount - use a Correction to undo",IF(OR($B801&lt;Weeks!$A$6,$B801&gt;Weeks!$B$58),"date outside this workbook's year",IF(AND($D801="Advance",N($L801)&lt;0),"Warning: more than earned so far - worker now owes "&amp;ROUND(-$L801,0),"")))))))))</f>
        <v/>
      </c>
    </row>
    <row r="802" customFormat="false" ht="15" hidden="false" customHeight="false" outlineLevel="0" collapsed="false">
      <c r="A802" s="24" t="str">
        <f aca="false">IF($B802="","",ROW()-5)</f>
        <v/>
      </c>
      <c r="B802" s="25"/>
      <c r="C802" s="20"/>
      <c r="D802" s="26"/>
      <c r="E802" s="27"/>
      <c r="F802" s="20"/>
      <c r="G802" s="20"/>
      <c r="H802" s="26"/>
      <c r="I802" s="24" t="str">
        <f aca="false">IF($C802="","",IFERROR(INDEX(WorkerIDs,MATCH($C802,WorkerNames,0)),"?"))</f>
        <v/>
      </c>
      <c r="J802" s="18" t="str">
        <f aca="false">IF($B802="","",$B802-WEEKDAY($B802,2)+1)</f>
        <v/>
      </c>
      <c r="K802" s="28" t="str">
        <f aca="false">IF(OR($I802="",$I802="?",$D802&lt;&gt;"Advance",$B802=""),"",$I802&amp;"|"&amp;$J802&amp;"|"&amp;COUNTIFS($I$6:$I802,$I802,$J$6:$J802,$J802,$D$6:$D802,"Advance"))</f>
        <v/>
      </c>
      <c r="L802" s="29" t="str">
        <f aca="false">IF(OR($I802="",$I802="?",$B802=""),"",SUMPRODUCT((Weeks!$A$6:$A$58&lt;=$J802)*(Weeks!$Z$4:$AK$4=$I802)*Weeks!$Z$6:$AK$58)-SUMIFS($E$6:$E$1005,$I$6:$I$1005,$I802,$B$6:$B$1005,"&lt;="&amp;$B802))</f>
        <v/>
      </c>
      <c r="M802" s="19" t="str">
        <f aca="false">IF($B802&amp;$C802&amp;$D802&amp;$E802="","",IF($B802="","missing date",IF($C802="","missing worker",IF($I802="?","unknown worker - was the name changed on Workers?",IF($D802="","missing type",IF(N($E802)=0,"missing amount",IF(AND($E802&lt;0,$D802&lt;&gt;"Correction"),"negative amount - use a Correction to undo",IF(OR($B802&lt;Weeks!$A$6,$B802&gt;Weeks!$B$58),"date outside this workbook's year",IF(AND($D802="Advance",N($L802)&lt;0),"Warning: more than earned so far - worker now owes "&amp;ROUND(-$L802,0),"")))))))))</f>
        <v/>
      </c>
    </row>
    <row r="803" customFormat="false" ht="15" hidden="false" customHeight="false" outlineLevel="0" collapsed="false">
      <c r="A803" s="24" t="str">
        <f aca="false">IF($B803="","",ROW()-5)</f>
        <v/>
      </c>
      <c r="B803" s="25"/>
      <c r="C803" s="20"/>
      <c r="D803" s="26"/>
      <c r="E803" s="27"/>
      <c r="F803" s="20"/>
      <c r="G803" s="20"/>
      <c r="H803" s="26"/>
      <c r="I803" s="24" t="str">
        <f aca="false">IF($C803="","",IFERROR(INDEX(WorkerIDs,MATCH($C803,WorkerNames,0)),"?"))</f>
        <v/>
      </c>
      <c r="J803" s="18" t="str">
        <f aca="false">IF($B803="","",$B803-WEEKDAY($B803,2)+1)</f>
        <v/>
      </c>
      <c r="K803" s="28" t="str">
        <f aca="false">IF(OR($I803="",$I803="?",$D803&lt;&gt;"Advance",$B803=""),"",$I803&amp;"|"&amp;$J803&amp;"|"&amp;COUNTIFS($I$6:$I803,$I803,$J$6:$J803,$J803,$D$6:$D803,"Advance"))</f>
        <v/>
      </c>
      <c r="L803" s="29" t="str">
        <f aca="false">IF(OR($I803="",$I803="?",$B803=""),"",SUMPRODUCT((Weeks!$A$6:$A$58&lt;=$J803)*(Weeks!$Z$4:$AK$4=$I803)*Weeks!$Z$6:$AK$58)-SUMIFS($E$6:$E$1005,$I$6:$I$1005,$I803,$B$6:$B$1005,"&lt;="&amp;$B803))</f>
        <v/>
      </c>
      <c r="M803" s="19" t="str">
        <f aca="false">IF($B803&amp;$C803&amp;$D803&amp;$E803="","",IF($B803="","missing date",IF($C803="","missing worker",IF($I803="?","unknown worker - was the name changed on Workers?",IF($D803="","missing type",IF(N($E803)=0,"missing amount",IF(AND($E803&lt;0,$D803&lt;&gt;"Correction"),"negative amount - use a Correction to undo",IF(OR($B803&lt;Weeks!$A$6,$B803&gt;Weeks!$B$58),"date outside this workbook's year",IF(AND($D803="Advance",N($L803)&lt;0),"Warning: more than earned so far - worker now owes "&amp;ROUND(-$L803,0),"")))))))))</f>
        <v/>
      </c>
    </row>
    <row r="804" customFormat="false" ht="15" hidden="false" customHeight="false" outlineLevel="0" collapsed="false">
      <c r="A804" s="24" t="str">
        <f aca="false">IF($B804="","",ROW()-5)</f>
        <v/>
      </c>
      <c r="B804" s="25"/>
      <c r="C804" s="20"/>
      <c r="D804" s="26"/>
      <c r="E804" s="27"/>
      <c r="F804" s="20"/>
      <c r="G804" s="20"/>
      <c r="H804" s="26"/>
      <c r="I804" s="24" t="str">
        <f aca="false">IF($C804="","",IFERROR(INDEX(WorkerIDs,MATCH($C804,WorkerNames,0)),"?"))</f>
        <v/>
      </c>
      <c r="J804" s="18" t="str">
        <f aca="false">IF($B804="","",$B804-WEEKDAY($B804,2)+1)</f>
        <v/>
      </c>
      <c r="K804" s="28" t="str">
        <f aca="false">IF(OR($I804="",$I804="?",$D804&lt;&gt;"Advance",$B804=""),"",$I804&amp;"|"&amp;$J804&amp;"|"&amp;COUNTIFS($I$6:$I804,$I804,$J$6:$J804,$J804,$D$6:$D804,"Advance"))</f>
        <v/>
      </c>
      <c r="L804" s="29" t="str">
        <f aca="false">IF(OR($I804="",$I804="?",$B804=""),"",SUMPRODUCT((Weeks!$A$6:$A$58&lt;=$J804)*(Weeks!$Z$4:$AK$4=$I804)*Weeks!$Z$6:$AK$58)-SUMIFS($E$6:$E$1005,$I$6:$I$1005,$I804,$B$6:$B$1005,"&lt;="&amp;$B804))</f>
        <v/>
      </c>
      <c r="M804" s="19" t="str">
        <f aca="false">IF($B804&amp;$C804&amp;$D804&amp;$E804="","",IF($B804="","missing date",IF($C804="","missing worker",IF($I804="?","unknown worker - was the name changed on Workers?",IF($D804="","missing type",IF(N($E804)=0,"missing amount",IF(AND($E804&lt;0,$D804&lt;&gt;"Correction"),"negative amount - use a Correction to undo",IF(OR($B804&lt;Weeks!$A$6,$B804&gt;Weeks!$B$58),"date outside this workbook's year",IF(AND($D804="Advance",N($L804)&lt;0),"Warning: more than earned so far - worker now owes "&amp;ROUND(-$L804,0),"")))))))))</f>
        <v/>
      </c>
    </row>
    <row r="805" customFormat="false" ht="15" hidden="false" customHeight="false" outlineLevel="0" collapsed="false">
      <c r="A805" s="24" t="str">
        <f aca="false">IF($B805="","",ROW()-5)</f>
        <v/>
      </c>
      <c r="B805" s="25"/>
      <c r="C805" s="20"/>
      <c r="D805" s="26"/>
      <c r="E805" s="27"/>
      <c r="F805" s="20"/>
      <c r="G805" s="20"/>
      <c r="H805" s="26"/>
      <c r="I805" s="24" t="str">
        <f aca="false">IF($C805="","",IFERROR(INDEX(WorkerIDs,MATCH($C805,WorkerNames,0)),"?"))</f>
        <v/>
      </c>
      <c r="J805" s="18" t="str">
        <f aca="false">IF($B805="","",$B805-WEEKDAY($B805,2)+1)</f>
        <v/>
      </c>
      <c r="K805" s="28" t="str">
        <f aca="false">IF(OR($I805="",$I805="?",$D805&lt;&gt;"Advance",$B805=""),"",$I805&amp;"|"&amp;$J805&amp;"|"&amp;COUNTIFS($I$6:$I805,$I805,$J$6:$J805,$J805,$D$6:$D805,"Advance"))</f>
        <v/>
      </c>
      <c r="L805" s="29" t="str">
        <f aca="false">IF(OR($I805="",$I805="?",$B805=""),"",SUMPRODUCT((Weeks!$A$6:$A$58&lt;=$J805)*(Weeks!$Z$4:$AK$4=$I805)*Weeks!$Z$6:$AK$58)-SUMIFS($E$6:$E$1005,$I$6:$I$1005,$I805,$B$6:$B$1005,"&lt;="&amp;$B805))</f>
        <v/>
      </c>
      <c r="M805" s="19" t="str">
        <f aca="false">IF($B805&amp;$C805&amp;$D805&amp;$E805="","",IF($B805="","missing date",IF($C805="","missing worker",IF($I805="?","unknown worker - was the name changed on Workers?",IF($D805="","missing type",IF(N($E805)=0,"missing amount",IF(AND($E805&lt;0,$D805&lt;&gt;"Correction"),"negative amount - use a Correction to undo",IF(OR($B805&lt;Weeks!$A$6,$B805&gt;Weeks!$B$58),"date outside this workbook's year",IF(AND($D805="Advance",N($L805)&lt;0),"Warning: more than earned so far - worker now owes "&amp;ROUND(-$L805,0),"")))))))))</f>
        <v/>
      </c>
    </row>
    <row r="806" customFormat="false" ht="15" hidden="false" customHeight="false" outlineLevel="0" collapsed="false">
      <c r="A806" s="24" t="str">
        <f aca="false">IF($B806="","",ROW()-5)</f>
        <v/>
      </c>
      <c r="B806" s="25"/>
      <c r="C806" s="20"/>
      <c r="D806" s="26"/>
      <c r="E806" s="27"/>
      <c r="F806" s="20"/>
      <c r="G806" s="20"/>
      <c r="H806" s="26"/>
      <c r="I806" s="24" t="str">
        <f aca="false">IF($C806="","",IFERROR(INDEX(WorkerIDs,MATCH($C806,WorkerNames,0)),"?"))</f>
        <v/>
      </c>
      <c r="J806" s="18" t="str">
        <f aca="false">IF($B806="","",$B806-WEEKDAY($B806,2)+1)</f>
        <v/>
      </c>
      <c r="K806" s="28" t="str">
        <f aca="false">IF(OR($I806="",$I806="?",$D806&lt;&gt;"Advance",$B806=""),"",$I806&amp;"|"&amp;$J806&amp;"|"&amp;COUNTIFS($I$6:$I806,$I806,$J$6:$J806,$J806,$D$6:$D806,"Advance"))</f>
        <v/>
      </c>
      <c r="L806" s="29" t="str">
        <f aca="false">IF(OR($I806="",$I806="?",$B806=""),"",SUMPRODUCT((Weeks!$A$6:$A$58&lt;=$J806)*(Weeks!$Z$4:$AK$4=$I806)*Weeks!$Z$6:$AK$58)-SUMIFS($E$6:$E$1005,$I$6:$I$1005,$I806,$B$6:$B$1005,"&lt;="&amp;$B806))</f>
        <v/>
      </c>
      <c r="M806" s="19" t="str">
        <f aca="false">IF($B806&amp;$C806&amp;$D806&amp;$E806="","",IF($B806="","missing date",IF($C806="","missing worker",IF($I806="?","unknown worker - was the name changed on Workers?",IF($D806="","missing type",IF(N($E806)=0,"missing amount",IF(AND($E806&lt;0,$D806&lt;&gt;"Correction"),"negative amount - use a Correction to undo",IF(OR($B806&lt;Weeks!$A$6,$B806&gt;Weeks!$B$58),"date outside this workbook's year",IF(AND($D806="Advance",N($L806)&lt;0),"Warning: more than earned so far - worker now owes "&amp;ROUND(-$L806,0),"")))))))))</f>
        <v/>
      </c>
    </row>
    <row r="807" customFormat="false" ht="15" hidden="false" customHeight="false" outlineLevel="0" collapsed="false">
      <c r="A807" s="24" t="str">
        <f aca="false">IF($B807="","",ROW()-5)</f>
        <v/>
      </c>
      <c r="B807" s="25"/>
      <c r="C807" s="20"/>
      <c r="D807" s="26"/>
      <c r="E807" s="27"/>
      <c r="F807" s="20"/>
      <c r="G807" s="20"/>
      <c r="H807" s="26"/>
      <c r="I807" s="24" t="str">
        <f aca="false">IF($C807="","",IFERROR(INDEX(WorkerIDs,MATCH($C807,WorkerNames,0)),"?"))</f>
        <v/>
      </c>
      <c r="J807" s="18" t="str">
        <f aca="false">IF($B807="","",$B807-WEEKDAY($B807,2)+1)</f>
        <v/>
      </c>
      <c r="K807" s="28" t="str">
        <f aca="false">IF(OR($I807="",$I807="?",$D807&lt;&gt;"Advance",$B807=""),"",$I807&amp;"|"&amp;$J807&amp;"|"&amp;COUNTIFS($I$6:$I807,$I807,$J$6:$J807,$J807,$D$6:$D807,"Advance"))</f>
        <v/>
      </c>
      <c r="L807" s="29" t="str">
        <f aca="false">IF(OR($I807="",$I807="?",$B807=""),"",SUMPRODUCT((Weeks!$A$6:$A$58&lt;=$J807)*(Weeks!$Z$4:$AK$4=$I807)*Weeks!$Z$6:$AK$58)-SUMIFS($E$6:$E$1005,$I$6:$I$1005,$I807,$B$6:$B$1005,"&lt;="&amp;$B807))</f>
        <v/>
      </c>
      <c r="M807" s="19" t="str">
        <f aca="false">IF($B807&amp;$C807&amp;$D807&amp;$E807="","",IF($B807="","missing date",IF($C807="","missing worker",IF($I807="?","unknown worker - was the name changed on Workers?",IF($D807="","missing type",IF(N($E807)=0,"missing amount",IF(AND($E807&lt;0,$D807&lt;&gt;"Correction"),"negative amount - use a Correction to undo",IF(OR($B807&lt;Weeks!$A$6,$B807&gt;Weeks!$B$58),"date outside this workbook's year",IF(AND($D807="Advance",N($L807)&lt;0),"Warning: more than earned so far - worker now owes "&amp;ROUND(-$L807,0),"")))))))))</f>
        <v/>
      </c>
    </row>
    <row r="808" customFormat="false" ht="15" hidden="false" customHeight="false" outlineLevel="0" collapsed="false">
      <c r="A808" s="24" t="str">
        <f aca="false">IF($B808="","",ROW()-5)</f>
        <v/>
      </c>
      <c r="B808" s="25"/>
      <c r="C808" s="20"/>
      <c r="D808" s="26"/>
      <c r="E808" s="27"/>
      <c r="F808" s="20"/>
      <c r="G808" s="20"/>
      <c r="H808" s="26"/>
      <c r="I808" s="24" t="str">
        <f aca="false">IF($C808="","",IFERROR(INDEX(WorkerIDs,MATCH($C808,WorkerNames,0)),"?"))</f>
        <v/>
      </c>
      <c r="J808" s="18" t="str">
        <f aca="false">IF($B808="","",$B808-WEEKDAY($B808,2)+1)</f>
        <v/>
      </c>
      <c r="K808" s="28" t="str">
        <f aca="false">IF(OR($I808="",$I808="?",$D808&lt;&gt;"Advance",$B808=""),"",$I808&amp;"|"&amp;$J808&amp;"|"&amp;COUNTIFS($I$6:$I808,$I808,$J$6:$J808,$J808,$D$6:$D808,"Advance"))</f>
        <v/>
      </c>
      <c r="L808" s="29" t="str">
        <f aca="false">IF(OR($I808="",$I808="?",$B808=""),"",SUMPRODUCT((Weeks!$A$6:$A$58&lt;=$J808)*(Weeks!$Z$4:$AK$4=$I808)*Weeks!$Z$6:$AK$58)-SUMIFS($E$6:$E$1005,$I$6:$I$1005,$I808,$B$6:$B$1005,"&lt;="&amp;$B808))</f>
        <v/>
      </c>
      <c r="M808" s="19" t="str">
        <f aca="false">IF($B808&amp;$C808&amp;$D808&amp;$E808="","",IF($B808="","missing date",IF($C808="","missing worker",IF($I808="?","unknown worker - was the name changed on Workers?",IF($D808="","missing type",IF(N($E808)=0,"missing amount",IF(AND($E808&lt;0,$D808&lt;&gt;"Correction"),"negative amount - use a Correction to undo",IF(OR($B808&lt;Weeks!$A$6,$B808&gt;Weeks!$B$58),"date outside this workbook's year",IF(AND($D808="Advance",N($L808)&lt;0),"Warning: more than earned so far - worker now owes "&amp;ROUND(-$L808,0),"")))))))))</f>
        <v/>
      </c>
    </row>
    <row r="809" customFormat="false" ht="15" hidden="false" customHeight="false" outlineLevel="0" collapsed="false">
      <c r="A809" s="24" t="str">
        <f aca="false">IF($B809="","",ROW()-5)</f>
        <v/>
      </c>
      <c r="B809" s="25"/>
      <c r="C809" s="20"/>
      <c r="D809" s="26"/>
      <c r="E809" s="27"/>
      <c r="F809" s="20"/>
      <c r="G809" s="20"/>
      <c r="H809" s="26"/>
      <c r="I809" s="24" t="str">
        <f aca="false">IF($C809="","",IFERROR(INDEX(WorkerIDs,MATCH($C809,WorkerNames,0)),"?"))</f>
        <v/>
      </c>
      <c r="J809" s="18" t="str">
        <f aca="false">IF($B809="","",$B809-WEEKDAY($B809,2)+1)</f>
        <v/>
      </c>
      <c r="K809" s="28" t="str">
        <f aca="false">IF(OR($I809="",$I809="?",$D809&lt;&gt;"Advance",$B809=""),"",$I809&amp;"|"&amp;$J809&amp;"|"&amp;COUNTIFS($I$6:$I809,$I809,$J$6:$J809,$J809,$D$6:$D809,"Advance"))</f>
        <v/>
      </c>
      <c r="L809" s="29" t="str">
        <f aca="false">IF(OR($I809="",$I809="?",$B809=""),"",SUMPRODUCT((Weeks!$A$6:$A$58&lt;=$J809)*(Weeks!$Z$4:$AK$4=$I809)*Weeks!$Z$6:$AK$58)-SUMIFS($E$6:$E$1005,$I$6:$I$1005,$I809,$B$6:$B$1005,"&lt;="&amp;$B809))</f>
        <v/>
      </c>
      <c r="M809" s="19" t="str">
        <f aca="false">IF($B809&amp;$C809&amp;$D809&amp;$E809="","",IF($B809="","missing date",IF($C809="","missing worker",IF($I809="?","unknown worker - was the name changed on Workers?",IF($D809="","missing type",IF(N($E809)=0,"missing amount",IF(AND($E809&lt;0,$D809&lt;&gt;"Correction"),"negative amount - use a Correction to undo",IF(OR($B809&lt;Weeks!$A$6,$B809&gt;Weeks!$B$58),"date outside this workbook's year",IF(AND($D809="Advance",N($L809)&lt;0),"Warning: more than earned so far - worker now owes "&amp;ROUND(-$L809,0),"")))))))))</f>
        <v/>
      </c>
    </row>
    <row r="810" customFormat="false" ht="15" hidden="false" customHeight="false" outlineLevel="0" collapsed="false">
      <c r="A810" s="24" t="str">
        <f aca="false">IF($B810="","",ROW()-5)</f>
        <v/>
      </c>
      <c r="B810" s="25"/>
      <c r="C810" s="20"/>
      <c r="D810" s="26"/>
      <c r="E810" s="27"/>
      <c r="F810" s="20"/>
      <c r="G810" s="20"/>
      <c r="H810" s="26"/>
      <c r="I810" s="24" t="str">
        <f aca="false">IF($C810="","",IFERROR(INDEX(WorkerIDs,MATCH($C810,WorkerNames,0)),"?"))</f>
        <v/>
      </c>
      <c r="J810" s="18" t="str">
        <f aca="false">IF($B810="","",$B810-WEEKDAY($B810,2)+1)</f>
        <v/>
      </c>
      <c r="K810" s="28" t="str">
        <f aca="false">IF(OR($I810="",$I810="?",$D810&lt;&gt;"Advance",$B810=""),"",$I810&amp;"|"&amp;$J810&amp;"|"&amp;COUNTIFS($I$6:$I810,$I810,$J$6:$J810,$J810,$D$6:$D810,"Advance"))</f>
        <v/>
      </c>
      <c r="L810" s="29" t="str">
        <f aca="false">IF(OR($I810="",$I810="?",$B810=""),"",SUMPRODUCT((Weeks!$A$6:$A$58&lt;=$J810)*(Weeks!$Z$4:$AK$4=$I810)*Weeks!$Z$6:$AK$58)-SUMIFS($E$6:$E$1005,$I$6:$I$1005,$I810,$B$6:$B$1005,"&lt;="&amp;$B810))</f>
        <v/>
      </c>
      <c r="M810" s="19" t="str">
        <f aca="false">IF($B810&amp;$C810&amp;$D810&amp;$E810="","",IF($B810="","missing date",IF($C810="","missing worker",IF($I810="?","unknown worker - was the name changed on Workers?",IF($D810="","missing type",IF(N($E810)=0,"missing amount",IF(AND($E810&lt;0,$D810&lt;&gt;"Correction"),"negative amount - use a Correction to undo",IF(OR($B810&lt;Weeks!$A$6,$B810&gt;Weeks!$B$58),"date outside this workbook's year",IF(AND($D810="Advance",N($L810)&lt;0),"Warning: more than earned so far - worker now owes "&amp;ROUND(-$L810,0),"")))))))))</f>
        <v/>
      </c>
    </row>
    <row r="811" customFormat="false" ht="15" hidden="false" customHeight="false" outlineLevel="0" collapsed="false">
      <c r="A811" s="24" t="str">
        <f aca="false">IF($B811="","",ROW()-5)</f>
        <v/>
      </c>
      <c r="B811" s="25"/>
      <c r="C811" s="20"/>
      <c r="D811" s="26"/>
      <c r="E811" s="27"/>
      <c r="F811" s="20"/>
      <c r="G811" s="20"/>
      <c r="H811" s="26"/>
      <c r="I811" s="24" t="str">
        <f aca="false">IF($C811="","",IFERROR(INDEX(WorkerIDs,MATCH($C811,WorkerNames,0)),"?"))</f>
        <v/>
      </c>
      <c r="J811" s="18" t="str">
        <f aca="false">IF($B811="","",$B811-WEEKDAY($B811,2)+1)</f>
        <v/>
      </c>
      <c r="K811" s="28" t="str">
        <f aca="false">IF(OR($I811="",$I811="?",$D811&lt;&gt;"Advance",$B811=""),"",$I811&amp;"|"&amp;$J811&amp;"|"&amp;COUNTIFS($I$6:$I811,$I811,$J$6:$J811,$J811,$D$6:$D811,"Advance"))</f>
        <v/>
      </c>
      <c r="L811" s="29" t="str">
        <f aca="false">IF(OR($I811="",$I811="?",$B811=""),"",SUMPRODUCT((Weeks!$A$6:$A$58&lt;=$J811)*(Weeks!$Z$4:$AK$4=$I811)*Weeks!$Z$6:$AK$58)-SUMIFS($E$6:$E$1005,$I$6:$I$1005,$I811,$B$6:$B$1005,"&lt;="&amp;$B811))</f>
        <v/>
      </c>
      <c r="M811" s="19" t="str">
        <f aca="false">IF($B811&amp;$C811&amp;$D811&amp;$E811="","",IF($B811="","missing date",IF($C811="","missing worker",IF($I811="?","unknown worker - was the name changed on Workers?",IF($D811="","missing type",IF(N($E811)=0,"missing amount",IF(AND($E811&lt;0,$D811&lt;&gt;"Correction"),"negative amount - use a Correction to undo",IF(OR($B811&lt;Weeks!$A$6,$B811&gt;Weeks!$B$58),"date outside this workbook's year",IF(AND($D811="Advance",N($L811)&lt;0),"Warning: more than earned so far - worker now owes "&amp;ROUND(-$L811,0),"")))))))))</f>
        <v/>
      </c>
    </row>
    <row r="812" customFormat="false" ht="15" hidden="false" customHeight="false" outlineLevel="0" collapsed="false">
      <c r="A812" s="24" t="str">
        <f aca="false">IF($B812="","",ROW()-5)</f>
        <v/>
      </c>
      <c r="B812" s="25"/>
      <c r="C812" s="20"/>
      <c r="D812" s="26"/>
      <c r="E812" s="27"/>
      <c r="F812" s="20"/>
      <c r="G812" s="20"/>
      <c r="H812" s="26"/>
      <c r="I812" s="24" t="str">
        <f aca="false">IF($C812="","",IFERROR(INDEX(WorkerIDs,MATCH($C812,WorkerNames,0)),"?"))</f>
        <v/>
      </c>
      <c r="J812" s="18" t="str">
        <f aca="false">IF($B812="","",$B812-WEEKDAY($B812,2)+1)</f>
        <v/>
      </c>
      <c r="K812" s="28" t="str">
        <f aca="false">IF(OR($I812="",$I812="?",$D812&lt;&gt;"Advance",$B812=""),"",$I812&amp;"|"&amp;$J812&amp;"|"&amp;COUNTIFS($I$6:$I812,$I812,$J$6:$J812,$J812,$D$6:$D812,"Advance"))</f>
        <v/>
      </c>
      <c r="L812" s="29" t="str">
        <f aca="false">IF(OR($I812="",$I812="?",$B812=""),"",SUMPRODUCT((Weeks!$A$6:$A$58&lt;=$J812)*(Weeks!$Z$4:$AK$4=$I812)*Weeks!$Z$6:$AK$58)-SUMIFS($E$6:$E$1005,$I$6:$I$1005,$I812,$B$6:$B$1005,"&lt;="&amp;$B812))</f>
        <v/>
      </c>
      <c r="M812" s="19" t="str">
        <f aca="false">IF($B812&amp;$C812&amp;$D812&amp;$E812="","",IF($B812="","missing date",IF($C812="","missing worker",IF($I812="?","unknown worker - was the name changed on Workers?",IF($D812="","missing type",IF(N($E812)=0,"missing amount",IF(AND($E812&lt;0,$D812&lt;&gt;"Correction"),"negative amount - use a Correction to undo",IF(OR($B812&lt;Weeks!$A$6,$B812&gt;Weeks!$B$58),"date outside this workbook's year",IF(AND($D812="Advance",N($L812)&lt;0),"Warning: more than earned so far - worker now owes "&amp;ROUND(-$L812,0),"")))))))))</f>
        <v/>
      </c>
    </row>
    <row r="813" customFormat="false" ht="15" hidden="false" customHeight="false" outlineLevel="0" collapsed="false">
      <c r="A813" s="24" t="str">
        <f aca="false">IF($B813="","",ROW()-5)</f>
        <v/>
      </c>
      <c r="B813" s="25"/>
      <c r="C813" s="20"/>
      <c r="D813" s="26"/>
      <c r="E813" s="27"/>
      <c r="F813" s="20"/>
      <c r="G813" s="20"/>
      <c r="H813" s="26"/>
      <c r="I813" s="24" t="str">
        <f aca="false">IF($C813="","",IFERROR(INDEX(WorkerIDs,MATCH($C813,WorkerNames,0)),"?"))</f>
        <v/>
      </c>
      <c r="J813" s="18" t="str">
        <f aca="false">IF($B813="","",$B813-WEEKDAY($B813,2)+1)</f>
        <v/>
      </c>
      <c r="K813" s="28" t="str">
        <f aca="false">IF(OR($I813="",$I813="?",$D813&lt;&gt;"Advance",$B813=""),"",$I813&amp;"|"&amp;$J813&amp;"|"&amp;COUNTIFS($I$6:$I813,$I813,$J$6:$J813,$J813,$D$6:$D813,"Advance"))</f>
        <v/>
      </c>
      <c r="L813" s="29" t="str">
        <f aca="false">IF(OR($I813="",$I813="?",$B813=""),"",SUMPRODUCT((Weeks!$A$6:$A$58&lt;=$J813)*(Weeks!$Z$4:$AK$4=$I813)*Weeks!$Z$6:$AK$58)-SUMIFS($E$6:$E$1005,$I$6:$I$1005,$I813,$B$6:$B$1005,"&lt;="&amp;$B813))</f>
        <v/>
      </c>
      <c r="M813" s="19" t="str">
        <f aca="false">IF($B813&amp;$C813&amp;$D813&amp;$E813="","",IF($B813="","missing date",IF($C813="","missing worker",IF($I813="?","unknown worker - was the name changed on Workers?",IF($D813="","missing type",IF(N($E813)=0,"missing amount",IF(AND($E813&lt;0,$D813&lt;&gt;"Correction"),"negative amount - use a Correction to undo",IF(OR($B813&lt;Weeks!$A$6,$B813&gt;Weeks!$B$58),"date outside this workbook's year",IF(AND($D813="Advance",N($L813)&lt;0),"Warning: more than earned so far - worker now owes "&amp;ROUND(-$L813,0),"")))))))))</f>
        <v/>
      </c>
    </row>
    <row r="814" customFormat="false" ht="15" hidden="false" customHeight="false" outlineLevel="0" collapsed="false">
      <c r="A814" s="24" t="str">
        <f aca="false">IF($B814="","",ROW()-5)</f>
        <v/>
      </c>
      <c r="B814" s="25"/>
      <c r="C814" s="20"/>
      <c r="D814" s="26"/>
      <c r="E814" s="27"/>
      <c r="F814" s="20"/>
      <c r="G814" s="20"/>
      <c r="H814" s="26"/>
      <c r="I814" s="24" t="str">
        <f aca="false">IF($C814="","",IFERROR(INDEX(WorkerIDs,MATCH($C814,WorkerNames,0)),"?"))</f>
        <v/>
      </c>
      <c r="J814" s="18" t="str">
        <f aca="false">IF($B814="","",$B814-WEEKDAY($B814,2)+1)</f>
        <v/>
      </c>
      <c r="K814" s="28" t="str">
        <f aca="false">IF(OR($I814="",$I814="?",$D814&lt;&gt;"Advance",$B814=""),"",$I814&amp;"|"&amp;$J814&amp;"|"&amp;COUNTIFS($I$6:$I814,$I814,$J$6:$J814,$J814,$D$6:$D814,"Advance"))</f>
        <v/>
      </c>
      <c r="L814" s="29" t="str">
        <f aca="false">IF(OR($I814="",$I814="?",$B814=""),"",SUMPRODUCT((Weeks!$A$6:$A$58&lt;=$J814)*(Weeks!$Z$4:$AK$4=$I814)*Weeks!$Z$6:$AK$58)-SUMIFS($E$6:$E$1005,$I$6:$I$1005,$I814,$B$6:$B$1005,"&lt;="&amp;$B814))</f>
        <v/>
      </c>
      <c r="M814" s="19" t="str">
        <f aca="false">IF($B814&amp;$C814&amp;$D814&amp;$E814="","",IF($B814="","missing date",IF($C814="","missing worker",IF($I814="?","unknown worker - was the name changed on Workers?",IF($D814="","missing type",IF(N($E814)=0,"missing amount",IF(AND($E814&lt;0,$D814&lt;&gt;"Correction"),"negative amount - use a Correction to undo",IF(OR($B814&lt;Weeks!$A$6,$B814&gt;Weeks!$B$58),"date outside this workbook's year",IF(AND($D814="Advance",N($L814)&lt;0),"Warning: more than earned so far - worker now owes "&amp;ROUND(-$L814,0),"")))))))))</f>
        <v/>
      </c>
    </row>
    <row r="815" customFormat="false" ht="15" hidden="false" customHeight="false" outlineLevel="0" collapsed="false">
      <c r="A815" s="24" t="str">
        <f aca="false">IF($B815="","",ROW()-5)</f>
        <v/>
      </c>
      <c r="B815" s="25"/>
      <c r="C815" s="20"/>
      <c r="D815" s="26"/>
      <c r="E815" s="27"/>
      <c r="F815" s="20"/>
      <c r="G815" s="20"/>
      <c r="H815" s="26"/>
      <c r="I815" s="24" t="str">
        <f aca="false">IF($C815="","",IFERROR(INDEX(WorkerIDs,MATCH($C815,WorkerNames,0)),"?"))</f>
        <v/>
      </c>
      <c r="J815" s="18" t="str">
        <f aca="false">IF($B815="","",$B815-WEEKDAY($B815,2)+1)</f>
        <v/>
      </c>
      <c r="K815" s="28" t="str">
        <f aca="false">IF(OR($I815="",$I815="?",$D815&lt;&gt;"Advance",$B815=""),"",$I815&amp;"|"&amp;$J815&amp;"|"&amp;COUNTIFS($I$6:$I815,$I815,$J$6:$J815,$J815,$D$6:$D815,"Advance"))</f>
        <v/>
      </c>
      <c r="L815" s="29" t="str">
        <f aca="false">IF(OR($I815="",$I815="?",$B815=""),"",SUMPRODUCT((Weeks!$A$6:$A$58&lt;=$J815)*(Weeks!$Z$4:$AK$4=$I815)*Weeks!$Z$6:$AK$58)-SUMIFS($E$6:$E$1005,$I$6:$I$1005,$I815,$B$6:$B$1005,"&lt;="&amp;$B815))</f>
        <v/>
      </c>
      <c r="M815" s="19" t="str">
        <f aca="false">IF($B815&amp;$C815&amp;$D815&amp;$E815="","",IF($B815="","missing date",IF($C815="","missing worker",IF($I815="?","unknown worker - was the name changed on Workers?",IF($D815="","missing type",IF(N($E815)=0,"missing amount",IF(AND($E815&lt;0,$D815&lt;&gt;"Correction"),"negative amount - use a Correction to undo",IF(OR($B815&lt;Weeks!$A$6,$B815&gt;Weeks!$B$58),"date outside this workbook's year",IF(AND($D815="Advance",N($L815)&lt;0),"Warning: more than earned so far - worker now owes "&amp;ROUND(-$L815,0),"")))))))))</f>
        <v/>
      </c>
    </row>
    <row r="816" customFormat="false" ht="15" hidden="false" customHeight="false" outlineLevel="0" collapsed="false">
      <c r="A816" s="24" t="str">
        <f aca="false">IF($B816="","",ROW()-5)</f>
        <v/>
      </c>
      <c r="B816" s="25"/>
      <c r="C816" s="20"/>
      <c r="D816" s="26"/>
      <c r="E816" s="27"/>
      <c r="F816" s="20"/>
      <c r="G816" s="20"/>
      <c r="H816" s="26"/>
      <c r="I816" s="24" t="str">
        <f aca="false">IF($C816="","",IFERROR(INDEX(WorkerIDs,MATCH($C816,WorkerNames,0)),"?"))</f>
        <v/>
      </c>
      <c r="J816" s="18" t="str">
        <f aca="false">IF($B816="","",$B816-WEEKDAY($B816,2)+1)</f>
        <v/>
      </c>
      <c r="K816" s="28" t="str">
        <f aca="false">IF(OR($I816="",$I816="?",$D816&lt;&gt;"Advance",$B816=""),"",$I816&amp;"|"&amp;$J816&amp;"|"&amp;COUNTIFS($I$6:$I816,$I816,$J$6:$J816,$J816,$D$6:$D816,"Advance"))</f>
        <v/>
      </c>
      <c r="L816" s="29" t="str">
        <f aca="false">IF(OR($I816="",$I816="?",$B816=""),"",SUMPRODUCT((Weeks!$A$6:$A$58&lt;=$J816)*(Weeks!$Z$4:$AK$4=$I816)*Weeks!$Z$6:$AK$58)-SUMIFS($E$6:$E$1005,$I$6:$I$1005,$I816,$B$6:$B$1005,"&lt;="&amp;$B816))</f>
        <v/>
      </c>
      <c r="M816" s="19" t="str">
        <f aca="false">IF($B816&amp;$C816&amp;$D816&amp;$E816="","",IF($B816="","missing date",IF($C816="","missing worker",IF($I816="?","unknown worker - was the name changed on Workers?",IF($D816="","missing type",IF(N($E816)=0,"missing amount",IF(AND($E816&lt;0,$D816&lt;&gt;"Correction"),"negative amount - use a Correction to undo",IF(OR($B816&lt;Weeks!$A$6,$B816&gt;Weeks!$B$58),"date outside this workbook's year",IF(AND($D816="Advance",N($L816)&lt;0),"Warning: more than earned so far - worker now owes "&amp;ROUND(-$L816,0),"")))))))))</f>
        <v/>
      </c>
    </row>
    <row r="817" customFormat="false" ht="15" hidden="false" customHeight="false" outlineLevel="0" collapsed="false">
      <c r="A817" s="24" t="str">
        <f aca="false">IF($B817="","",ROW()-5)</f>
        <v/>
      </c>
      <c r="B817" s="25"/>
      <c r="C817" s="20"/>
      <c r="D817" s="26"/>
      <c r="E817" s="27"/>
      <c r="F817" s="20"/>
      <c r="G817" s="20"/>
      <c r="H817" s="26"/>
      <c r="I817" s="24" t="str">
        <f aca="false">IF($C817="","",IFERROR(INDEX(WorkerIDs,MATCH($C817,WorkerNames,0)),"?"))</f>
        <v/>
      </c>
      <c r="J817" s="18" t="str">
        <f aca="false">IF($B817="","",$B817-WEEKDAY($B817,2)+1)</f>
        <v/>
      </c>
      <c r="K817" s="28" t="str">
        <f aca="false">IF(OR($I817="",$I817="?",$D817&lt;&gt;"Advance",$B817=""),"",$I817&amp;"|"&amp;$J817&amp;"|"&amp;COUNTIFS($I$6:$I817,$I817,$J$6:$J817,$J817,$D$6:$D817,"Advance"))</f>
        <v/>
      </c>
      <c r="L817" s="29" t="str">
        <f aca="false">IF(OR($I817="",$I817="?",$B817=""),"",SUMPRODUCT((Weeks!$A$6:$A$58&lt;=$J817)*(Weeks!$Z$4:$AK$4=$I817)*Weeks!$Z$6:$AK$58)-SUMIFS($E$6:$E$1005,$I$6:$I$1005,$I817,$B$6:$B$1005,"&lt;="&amp;$B817))</f>
        <v/>
      </c>
      <c r="M817" s="19" t="str">
        <f aca="false">IF($B817&amp;$C817&amp;$D817&amp;$E817="","",IF($B817="","missing date",IF($C817="","missing worker",IF($I817="?","unknown worker - was the name changed on Workers?",IF($D817="","missing type",IF(N($E817)=0,"missing amount",IF(AND($E817&lt;0,$D817&lt;&gt;"Correction"),"negative amount - use a Correction to undo",IF(OR($B817&lt;Weeks!$A$6,$B817&gt;Weeks!$B$58),"date outside this workbook's year",IF(AND($D817="Advance",N($L817)&lt;0),"Warning: more than earned so far - worker now owes "&amp;ROUND(-$L817,0),"")))))))))</f>
        <v/>
      </c>
    </row>
    <row r="818" customFormat="false" ht="15" hidden="false" customHeight="false" outlineLevel="0" collapsed="false">
      <c r="A818" s="24" t="str">
        <f aca="false">IF($B818="","",ROW()-5)</f>
        <v/>
      </c>
      <c r="B818" s="25"/>
      <c r="C818" s="20"/>
      <c r="D818" s="26"/>
      <c r="E818" s="27"/>
      <c r="F818" s="20"/>
      <c r="G818" s="20"/>
      <c r="H818" s="26"/>
      <c r="I818" s="24" t="str">
        <f aca="false">IF($C818="","",IFERROR(INDEX(WorkerIDs,MATCH($C818,WorkerNames,0)),"?"))</f>
        <v/>
      </c>
      <c r="J818" s="18" t="str">
        <f aca="false">IF($B818="","",$B818-WEEKDAY($B818,2)+1)</f>
        <v/>
      </c>
      <c r="K818" s="28" t="str">
        <f aca="false">IF(OR($I818="",$I818="?",$D818&lt;&gt;"Advance",$B818=""),"",$I818&amp;"|"&amp;$J818&amp;"|"&amp;COUNTIFS($I$6:$I818,$I818,$J$6:$J818,$J818,$D$6:$D818,"Advance"))</f>
        <v/>
      </c>
      <c r="L818" s="29" t="str">
        <f aca="false">IF(OR($I818="",$I818="?",$B818=""),"",SUMPRODUCT((Weeks!$A$6:$A$58&lt;=$J818)*(Weeks!$Z$4:$AK$4=$I818)*Weeks!$Z$6:$AK$58)-SUMIFS($E$6:$E$1005,$I$6:$I$1005,$I818,$B$6:$B$1005,"&lt;="&amp;$B818))</f>
        <v/>
      </c>
      <c r="M818" s="19" t="str">
        <f aca="false">IF($B818&amp;$C818&amp;$D818&amp;$E818="","",IF($B818="","missing date",IF($C818="","missing worker",IF($I818="?","unknown worker - was the name changed on Workers?",IF($D818="","missing type",IF(N($E818)=0,"missing amount",IF(AND($E818&lt;0,$D818&lt;&gt;"Correction"),"negative amount - use a Correction to undo",IF(OR($B818&lt;Weeks!$A$6,$B818&gt;Weeks!$B$58),"date outside this workbook's year",IF(AND($D818="Advance",N($L818)&lt;0),"Warning: more than earned so far - worker now owes "&amp;ROUND(-$L818,0),"")))))))))</f>
        <v/>
      </c>
    </row>
    <row r="819" customFormat="false" ht="15" hidden="false" customHeight="false" outlineLevel="0" collapsed="false">
      <c r="A819" s="24" t="str">
        <f aca="false">IF($B819="","",ROW()-5)</f>
        <v/>
      </c>
      <c r="B819" s="25"/>
      <c r="C819" s="20"/>
      <c r="D819" s="26"/>
      <c r="E819" s="27"/>
      <c r="F819" s="20"/>
      <c r="G819" s="20"/>
      <c r="H819" s="26"/>
      <c r="I819" s="24" t="str">
        <f aca="false">IF($C819="","",IFERROR(INDEX(WorkerIDs,MATCH($C819,WorkerNames,0)),"?"))</f>
        <v/>
      </c>
      <c r="J819" s="18" t="str">
        <f aca="false">IF($B819="","",$B819-WEEKDAY($B819,2)+1)</f>
        <v/>
      </c>
      <c r="K819" s="28" t="str">
        <f aca="false">IF(OR($I819="",$I819="?",$D819&lt;&gt;"Advance",$B819=""),"",$I819&amp;"|"&amp;$J819&amp;"|"&amp;COUNTIFS($I$6:$I819,$I819,$J$6:$J819,$J819,$D$6:$D819,"Advance"))</f>
        <v/>
      </c>
      <c r="L819" s="29" t="str">
        <f aca="false">IF(OR($I819="",$I819="?",$B819=""),"",SUMPRODUCT((Weeks!$A$6:$A$58&lt;=$J819)*(Weeks!$Z$4:$AK$4=$I819)*Weeks!$Z$6:$AK$58)-SUMIFS($E$6:$E$1005,$I$6:$I$1005,$I819,$B$6:$B$1005,"&lt;="&amp;$B819))</f>
        <v/>
      </c>
      <c r="M819" s="19" t="str">
        <f aca="false">IF($B819&amp;$C819&amp;$D819&amp;$E819="","",IF($B819="","missing date",IF($C819="","missing worker",IF($I819="?","unknown worker - was the name changed on Workers?",IF($D819="","missing type",IF(N($E819)=0,"missing amount",IF(AND($E819&lt;0,$D819&lt;&gt;"Correction"),"negative amount - use a Correction to undo",IF(OR($B819&lt;Weeks!$A$6,$B819&gt;Weeks!$B$58),"date outside this workbook's year",IF(AND($D819="Advance",N($L819)&lt;0),"Warning: more than earned so far - worker now owes "&amp;ROUND(-$L819,0),"")))))))))</f>
        <v/>
      </c>
    </row>
    <row r="820" customFormat="false" ht="15" hidden="false" customHeight="false" outlineLevel="0" collapsed="false">
      <c r="A820" s="24" t="str">
        <f aca="false">IF($B820="","",ROW()-5)</f>
        <v/>
      </c>
      <c r="B820" s="25"/>
      <c r="C820" s="20"/>
      <c r="D820" s="26"/>
      <c r="E820" s="27"/>
      <c r="F820" s="20"/>
      <c r="G820" s="20"/>
      <c r="H820" s="26"/>
      <c r="I820" s="24" t="str">
        <f aca="false">IF($C820="","",IFERROR(INDEX(WorkerIDs,MATCH($C820,WorkerNames,0)),"?"))</f>
        <v/>
      </c>
      <c r="J820" s="18" t="str">
        <f aca="false">IF($B820="","",$B820-WEEKDAY($B820,2)+1)</f>
        <v/>
      </c>
      <c r="K820" s="28" t="str">
        <f aca="false">IF(OR($I820="",$I820="?",$D820&lt;&gt;"Advance",$B820=""),"",$I820&amp;"|"&amp;$J820&amp;"|"&amp;COUNTIFS($I$6:$I820,$I820,$J$6:$J820,$J820,$D$6:$D820,"Advance"))</f>
        <v/>
      </c>
      <c r="L820" s="29" t="str">
        <f aca="false">IF(OR($I820="",$I820="?",$B820=""),"",SUMPRODUCT((Weeks!$A$6:$A$58&lt;=$J820)*(Weeks!$Z$4:$AK$4=$I820)*Weeks!$Z$6:$AK$58)-SUMIFS($E$6:$E$1005,$I$6:$I$1005,$I820,$B$6:$B$1005,"&lt;="&amp;$B820))</f>
        <v/>
      </c>
      <c r="M820" s="19" t="str">
        <f aca="false">IF($B820&amp;$C820&amp;$D820&amp;$E820="","",IF($B820="","missing date",IF($C820="","missing worker",IF($I820="?","unknown worker - was the name changed on Workers?",IF($D820="","missing type",IF(N($E820)=0,"missing amount",IF(AND($E820&lt;0,$D820&lt;&gt;"Correction"),"negative amount - use a Correction to undo",IF(OR($B820&lt;Weeks!$A$6,$B820&gt;Weeks!$B$58),"date outside this workbook's year",IF(AND($D820="Advance",N($L820)&lt;0),"Warning: more than earned so far - worker now owes "&amp;ROUND(-$L820,0),"")))))))))</f>
        <v/>
      </c>
    </row>
    <row r="821" customFormat="false" ht="15" hidden="false" customHeight="false" outlineLevel="0" collapsed="false">
      <c r="A821" s="24" t="str">
        <f aca="false">IF($B821="","",ROW()-5)</f>
        <v/>
      </c>
      <c r="B821" s="25"/>
      <c r="C821" s="20"/>
      <c r="D821" s="26"/>
      <c r="E821" s="27"/>
      <c r="F821" s="20"/>
      <c r="G821" s="20"/>
      <c r="H821" s="26"/>
      <c r="I821" s="24" t="str">
        <f aca="false">IF($C821="","",IFERROR(INDEX(WorkerIDs,MATCH($C821,WorkerNames,0)),"?"))</f>
        <v/>
      </c>
      <c r="J821" s="18" t="str">
        <f aca="false">IF($B821="","",$B821-WEEKDAY($B821,2)+1)</f>
        <v/>
      </c>
      <c r="K821" s="28" t="str">
        <f aca="false">IF(OR($I821="",$I821="?",$D821&lt;&gt;"Advance",$B821=""),"",$I821&amp;"|"&amp;$J821&amp;"|"&amp;COUNTIFS($I$6:$I821,$I821,$J$6:$J821,$J821,$D$6:$D821,"Advance"))</f>
        <v/>
      </c>
      <c r="L821" s="29" t="str">
        <f aca="false">IF(OR($I821="",$I821="?",$B821=""),"",SUMPRODUCT((Weeks!$A$6:$A$58&lt;=$J821)*(Weeks!$Z$4:$AK$4=$I821)*Weeks!$Z$6:$AK$58)-SUMIFS($E$6:$E$1005,$I$6:$I$1005,$I821,$B$6:$B$1005,"&lt;="&amp;$B821))</f>
        <v/>
      </c>
      <c r="M821" s="19" t="str">
        <f aca="false">IF($B821&amp;$C821&amp;$D821&amp;$E821="","",IF($B821="","missing date",IF($C821="","missing worker",IF($I821="?","unknown worker - was the name changed on Workers?",IF($D821="","missing type",IF(N($E821)=0,"missing amount",IF(AND($E821&lt;0,$D821&lt;&gt;"Correction"),"negative amount - use a Correction to undo",IF(OR($B821&lt;Weeks!$A$6,$B821&gt;Weeks!$B$58),"date outside this workbook's year",IF(AND($D821="Advance",N($L821)&lt;0),"Warning: more than earned so far - worker now owes "&amp;ROUND(-$L821,0),"")))))))))</f>
        <v/>
      </c>
    </row>
    <row r="822" customFormat="false" ht="15" hidden="false" customHeight="false" outlineLevel="0" collapsed="false">
      <c r="A822" s="24" t="str">
        <f aca="false">IF($B822="","",ROW()-5)</f>
        <v/>
      </c>
      <c r="B822" s="25"/>
      <c r="C822" s="20"/>
      <c r="D822" s="26"/>
      <c r="E822" s="27"/>
      <c r="F822" s="20"/>
      <c r="G822" s="20"/>
      <c r="H822" s="26"/>
      <c r="I822" s="24" t="str">
        <f aca="false">IF($C822="","",IFERROR(INDEX(WorkerIDs,MATCH($C822,WorkerNames,0)),"?"))</f>
        <v/>
      </c>
      <c r="J822" s="18" t="str">
        <f aca="false">IF($B822="","",$B822-WEEKDAY($B822,2)+1)</f>
        <v/>
      </c>
      <c r="K822" s="28" t="str">
        <f aca="false">IF(OR($I822="",$I822="?",$D822&lt;&gt;"Advance",$B822=""),"",$I822&amp;"|"&amp;$J822&amp;"|"&amp;COUNTIFS($I$6:$I822,$I822,$J$6:$J822,$J822,$D$6:$D822,"Advance"))</f>
        <v/>
      </c>
      <c r="L822" s="29" t="str">
        <f aca="false">IF(OR($I822="",$I822="?",$B822=""),"",SUMPRODUCT((Weeks!$A$6:$A$58&lt;=$J822)*(Weeks!$Z$4:$AK$4=$I822)*Weeks!$Z$6:$AK$58)-SUMIFS($E$6:$E$1005,$I$6:$I$1005,$I822,$B$6:$B$1005,"&lt;="&amp;$B822))</f>
        <v/>
      </c>
      <c r="M822" s="19" t="str">
        <f aca="false">IF($B822&amp;$C822&amp;$D822&amp;$E822="","",IF($B822="","missing date",IF($C822="","missing worker",IF($I822="?","unknown worker - was the name changed on Workers?",IF($D822="","missing type",IF(N($E822)=0,"missing amount",IF(AND($E822&lt;0,$D822&lt;&gt;"Correction"),"negative amount - use a Correction to undo",IF(OR($B822&lt;Weeks!$A$6,$B822&gt;Weeks!$B$58),"date outside this workbook's year",IF(AND($D822="Advance",N($L822)&lt;0),"Warning: more than earned so far - worker now owes "&amp;ROUND(-$L822,0),"")))))))))</f>
        <v/>
      </c>
    </row>
    <row r="823" customFormat="false" ht="15" hidden="false" customHeight="false" outlineLevel="0" collapsed="false">
      <c r="A823" s="24" t="str">
        <f aca="false">IF($B823="","",ROW()-5)</f>
        <v/>
      </c>
      <c r="B823" s="25"/>
      <c r="C823" s="20"/>
      <c r="D823" s="26"/>
      <c r="E823" s="27"/>
      <c r="F823" s="20"/>
      <c r="G823" s="20"/>
      <c r="H823" s="26"/>
      <c r="I823" s="24" t="str">
        <f aca="false">IF($C823="","",IFERROR(INDEX(WorkerIDs,MATCH($C823,WorkerNames,0)),"?"))</f>
        <v/>
      </c>
      <c r="J823" s="18" t="str">
        <f aca="false">IF($B823="","",$B823-WEEKDAY($B823,2)+1)</f>
        <v/>
      </c>
      <c r="K823" s="28" t="str">
        <f aca="false">IF(OR($I823="",$I823="?",$D823&lt;&gt;"Advance",$B823=""),"",$I823&amp;"|"&amp;$J823&amp;"|"&amp;COUNTIFS($I$6:$I823,$I823,$J$6:$J823,$J823,$D$6:$D823,"Advance"))</f>
        <v/>
      </c>
      <c r="L823" s="29" t="str">
        <f aca="false">IF(OR($I823="",$I823="?",$B823=""),"",SUMPRODUCT((Weeks!$A$6:$A$58&lt;=$J823)*(Weeks!$Z$4:$AK$4=$I823)*Weeks!$Z$6:$AK$58)-SUMIFS($E$6:$E$1005,$I$6:$I$1005,$I823,$B$6:$B$1005,"&lt;="&amp;$B823))</f>
        <v/>
      </c>
      <c r="M823" s="19" t="str">
        <f aca="false">IF($B823&amp;$C823&amp;$D823&amp;$E823="","",IF($B823="","missing date",IF($C823="","missing worker",IF($I823="?","unknown worker - was the name changed on Workers?",IF($D823="","missing type",IF(N($E823)=0,"missing amount",IF(AND($E823&lt;0,$D823&lt;&gt;"Correction"),"negative amount - use a Correction to undo",IF(OR($B823&lt;Weeks!$A$6,$B823&gt;Weeks!$B$58),"date outside this workbook's year",IF(AND($D823="Advance",N($L823)&lt;0),"Warning: more than earned so far - worker now owes "&amp;ROUND(-$L823,0),"")))))))))</f>
        <v/>
      </c>
    </row>
    <row r="824" customFormat="false" ht="15" hidden="false" customHeight="false" outlineLevel="0" collapsed="false">
      <c r="A824" s="24" t="str">
        <f aca="false">IF($B824="","",ROW()-5)</f>
        <v/>
      </c>
      <c r="B824" s="25"/>
      <c r="C824" s="20"/>
      <c r="D824" s="26"/>
      <c r="E824" s="27"/>
      <c r="F824" s="20"/>
      <c r="G824" s="20"/>
      <c r="H824" s="26"/>
      <c r="I824" s="24" t="str">
        <f aca="false">IF($C824="","",IFERROR(INDEX(WorkerIDs,MATCH($C824,WorkerNames,0)),"?"))</f>
        <v/>
      </c>
      <c r="J824" s="18" t="str">
        <f aca="false">IF($B824="","",$B824-WEEKDAY($B824,2)+1)</f>
        <v/>
      </c>
      <c r="K824" s="28" t="str">
        <f aca="false">IF(OR($I824="",$I824="?",$D824&lt;&gt;"Advance",$B824=""),"",$I824&amp;"|"&amp;$J824&amp;"|"&amp;COUNTIFS($I$6:$I824,$I824,$J$6:$J824,$J824,$D$6:$D824,"Advance"))</f>
        <v/>
      </c>
      <c r="L824" s="29" t="str">
        <f aca="false">IF(OR($I824="",$I824="?",$B824=""),"",SUMPRODUCT((Weeks!$A$6:$A$58&lt;=$J824)*(Weeks!$Z$4:$AK$4=$I824)*Weeks!$Z$6:$AK$58)-SUMIFS($E$6:$E$1005,$I$6:$I$1005,$I824,$B$6:$B$1005,"&lt;="&amp;$B824))</f>
        <v/>
      </c>
      <c r="M824" s="19" t="str">
        <f aca="false">IF($B824&amp;$C824&amp;$D824&amp;$E824="","",IF($B824="","missing date",IF($C824="","missing worker",IF($I824="?","unknown worker - was the name changed on Workers?",IF($D824="","missing type",IF(N($E824)=0,"missing amount",IF(AND($E824&lt;0,$D824&lt;&gt;"Correction"),"negative amount - use a Correction to undo",IF(OR($B824&lt;Weeks!$A$6,$B824&gt;Weeks!$B$58),"date outside this workbook's year",IF(AND($D824="Advance",N($L824)&lt;0),"Warning: more than earned so far - worker now owes "&amp;ROUND(-$L824,0),"")))))))))</f>
        <v/>
      </c>
    </row>
    <row r="825" customFormat="false" ht="15" hidden="false" customHeight="false" outlineLevel="0" collapsed="false">
      <c r="A825" s="24" t="str">
        <f aca="false">IF($B825="","",ROW()-5)</f>
        <v/>
      </c>
      <c r="B825" s="25"/>
      <c r="C825" s="20"/>
      <c r="D825" s="26"/>
      <c r="E825" s="27"/>
      <c r="F825" s="20"/>
      <c r="G825" s="20"/>
      <c r="H825" s="26"/>
      <c r="I825" s="24" t="str">
        <f aca="false">IF($C825="","",IFERROR(INDEX(WorkerIDs,MATCH($C825,WorkerNames,0)),"?"))</f>
        <v/>
      </c>
      <c r="J825" s="18" t="str">
        <f aca="false">IF($B825="","",$B825-WEEKDAY($B825,2)+1)</f>
        <v/>
      </c>
      <c r="K825" s="28" t="str">
        <f aca="false">IF(OR($I825="",$I825="?",$D825&lt;&gt;"Advance",$B825=""),"",$I825&amp;"|"&amp;$J825&amp;"|"&amp;COUNTIFS($I$6:$I825,$I825,$J$6:$J825,$J825,$D$6:$D825,"Advance"))</f>
        <v/>
      </c>
      <c r="L825" s="29" t="str">
        <f aca="false">IF(OR($I825="",$I825="?",$B825=""),"",SUMPRODUCT((Weeks!$A$6:$A$58&lt;=$J825)*(Weeks!$Z$4:$AK$4=$I825)*Weeks!$Z$6:$AK$58)-SUMIFS($E$6:$E$1005,$I$6:$I$1005,$I825,$B$6:$B$1005,"&lt;="&amp;$B825))</f>
        <v/>
      </c>
      <c r="M825" s="19" t="str">
        <f aca="false">IF($B825&amp;$C825&amp;$D825&amp;$E825="","",IF($B825="","missing date",IF($C825="","missing worker",IF($I825="?","unknown worker - was the name changed on Workers?",IF($D825="","missing type",IF(N($E825)=0,"missing amount",IF(AND($E825&lt;0,$D825&lt;&gt;"Correction"),"negative amount - use a Correction to undo",IF(OR($B825&lt;Weeks!$A$6,$B825&gt;Weeks!$B$58),"date outside this workbook's year",IF(AND($D825="Advance",N($L825)&lt;0),"Warning: more than earned so far - worker now owes "&amp;ROUND(-$L825,0),"")))))))))</f>
        <v/>
      </c>
    </row>
    <row r="826" customFormat="false" ht="15" hidden="false" customHeight="false" outlineLevel="0" collapsed="false">
      <c r="A826" s="24" t="str">
        <f aca="false">IF($B826="","",ROW()-5)</f>
        <v/>
      </c>
      <c r="B826" s="25"/>
      <c r="C826" s="20"/>
      <c r="D826" s="26"/>
      <c r="E826" s="27"/>
      <c r="F826" s="20"/>
      <c r="G826" s="20"/>
      <c r="H826" s="26"/>
      <c r="I826" s="24" t="str">
        <f aca="false">IF($C826="","",IFERROR(INDEX(WorkerIDs,MATCH($C826,WorkerNames,0)),"?"))</f>
        <v/>
      </c>
      <c r="J826" s="18" t="str">
        <f aca="false">IF($B826="","",$B826-WEEKDAY($B826,2)+1)</f>
        <v/>
      </c>
      <c r="K826" s="28" t="str">
        <f aca="false">IF(OR($I826="",$I826="?",$D826&lt;&gt;"Advance",$B826=""),"",$I826&amp;"|"&amp;$J826&amp;"|"&amp;COUNTIFS($I$6:$I826,$I826,$J$6:$J826,$J826,$D$6:$D826,"Advance"))</f>
        <v/>
      </c>
      <c r="L826" s="29" t="str">
        <f aca="false">IF(OR($I826="",$I826="?",$B826=""),"",SUMPRODUCT((Weeks!$A$6:$A$58&lt;=$J826)*(Weeks!$Z$4:$AK$4=$I826)*Weeks!$Z$6:$AK$58)-SUMIFS($E$6:$E$1005,$I$6:$I$1005,$I826,$B$6:$B$1005,"&lt;="&amp;$B826))</f>
        <v/>
      </c>
      <c r="M826" s="19" t="str">
        <f aca="false">IF($B826&amp;$C826&amp;$D826&amp;$E826="","",IF($B826="","missing date",IF($C826="","missing worker",IF($I826="?","unknown worker - was the name changed on Workers?",IF($D826="","missing type",IF(N($E826)=0,"missing amount",IF(AND($E826&lt;0,$D826&lt;&gt;"Correction"),"negative amount - use a Correction to undo",IF(OR($B826&lt;Weeks!$A$6,$B826&gt;Weeks!$B$58),"date outside this workbook's year",IF(AND($D826="Advance",N($L826)&lt;0),"Warning: more than earned so far - worker now owes "&amp;ROUND(-$L826,0),"")))))))))</f>
        <v/>
      </c>
    </row>
    <row r="827" customFormat="false" ht="15" hidden="false" customHeight="false" outlineLevel="0" collapsed="false">
      <c r="A827" s="24" t="str">
        <f aca="false">IF($B827="","",ROW()-5)</f>
        <v/>
      </c>
      <c r="B827" s="25"/>
      <c r="C827" s="20"/>
      <c r="D827" s="26"/>
      <c r="E827" s="27"/>
      <c r="F827" s="20"/>
      <c r="G827" s="20"/>
      <c r="H827" s="26"/>
      <c r="I827" s="24" t="str">
        <f aca="false">IF($C827="","",IFERROR(INDEX(WorkerIDs,MATCH($C827,WorkerNames,0)),"?"))</f>
        <v/>
      </c>
      <c r="J827" s="18" t="str">
        <f aca="false">IF($B827="","",$B827-WEEKDAY($B827,2)+1)</f>
        <v/>
      </c>
      <c r="K827" s="28" t="str">
        <f aca="false">IF(OR($I827="",$I827="?",$D827&lt;&gt;"Advance",$B827=""),"",$I827&amp;"|"&amp;$J827&amp;"|"&amp;COUNTIFS($I$6:$I827,$I827,$J$6:$J827,$J827,$D$6:$D827,"Advance"))</f>
        <v/>
      </c>
      <c r="L827" s="29" t="str">
        <f aca="false">IF(OR($I827="",$I827="?",$B827=""),"",SUMPRODUCT((Weeks!$A$6:$A$58&lt;=$J827)*(Weeks!$Z$4:$AK$4=$I827)*Weeks!$Z$6:$AK$58)-SUMIFS($E$6:$E$1005,$I$6:$I$1005,$I827,$B$6:$B$1005,"&lt;="&amp;$B827))</f>
        <v/>
      </c>
      <c r="M827" s="19" t="str">
        <f aca="false">IF($B827&amp;$C827&amp;$D827&amp;$E827="","",IF($B827="","missing date",IF($C827="","missing worker",IF($I827="?","unknown worker - was the name changed on Workers?",IF($D827="","missing type",IF(N($E827)=0,"missing amount",IF(AND($E827&lt;0,$D827&lt;&gt;"Correction"),"negative amount - use a Correction to undo",IF(OR($B827&lt;Weeks!$A$6,$B827&gt;Weeks!$B$58),"date outside this workbook's year",IF(AND($D827="Advance",N($L827)&lt;0),"Warning: more than earned so far - worker now owes "&amp;ROUND(-$L827,0),"")))))))))</f>
        <v/>
      </c>
    </row>
    <row r="828" customFormat="false" ht="15" hidden="false" customHeight="false" outlineLevel="0" collapsed="false">
      <c r="A828" s="24" t="str">
        <f aca="false">IF($B828="","",ROW()-5)</f>
        <v/>
      </c>
      <c r="B828" s="25"/>
      <c r="C828" s="20"/>
      <c r="D828" s="26"/>
      <c r="E828" s="27"/>
      <c r="F828" s="20"/>
      <c r="G828" s="20"/>
      <c r="H828" s="26"/>
      <c r="I828" s="24" t="str">
        <f aca="false">IF($C828="","",IFERROR(INDEX(WorkerIDs,MATCH($C828,WorkerNames,0)),"?"))</f>
        <v/>
      </c>
      <c r="J828" s="18" t="str">
        <f aca="false">IF($B828="","",$B828-WEEKDAY($B828,2)+1)</f>
        <v/>
      </c>
      <c r="K828" s="28" t="str">
        <f aca="false">IF(OR($I828="",$I828="?",$D828&lt;&gt;"Advance",$B828=""),"",$I828&amp;"|"&amp;$J828&amp;"|"&amp;COUNTIFS($I$6:$I828,$I828,$J$6:$J828,$J828,$D$6:$D828,"Advance"))</f>
        <v/>
      </c>
      <c r="L828" s="29" t="str">
        <f aca="false">IF(OR($I828="",$I828="?",$B828=""),"",SUMPRODUCT((Weeks!$A$6:$A$58&lt;=$J828)*(Weeks!$Z$4:$AK$4=$I828)*Weeks!$Z$6:$AK$58)-SUMIFS($E$6:$E$1005,$I$6:$I$1005,$I828,$B$6:$B$1005,"&lt;="&amp;$B828))</f>
        <v/>
      </c>
      <c r="M828" s="19" t="str">
        <f aca="false">IF($B828&amp;$C828&amp;$D828&amp;$E828="","",IF($B828="","missing date",IF($C828="","missing worker",IF($I828="?","unknown worker - was the name changed on Workers?",IF($D828="","missing type",IF(N($E828)=0,"missing amount",IF(AND($E828&lt;0,$D828&lt;&gt;"Correction"),"negative amount - use a Correction to undo",IF(OR($B828&lt;Weeks!$A$6,$B828&gt;Weeks!$B$58),"date outside this workbook's year",IF(AND($D828="Advance",N($L828)&lt;0),"Warning: more than earned so far - worker now owes "&amp;ROUND(-$L828,0),"")))))))))</f>
        <v/>
      </c>
    </row>
    <row r="829" customFormat="false" ht="15" hidden="false" customHeight="false" outlineLevel="0" collapsed="false">
      <c r="A829" s="24" t="str">
        <f aca="false">IF($B829="","",ROW()-5)</f>
        <v/>
      </c>
      <c r="B829" s="25"/>
      <c r="C829" s="20"/>
      <c r="D829" s="26"/>
      <c r="E829" s="27"/>
      <c r="F829" s="20"/>
      <c r="G829" s="20"/>
      <c r="H829" s="26"/>
      <c r="I829" s="24" t="str">
        <f aca="false">IF($C829="","",IFERROR(INDEX(WorkerIDs,MATCH($C829,WorkerNames,0)),"?"))</f>
        <v/>
      </c>
      <c r="J829" s="18" t="str">
        <f aca="false">IF($B829="","",$B829-WEEKDAY($B829,2)+1)</f>
        <v/>
      </c>
      <c r="K829" s="28" t="str">
        <f aca="false">IF(OR($I829="",$I829="?",$D829&lt;&gt;"Advance",$B829=""),"",$I829&amp;"|"&amp;$J829&amp;"|"&amp;COUNTIFS($I$6:$I829,$I829,$J$6:$J829,$J829,$D$6:$D829,"Advance"))</f>
        <v/>
      </c>
      <c r="L829" s="29" t="str">
        <f aca="false">IF(OR($I829="",$I829="?",$B829=""),"",SUMPRODUCT((Weeks!$A$6:$A$58&lt;=$J829)*(Weeks!$Z$4:$AK$4=$I829)*Weeks!$Z$6:$AK$58)-SUMIFS($E$6:$E$1005,$I$6:$I$1005,$I829,$B$6:$B$1005,"&lt;="&amp;$B829))</f>
        <v/>
      </c>
      <c r="M829" s="19" t="str">
        <f aca="false">IF($B829&amp;$C829&amp;$D829&amp;$E829="","",IF($B829="","missing date",IF($C829="","missing worker",IF($I829="?","unknown worker - was the name changed on Workers?",IF($D829="","missing type",IF(N($E829)=0,"missing amount",IF(AND($E829&lt;0,$D829&lt;&gt;"Correction"),"negative amount - use a Correction to undo",IF(OR($B829&lt;Weeks!$A$6,$B829&gt;Weeks!$B$58),"date outside this workbook's year",IF(AND($D829="Advance",N($L829)&lt;0),"Warning: more than earned so far - worker now owes "&amp;ROUND(-$L829,0),"")))))))))</f>
        <v/>
      </c>
    </row>
    <row r="830" customFormat="false" ht="15" hidden="false" customHeight="false" outlineLevel="0" collapsed="false">
      <c r="A830" s="24" t="str">
        <f aca="false">IF($B830="","",ROW()-5)</f>
        <v/>
      </c>
      <c r="B830" s="25"/>
      <c r="C830" s="20"/>
      <c r="D830" s="26"/>
      <c r="E830" s="27"/>
      <c r="F830" s="20"/>
      <c r="G830" s="20"/>
      <c r="H830" s="26"/>
      <c r="I830" s="24" t="str">
        <f aca="false">IF($C830="","",IFERROR(INDEX(WorkerIDs,MATCH($C830,WorkerNames,0)),"?"))</f>
        <v/>
      </c>
      <c r="J830" s="18" t="str">
        <f aca="false">IF($B830="","",$B830-WEEKDAY($B830,2)+1)</f>
        <v/>
      </c>
      <c r="K830" s="28" t="str">
        <f aca="false">IF(OR($I830="",$I830="?",$D830&lt;&gt;"Advance",$B830=""),"",$I830&amp;"|"&amp;$J830&amp;"|"&amp;COUNTIFS($I$6:$I830,$I830,$J$6:$J830,$J830,$D$6:$D830,"Advance"))</f>
        <v/>
      </c>
      <c r="L830" s="29" t="str">
        <f aca="false">IF(OR($I830="",$I830="?",$B830=""),"",SUMPRODUCT((Weeks!$A$6:$A$58&lt;=$J830)*(Weeks!$Z$4:$AK$4=$I830)*Weeks!$Z$6:$AK$58)-SUMIFS($E$6:$E$1005,$I$6:$I$1005,$I830,$B$6:$B$1005,"&lt;="&amp;$B830))</f>
        <v/>
      </c>
      <c r="M830" s="19" t="str">
        <f aca="false">IF($B830&amp;$C830&amp;$D830&amp;$E830="","",IF($B830="","missing date",IF($C830="","missing worker",IF($I830="?","unknown worker - was the name changed on Workers?",IF($D830="","missing type",IF(N($E830)=0,"missing amount",IF(AND($E830&lt;0,$D830&lt;&gt;"Correction"),"negative amount - use a Correction to undo",IF(OR($B830&lt;Weeks!$A$6,$B830&gt;Weeks!$B$58),"date outside this workbook's year",IF(AND($D830="Advance",N($L830)&lt;0),"Warning: more than earned so far - worker now owes "&amp;ROUND(-$L830,0),"")))))))))</f>
        <v/>
      </c>
    </row>
    <row r="831" customFormat="false" ht="15" hidden="false" customHeight="false" outlineLevel="0" collapsed="false">
      <c r="A831" s="24" t="str">
        <f aca="false">IF($B831="","",ROW()-5)</f>
        <v/>
      </c>
      <c r="B831" s="25"/>
      <c r="C831" s="20"/>
      <c r="D831" s="26"/>
      <c r="E831" s="27"/>
      <c r="F831" s="20"/>
      <c r="G831" s="20"/>
      <c r="H831" s="26"/>
      <c r="I831" s="24" t="str">
        <f aca="false">IF($C831="","",IFERROR(INDEX(WorkerIDs,MATCH($C831,WorkerNames,0)),"?"))</f>
        <v/>
      </c>
      <c r="J831" s="18" t="str">
        <f aca="false">IF($B831="","",$B831-WEEKDAY($B831,2)+1)</f>
        <v/>
      </c>
      <c r="K831" s="28" t="str">
        <f aca="false">IF(OR($I831="",$I831="?",$D831&lt;&gt;"Advance",$B831=""),"",$I831&amp;"|"&amp;$J831&amp;"|"&amp;COUNTIFS($I$6:$I831,$I831,$J$6:$J831,$J831,$D$6:$D831,"Advance"))</f>
        <v/>
      </c>
      <c r="L831" s="29" t="str">
        <f aca="false">IF(OR($I831="",$I831="?",$B831=""),"",SUMPRODUCT((Weeks!$A$6:$A$58&lt;=$J831)*(Weeks!$Z$4:$AK$4=$I831)*Weeks!$Z$6:$AK$58)-SUMIFS($E$6:$E$1005,$I$6:$I$1005,$I831,$B$6:$B$1005,"&lt;="&amp;$B831))</f>
        <v/>
      </c>
      <c r="M831" s="19" t="str">
        <f aca="false">IF($B831&amp;$C831&amp;$D831&amp;$E831="","",IF($B831="","missing date",IF($C831="","missing worker",IF($I831="?","unknown worker - was the name changed on Workers?",IF($D831="","missing type",IF(N($E831)=0,"missing amount",IF(AND($E831&lt;0,$D831&lt;&gt;"Correction"),"negative amount - use a Correction to undo",IF(OR($B831&lt;Weeks!$A$6,$B831&gt;Weeks!$B$58),"date outside this workbook's year",IF(AND($D831="Advance",N($L831)&lt;0),"Warning: more than earned so far - worker now owes "&amp;ROUND(-$L831,0),"")))))))))</f>
        <v/>
      </c>
    </row>
    <row r="832" customFormat="false" ht="15" hidden="false" customHeight="false" outlineLevel="0" collapsed="false">
      <c r="A832" s="24" t="str">
        <f aca="false">IF($B832="","",ROW()-5)</f>
        <v/>
      </c>
      <c r="B832" s="25"/>
      <c r="C832" s="20"/>
      <c r="D832" s="26"/>
      <c r="E832" s="27"/>
      <c r="F832" s="20"/>
      <c r="G832" s="20"/>
      <c r="H832" s="26"/>
      <c r="I832" s="24" t="str">
        <f aca="false">IF($C832="","",IFERROR(INDEX(WorkerIDs,MATCH($C832,WorkerNames,0)),"?"))</f>
        <v/>
      </c>
      <c r="J832" s="18" t="str">
        <f aca="false">IF($B832="","",$B832-WEEKDAY($B832,2)+1)</f>
        <v/>
      </c>
      <c r="K832" s="28" t="str">
        <f aca="false">IF(OR($I832="",$I832="?",$D832&lt;&gt;"Advance",$B832=""),"",$I832&amp;"|"&amp;$J832&amp;"|"&amp;COUNTIFS($I$6:$I832,$I832,$J$6:$J832,$J832,$D$6:$D832,"Advance"))</f>
        <v/>
      </c>
      <c r="L832" s="29" t="str">
        <f aca="false">IF(OR($I832="",$I832="?",$B832=""),"",SUMPRODUCT((Weeks!$A$6:$A$58&lt;=$J832)*(Weeks!$Z$4:$AK$4=$I832)*Weeks!$Z$6:$AK$58)-SUMIFS($E$6:$E$1005,$I$6:$I$1005,$I832,$B$6:$B$1005,"&lt;="&amp;$B832))</f>
        <v/>
      </c>
      <c r="M832" s="19" t="str">
        <f aca="false">IF($B832&amp;$C832&amp;$D832&amp;$E832="","",IF($B832="","missing date",IF($C832="","missing worker",IF($I832="?","unknown worker - was the name changed on Workers?",IF($D832="","missing type",IF(N($E832)=0,"missing amount",IF(AND($E832&lt;0,$D832&lt;&gt;"Correction"),"negative amount - use a Correction to undo",IF(OR($B832&lt;Weeks!$A$6,$B832&gt;Weeks!$B$58),"date outside this workbook's year",IF(AND($D832="Advance",N($L832)&lt;0),"Warning: more than earned so far - worker now owes "&amp;ROUND(-$L832,0),"")))))))))</f>
        <v/>
      </c>
    </row>
    <row r="833" customFormat="false" ht="15" hidden="false" customHeight="false" outlineLevel="0" collapsed="false">
      <c r="A833" s="24" t="str">
        <f aca="false">IF($B833="","",ROW()-5)</f>
        <v/>
      </c>
      <c r="B833" s="25"/>
      <c r="C833" s="20"/>
      <c r="D833" s="26"/>
      <c r="E833" s="27"/>
      <c r="F833" s="20"/>
      <c r="G833" s="20"/>
      <c r="H833" s="26"/>
      <c r="I833" s="24" t="str">
        <f aca="false">IF($C833="","",IFERROR(INDEX(WorkerIDs,MATCH($C833,WorkerNames,0)),"?"))</f>
        <v/>
      </c>
      <c r="J833" s="18" t="str">
        <f aca="false">IF($B833="","",$B833-WEEKDAY($B833,2)+1)</f>
        <v/>
      </c>
      <c r="K833" s="28" t="str">
        <f aca="false">IF(OR($I833="",$I833="?",$D833&lt;&gt;"Advance",$B833=""),"",$I833&amp;"|"&amp;$J833&amp;"|"&amp;COUNTIFS($I$6:$I833,$I833,$J$6:$J833,$J833,$D$6:$D833,"Advance"))</f>
        <v/>
      </c>
      <c r="L833" s="29" t="str">
        <f aca="false">IF(OR($I833="",$I833="?",$B833=""),"",SUMPRODUCT((Weeks!$A$6:$A$58&lt;=$J833)*(Weeks!$Z$4:$AK$4=$I833)*Weeks!$Z$6:$AK$58)-SUMIFS($E$6:$E$1005,$I$6:$I$1005,$I833,$B$6:$B$1005,"&lt;="&amp;$B833))</f>
        <v/>
      </c>
      <c r="M833" s="19" t="str">
        <f aca="false">IF($B833&amp;$C833&amp;$D833&amp;$E833="","",IF($B833="","missing date",IF($C833="","missing worker",IF($I833="?","unknown worker - was the name changed on Workers?",IF($D833="","missing type",IF(N($E833)=0,"missing amount",IF(AND($E833&lt;0,$D833&lt;&gt;"Correction"),"negative amount - use a Correction to undo",IF(OR($B833&lt;Weeks!$A$6,$B833&gt;Weeks!$B$58),"date outside this workbook's year",IF(AND($D833="Advance",N($L833)&lt;0),"Warning: more than earned so far - worker now owes "&amp;ROUND(-$L833,0),"")))))))))</f>
        <v/>
      </c>
    </row>
    <row r="834" customFormat="false" ht="15" hidden="false" customHeight="false" outlineLevel="0" collapsed="false">
      <c r="A834" s="24" t="str">
        <f aca="false">IF($B834="","",ROW()-5)</f>
        <v/>
      </c>
      <c r="B834" s="25"/>
      <c r="C834" s="20"/>
      <c r="D834" s="26"/>
      <c r="E834" s="27"/>
      <c r="F834" s="20"/>
      <c r="G834" s="20"/>
      <c r="H834" s="26"/>
      <c r="I834" s="24" t="str">
        <f aca="false">IF($C834="","",IFERROR(INDEX(WorkerIDs,MATCH($C834,WorkerNames,0)),"?"))</f>
        <v/>
      </c>
      <c r="J834" s="18" t="str">
        <f aca="false">IF($B834="","",$B834-WEEKDAY($B834,2)+1)</f>
        <v/>
      </c>
      <c r="K834" s="28" t="str">
        <f aca="false">IF(OR($I834="",$I834="?",$D834&lt;&gt;"Advance",$B834=""),"",$I834&amp;"|"&amp;$J834&amp;"|"&amp;COUNTIFS($I$6:$I834,$I834,$J$6:$J834,$J834,$D$6:$D834,"Advance"))</f>
        <v/>
      </c>
      <c r="L834" s="29" t="str">
        <f aca="false">IF(OR($I834="",$I834="?",$B834=""),"",SUMPRODUCT((Weeks!$A$6:$A$58&lt;=$J834)*(Weeks!$Z$4:$AK$4=$I834)*Weeks!$Z$6:$AK$58)-SUMIFS($E$6:$E$1005,$I$6:$I$1005,$I834,$B$6:$B$1005,"&lt;="&amp;$B834))</f>
        <v/>
      </c>
      <c r="M834" s="19" t="str">
        <f aca="false">IF($B834&amp;$C834&amp;$D834&amp;$E834="","",IF($B834="","missing date",IF($C834="","missing worker",IF($I834="?","unknown worker - was the name changed on Workers?",IF($D834="","missing type",IF(N($E834)=0,"missing amount",IF(AND($E834&lt;0,$D834&lt;&gt;"Correction"),"negative amount - use a Correction to undo",IF(OR($B834&lt;Weeks!$A$6,$B834&gt;Weeks!$B$58),"date outside this workbook's year",IF(AND($D834="Advance",N($L834)&lt;0),"Warning: more than earned so far - worker now owes "&amp;ROUND(-$L834,0),"")))))))))</f>
        <v/>
      </c>
    </row>
    <row r="835" customFormat="false" ht="15" hidden="false" customHeight="false" outlineLevel="0" collapsed="false">
      <c r="A835" s="24" t="str">
        <f aca="false">IF($B835="","",ROW()-5)</f>
        <v/>
      </c>
      <c r="B835" s="25"/>
      <c r="C835" s="20"/>
      <c r="D835" s="26"/>
      <c r="E835" s="27"/>
      <c r="F835" s="20"/>
      <c r="G835" s="20"/>
      <c r="H835" s="26"/>
      <c r="I835" s="24" t="str">
        <f aca="false">IF($C835="","",IFERROR(INDEX(WorkerIDs,MATCH($C835,WorkerNames,0)),"?"))</f>
        <v/>
      </c>
      <c r="J835" s="18" t="str">
        <f aca="false">IF($B835="","",$B835-WEEKDAY($B835,2)+1)</f>
        <v/>
      </c>
      <c r="K835" s="28" t="str">
        <f aca="false">IF(OR($I835="",$I835="?",$D835&lt;&gt;"Advance",$B835=""),"",$I835&amp;"|"&amp;$J835&amp;"|"&amp;COUNTIFS($I$6:$I835,$I835,$J$6:$J835,$J835,$D$6:$D835,"Advance"))</f>
        <v/>
      </c>
      <c r="L835" s="29" t="str">
        <f aca="false">IF(OR($I835="",$I835="?",$B835=""),"",SUMPRODUCT((Weeks!$A$6:$A$58&lt;=$J835)*(Weeks!$Z$4:$AK$4=$I835)*Weeks!$Z$6:$AK$58)-SUMIFS($E$6:$E$1005,$I$6:$I$1005,$I835,$B$6:$B$1005,"&lt;="&amp;$B835))</f>
        <v/>
      </c>
      <c r="M835" s="19" t="str">
        <f aca="false">IF($B835&amp;$C835&amp;$D835&amp;$E835="","",IF($B835="","missing date",IF($C835="","missing worker",IF($I835="?","unknown worker - was the name changed on Workers?",IF($D835="","missing type",IF(N($E835)=0,"missing amount",IF(AND($E835&lt;0,$D835&lt;&gt;"Correction"),"negative amount - use a Correction to undo",IF(OR($B835&lt;Weeks!$A$6,$B835&gt;Weeks!$B$58),"date outside this workbook's year",IF(AND($D835="Advance",N($L835)&lt;0),"Warning: more than earned so far - worker now owes "&amp;ROUND(-$L835,0),"")))))))))</f>
        <v/>
      </c>
    </row>
    <row r="836" customFormat="false" ht="15" hidden="false" customHeight="false" outlineLevel="0" collapsed="false">
      <c r="A836" s="24" t="str">
        <f aca="false">IF($B836="","",ROW()-5)</f>
        <v/>
      </c>
      <c r="B836" s="25"/>
      <c r="C836" s="20"/>
      <c r="D836" s="26"/>
      <c r="E836" s="27"/>
      <c r="F836" s="20"/>
      <c r="G836" s="20"/>
      <c r="H836" s="26"/>
      <c r="I836" s="24" t="str">
        <f aca="false">IF($C836="","",IFERROR(INDEX(WorkerIDs,MATCH($C836,WorkerNames,0)),"?"))</f>
        <v/>
      </c>
      <c r="J836" s="18" t="str">
        <f aca="false">IF($B836="","",$B836-WEEKDAY($B836,2)+1)</f>
        <v/>
      </c>
      <c r="K836" s="28" t="str">
        <f aca="false">IF(OR($I836="",$I836="?",$D836&lt;&gt;"Advance",$B836=""),"",$I836&amp;"|"&amp;$J836&amp;"|"&amp;COUNTIFS($I$6:$I836,$I836,$J$6:$J836,$J836,$D$6:$D836,"Advance"))</f>
        <v/>
      </c>
      <c r="L836" s="29" t="str">
        <f aca="false">IF(OR($I836="",$I836="?",$B836=""),"",SUMPRODUCT((Weeks!$A$6:$A$58&lt;=$J836)*(Weeks!$Z$4:$AK$4=$I836)*Weeks!$Z$6:$AK$58)-SUMIFS($E$6:$E$1005,$I$6:$I$1005,$I836,$B$6:$B$1005,"&lt;="&amp;$B836))</f>
        <v/>
      </c>
      <c r="M836" s="19" t="str">
        <f aca="false">IF($B836&amp;$C836&amp;$D836&amp;$E836="","",IF($B836="","missing date",IF($C836="","missing worker",IF($I836="?","unknown worker - was the name changed on Workers?",IF($D836="","missing type",IF(N($E836)=0,"missing amount",IF(AND($E836&lt;0,$D836&lt;&gt;"Correction"),"negative amount - use a Correction to undo",IF(OR($B836&lt;Weeks!$A$6,$B836&gt;Weeks!$B$58),"date outside this workbook's year",IF(AND($D836="Advance",N($L836)&lt;0),"Warning: more than earned so far - worker now owes "&amp;ROUND(-$L836,0),"")))))))))</f>
        <v/>
      </c>
    </row>
    <row r="837" customFormat="false" ht="15" hidden="false" customHeight="false" outlineLevel="0" collapsed="false">
      <c r="A837" s="24" t="str">
        <f aca="false">IF($B837="","",ROW()-5)</f>
        <v/>
      </c>
      <c r="B837" s="25"/>
      <c r="C837" s="20"/>
      <c r="D837" s="26"/>
      <c r="E837" s="27"/>
      <c r="F837" s="20"/>
      <c r="G837" s="20"/>
      <c r="H837" s="26"/>
      <c r="I837" s="24" t="str">
        <f aca="false">IF($C837="","",IFERROR(INDEX(WorkerIDs,MATCH($C837,WorkerNames,0)),"?"))</f>
        <v/>
      </c>
      <c r="J837" s="18" t="str">
        <f aca="false">IF($B837="","",$B837-WEEKDAY($B837,2)+1)</f>
        <v/>
      </c>
      <c r="K837" s="28" t="str">
        <f aca="false">IF(OR($I837="",$I837="?",$D837&lt;&gt;"Advance",$B837=""),"",$I837&amp;"|"&amp;$J837&amp;"|"&amp;COUNTIFS($I$6:$I837,$I837,$J$6:$J837,$J837,$D$6:$D837,"Advance"))</f>
        <v/>
      </c>
      <c r="L837" s="29" t="str">
        <f aca="false">IF(OR($I837="",$I837="?",$B837=""),"",SUMPRODUCT((Weeks!$A$6:$A$58&lt;=$J837)*(Weeks!$Z$4:$AK$4=$I837)*Weeks!$Z$6:$AK$58)-SUMIFS($E$6:$E$1005,$I$6:$I$1005,$I837,$B$6:$B$1005,"&lt;="&amp;$B837))</f>
        <v/>
      </c>
      <c r="M837" s="19" t="str">
        <f aca="false">IF($B837&amp;$C837&amp;$D837&amp;$E837="","",IF($B837="","missing date",IF($C837="","missing worker",IF($I837="?","unknown worker - was the name changed on Workers?",IF($D837="","missing type",IF(N($E837)=0,"missing amount",IF(AND($E837&lt;0,$D837&lt;&gt;"Correction"),"negative amount - use a Correction to undo",IF(OR($B837&lt;Weeks!$A$6,$B837&gt;Weeks!$B$58),"date outside this workbook's year",IF(AND($D837="Advance",N($L837)&lt;0),"Warning: more than earned so far - worker now owes "&amp;ROUND(-$L837,0),"")))))))))</f>
        <v/>
      </c>
    </row>
    <row r="838" customFormat="false" ht="15" hidden="false" customHeight="false" outlineLevel="0" collapsed="false">
      <c r="A838" s="24" t="str">
        <f aca="false">IF($B838="","",ROW()-5)</f>
        <v/>
      </c>
      <c r="B838" s="25"/>
      <c r="C838" s="20"/>
      <c r="D838" s="26"/>
      <c r="E838" s="27"/>
      <c r="F838" s="20"/>
      <c r="G838" s="20"/>
      <c r="H838" s="26"/>
      <c r="I838" s="24" t="str">
        <f aca="false">IF($C838="","",IFERROR(INDEX(WorkerIDs,MATCH($C838,WorkerNames,0)),"?"))</f>
        <v/>
      </c>
      <c r="J838" s="18" t="str">
        <f aca="false">IF($B838="","",$B838-WEEKDAY($B838,2)+1)</f>
        <v/>
      </c>
      <c r="K838" s="28" t="str">
        <f aca="false">IF(OR($I838="",$I838="?",$D838&lt;&gt;"Advance",$B838=""),"",$I838&amp;"|"&amp;$J838&amp;"|"&amp;COUNTIFS($I$6:$I838,$I838,$J$6:$J838,$J838,$D$6:$D838,"Advance"))</f>
        <v/>
      </c>
      <c r="L838" s="29" t="str">
        <f aca="false">IF(OR($I838="",$I838="?",$B838=""),"",SUMPRODUCT((Weeks!$A$6:$A$58&lt;=$J838)*(Weeks!$Z$4:$AK$4=$I838)*Weeks!$Z$6:$AK$58)-SUMIFS($E$6:$E$1005,$I$6:$I$1005,$I838,$B$6:$B$1005,"&lt;="&amp;$B838))</f>
        <v/>
      </c>
      <c r="M838" s="19" t="str">
        <f aca="false">IF($B838&amp;$C838&amp;$D838&amp;$E838="","",IF($B838="","missing date",IF($C838="","missing worker",IF($I838="?","unknown worker - was the name changed on Workers?",IF($D838="","missing type",IF(N($E838)=0,"missing amount",IF(AND($E838&lt;0,$D838&lt;&gt;"Correction"),"negative amount - use a Correction to undo",IF(OR($B838&lt;Weeks!$A$6,$B838&gt;Weeks!$B$58),"date outside this workbook's year",IF(AND($D838="Advance",N($L838)&lt;0),"Warning: more than earned so far - worker now owes "&amp;ROUND(-$L838,0),"")))))))))</f>
        <v/>
      </c>
    </row>
    <row r="839" customFormat="false" ht="15" hidden="false" customHeight="false" outlineLevel="0" collapsed="false">
      <c r="A839" s="24" t="str">
        <f aca="false">IF($B839="","",ROW()-5)</f>
        <v/>
      </c>
      <c r="B839" s="25"/>
      <c r="C839" s="20"/>
      <c r="D839" s="26"/>
      <c r="E839" s="27"/>
      <c r="F839" s="20"/>
      <c r="G839" s="20"/>
      <c r="H839" s="26"/>
      <c r="I839" s="24" t="str">
        <f aca="false">IF($C839="","",IFERROR(INDEX(WorkerIDs,MATCH($C839,WorkerNames,0)),"?"))</f>
        <v/>
      </c>
      <c r="J839" s="18" t="str">
        <f aca="false">IF($B839="","",$B839-WEEKDAY($B839,2)+1)</f>
        <v/>
      </c>
      <c r="K839" s="28" t="str">
        <f aca="false">IF(OR($I839="",$I839="?",$D839&lt;&gt;"Advance",$B839=""),"",$I839&amp;"|"&amp;$J839&amp;"|"&amp;COUNTIFS($I$6:$I839,$I839,$J$6:$J839,$J839,$D$6:$D839,"Advance"))</f>
        <v/>
      </c>
      <c r="L839" s="29" t="str">
        <f aca="false">IF(OR($I839="",$I839="?",$B839=""),"",SUMPRODUCT((Weeks!$A$6:$A$58&lt;=$J839)*(Weeks!$Z$4:$AK$4=$I839)*Weeks!$Z$6:$AK$58)-SUMIFS($E$6:$E$1005,$I$6:$I$1005,$I839,$B$6:$B$1005,"&lt;="&amp;$B839))</f>
        <v/>
      </c>
      <c r="M839" s="19" t="str">
        <f aca="false">IF($B839&amp;$C839&amp;$D839&amp;$E839="","",IF($B839="","missing date",IF($C839="","missing worker",IF($I839="?","unknown worker - was the name changed on Workers?",IF($D839="","missing type",IF(N($E839)=0,"missing amount",IF(AND($E839&lt;0,$D839&lt;&gt;"Correction"),"negative amount - use a Correction to undo",IF(OR($B839&lt;Weeks!$A$6,$B839&gt;Weeks!$B$58),"date outside this workbook's year",IF(AND($D839="Advance",N($L839)&lt;0),"Warning: more than earned so far - worker now owes "&amp;ROUND(-$L839,0),"")))))))))</f>
        <v/>
      </c>
    </row>
    <row r="840" customFormat="false" ht="15" hidden="false" customHeight="false" outlineLevel="0" collapsed="false">
      <c r="A840" s="24" t="str">
        <f aca="false">IF($B840="","",ROW()-5)</f>
        <v/>
      </c>
      <c r="B840" s="25"/>
      <c r="C840" s="20"/>
      <c r="D840" s="26"/>
      <c r="E840" s="27"/>
      <c r="F840" s="20"/>
      <c r="G840" s="20"/>
      <c r="H840" s="26"/>
      <c r="I840" s="24" t="str">
        <f aca="false">IF($C840="","",IFERROR(INDEX(WorkerIDs,MATCH($C840,WorkerNames,0)),"?"))</f>
        <v/>
      </c>
      <c r="J840" s="18" t="str">
        <f aca="false">IF($B840="","",$B840-WEEKDAY($B840,2)+1)</f>
        <v/>
      </c>
      <c r="K840" s="28" t="str">
        <f aca="false">IF(OR($I840="",$I840="?",$D840&lt;&gt;"Advance",$B840=""),"",$I840&amp;"|"&amp;$J840&amp;"|"&amp;COUNTIFS($I$6:$I840,$I840,$J$6:$J840,$J840,$D$6:$D840,"Advance"))</f>
        <v/>
      </c>
      <c r="L840" s="29" t="str">
        <f aca="false">IF(OR($I840="",$I840="?",$B840=""),"",SUMPRODUCT((Weeks!$A$6:$A$58&lt;=$J840)*(Weeks!$Z$4:$AK$4=$I840)*Weeks!$Z$6:$AK$58)-SUMIFS($E$6:$E$1005,$I$6:$I$1005,$I840,$B$6:$B$1005,"&lt;="&amp;$B840))</f>
        <v/>
      </c>
      <c r="M840" s="19" t="str">
        <f aca="false">IF($B840&amp;$C840&amp;$D840&amp;$E840="","",IF($B840="","missing date",IF($C840="","missing worker",IF($I840="?","unknown worker - was the name changed on Workers?",IF($D840="","missing type",IF(N($E840)=0,"missing amount",IF(AND($E840&lt;0,$D840&lt;&gt;"Correction"),"negative amount - use a Correction to undo",IF(OR($B840&lt;Weeks!$A$6,$B840&gt;Weeks!$B$58),"date outside this workbook's year",IF(AND($D840="Advance",N($L840)&lt;0),"Warning: more than earned so far - worker now owes "&amp;ROUND(-$L840,0),"")))))))))</f>
        <v/>
      </c>
    </row>
    <row r="841" customFormat="false" ht="15" hidden="false" customHeight="false" outlineLevel="0" collapsed="false">
      <c r="A841" s="24" t="str">
        <f aca="false">IF($B841="","",ROW()-5)</f>
        <v/>
      </c>
      <c r="B841" s="25"/>
      <c r="C841" s="20"/>
      <c r="D841" s="26"/>
      <c r="E841" s="27"/>
      <c r="F841" s="20"/>
      <c r="G841" s="20"/>
      <c r="H841" s="26"/>
      <c r="I841" s="24" t="str">
        <f aca="false">IF($C841="","",IFERROR(INDEX(WorkerIDs,MATCH($C841,WorkerNames,0)),"?"))</f>
        <v/>
      </c>
      <c r="J841" s="18" t="str">
        <f aca="false">IF($B841="","",$B841-WEEKDAY($B841,2)+1)</f>
        <v/>
      </c>
      <c r="K841" s="28" t="str">
        <f aca="false">IF(OR($I841="",$I841="?",$D841&lt;&gt;"Advance",$B841=""),"",$I841&amp;"|"&amp;$J841&amp;"|"&amp;COUNTIFS($I$6:$I841,$I841,$J$6:$J841,$J841,$D$6:$D841,"Advance"))</f>
        <v/>
      </c>
      <c r="L841" s="29" t="str">
        <f aca="false">IF(OR($I841="",$I841="?",$B841=""),"",SUMPRODUCT((Weeks!$A$6:$A$58&lt;=$J841)*(Weeks!$Z$4:$AK$4=$I841)*Weeks!$Z$6:$AK$58)-SUMIFS($E$6:$E$1005,$I$6:$I$1005,$I841,$B$6:$B$1005,"&lt;="&amp;$B841))</f>
        <v/>
      </c>
      <c r="M841" s="19" t="str">
        <f aca="false">IF($B841&amp;$C841&amp;$D841&amp;$E841="","",IF($B841="","missing date",IF($C841="","missing worker",IF($I841="?","unknown worker - was the name changed on Workers?",IF($D841="","missing type",IF(N($E841)=0,"missing amount",IF(AND($E841&lt;0,$D841&lt;&gt;"Correction"),"negative amount - use a Correction to undo",IF(OR($B841&lt;Weeks!$A$6,$B841&gt;Weeks!$B$58),"date outside this workbook's year",IF(AND($D841="Advance",N($L841)&lt;0),"Warning: more than earned so far - worker now owes "&amp;ROUND(-$L841,0),"")))))))))</f>
        <v/>
      </c>
    </row>
    <row r="842" customFormat="false" ht="15" hidden="false" customHeight="false" outlineLevel="0" collapsed="false">
      <c r="A842" s="24" t="str">
        <f aca="false">IF($B842="","",ROW()-5)</f>
        <v/>
      </c>
      <c r="B842" s="25"/>
      <c r="C842" s="20"/>
      <c r="D842" s="26"/>
      <c r="E842" s="27"/>
      <c r="F842" s="20"/>
      <c r="G842" s="20"/>
      <c r="H842" s="26"/>
      <c r="I842" s="24" t="str">
        <f aca="false">IF($C842="","",IFERROR(INDEX(WorkerIDs,MATCH($C842,WorkerNames,0)),"?"))</f>
        <v/>
      </c>
      <c r="J842" s="18" t="str">
        <f aca="false">IF($B842="","",$B842-WEEKDAY($B842,2)+1)</f>
        <v/>
      </c>
      <c r="K842" s="28" t="str">
        <f aca="false">IF(OR($I842="",$I842="?",$D842&lt;&gt;"Advance",$B842=""),"",$I842&amp;"|"&amp;$J842&amp;"|"&amp;COUNTIFS($I$6:$I842,$I842,$J$6:$J842,$J842,$D$6:$D842,"Advance"))</f>
        <v/>
      </c>
      <c r="L842" s="29" t="str">
        <f aca="false">IF(OR($I842="",$I842="?",$B842=""),"",SUMPRODUCT((Weeks!$A$6:$A$58&lt;=$J842)*(Weeks!$Z$4:$AK$4=$I842)*Weeks!$Z$6:$AK$58)-SUMIFS($E$6:$E$1005,$I$6:$I$1005,$I842,$B$6:$B$1005,"&lt;="&amp;$B842))</f>
        <v/>
      </c>
      <c r="M842" s="19" t="str">
        <f aca="false">IF($B842&amp;$C842&amp;$D842&amp;$E842="","",IF($B842="","missing date",IF($C842="","missing worker",IF($I842="?","unknown worker - was the name changed on Workers?",IF($D842="","missing type",IF(N($E842)=0,"missing amount",IF(AND($E842&lt;0,$D842&lt;&gt;"Correction"),"negative amount - use a Correction to undo",IF(OR($B842&lt;Weeks!$A$6,$B842&gt;Weeks!$B$58),"date outside this workbook's year",IF(AND($D842="Advance",N($L842)&lt;0),"Warning: more than earned so far - worker now owes "&amp;ROUND(-$L842,0),"")))))))))</f>
        <v/>
      </c>
    </row>
    <row r="843" customFormat="false" ht="15" hidden="false" customHeight="false" outlineLevel="0" collapsed="false">
      <c r="A843" s="24" t="str">
        <f aca="false">IF($B843="","",ROW()-5)</f>
        <v/>
      </c>
      <c r="B843" s="25"/>
      <c r="C843" s="20"/>
      <c r="D843" s="26"/>
      <c r="E843" s="27"/>
      <c r="F843" s="20"/>
      <c r="G843" s="20"/>
      <c r="H843" s="26"/>
      <c r="I843" s="24" t="str">
        <f aca="false">IF($C843="","",IFERROR(INDEX(WorkerIDs,MATCH($C843,WorkerNames,0)),"?"))</f>
        <v/>
      </c>
      <c r="J843" s="18" t="str">
        <f aca="false">IF($B843="","",$B843-WEEKDAY($B843,2)+1)</f>
        <v/>
      </c>
      <c r="K843" s="28" t="str">
        <f aca="false">IF(OR($I843="",$I843="?",$D843&lt;&gt;"Advance",$B843=""),"",$I843&amp;"|"&amp;$J843&amp;"|"&amp;COUNTIFS($I$6:$I843,$I843,$J$6:$J843,$J843,$D$6:$D843,"Advance"))</f>
        <v/>
      </c>
      <c r="L843" s="29" t="str">
        <f aca="false">IF(OR($I843="",$I843="?",$B843=""),"",SUMPRODUCT((Weeks!$A$6:$A$58&lt;=$J843)*(Weeks!$Z$4:$AK$4=$I843)*Weeks!$Z$6:$AK$58)-SUMIFS($E$6:$E$1005,$I$6:$I$1005,$I843,$B$6:$B$1005,"&lt;="&amp;$B843))</f>
        <v/>
      </c>
      <c r="M843" s="19" t="str">
        <f aca="false">IF($B843&amp;$C843&amp;$D843&amp;$E843="","",IF($B843="","missing date",IF($C843="","missing worker",IF($I843="?","unknown worker - was the name changed on Workers?",IF($D843="","missing type",IF(N($E843)=0,"missing amount",IF(AND($E843&lt;0,$D843&lt;&gt;"Correction"),"negative amount - use a Correction to undo",IF(OR($B843&lt;Weeks!$A$6,$B843&gt;Weeks!$B$58),"date outside this workbook's year",IF(AND($D843="Advance",N($L843)&lt;0),"Warning: more than earned so far - worker now owes "&amp;ROUND(-$L843,0),"")))))))))</f>
        <v/>
      </c>
    </row>
    <row r="844" customFormat="false" ht="15" hidden="false" customHeight="false" outlineLevel="0" collapsed="false">
      <c r="A844" s="24" t="str">
        <f aca="false">IF($B844="","",ROW()-5)</f>
        <v/>
      </c>
      <c r="B844" s="25"/>
      <c r="C844" s="20"/>
      <c r="D844" s="26"/>
      <c r="E844" s="27"/>
      <c r="F844" s="20"/>
      <c r="G844" s="20"/>
      <c r="H844" s="26"/>
      <c r="I844" s="24" t="str">
        <f aca="false">IF($C844="","",IFERROR(INDEX(WorkerIDs,MATCH($C844,WorkerNames,0)),"?"))</f>
        <v/>
      </c>
      <c r="J844" s="18" t="str">
        <f aca="false">IF($B844="","",$B844-WEEKDAY($B844,2)+1)</f>
        <v/>
      </c>
      <c r="K844" s="28" t="str">
        <f aca="false">IF(OR($I844="",$I844="?",$D844&lt;&gt;"Advance",$B844=""),"",$I844&amp;"|"&amp;$J844&amp;"|"&amp;COUNTIFS($I$6:$I844,$I844,$J$6:$J844,$J844,$D$6:$D844,"Advance"))</f>
        <v/>
      </c>
      <c r="L844" s="29" t="str">
        <f aca="false">IF(OR($I844="",$I844="?",$B844=""),"",SUMPRODUCT((Weeks!$A$6:$A$58&lt;=$J844)*(Weeks!$Z$4:$AK$4=$I844)*Weeks!$Z$6:$AK$58)-SUMIFS($E$6:$E$1005,$I$6:$I$1005,$I844,$B$6:$B$1005,"&lt;="&amp;$B844))</f>
        <v/>
      </c>
      <c r="M844" s="19" t="str">
        <f aca="false">IF($B844&amp;$C844&amp;$D844&amp;$E844="","",IF($B844="","missing date",IF($C844="","missing worker",IF($I844="?","unknown worker - was the name changed on Workers?",IF($D844="","missing type",IF(N($E844)=0,"missing amount",IF(AND($E844&lt;0,$D844&lt;&gt;"Correction"),"negative amount - use a Correction to undo",IF(OR($B844&lt;Weeks!$A$6,$B844&gt;Weeks!$B$58),"date outside this workbook's year",IF(AND($D844="Advance",N($L844)&lt;0),"Warning: more than earned so far - worker now owes "&amp;ROUND(-$L844,0),"")))))))))</f>
        <v/>
      </c>
    </row>
    <row r="845" customFormat="false" ht="15" hidden="false" customHeight="false" outlineLevel="0" collapsed="false">
      <c r="A845" s="24" t="str">
        <f aca="false">IF($B845="","",ROW()-5)</f>
        <v/>
      </c>
      <c r="B845" s="25"/>
      <c r="C845" s="20"/>
      <c r="D845" s="26"/>
      <c r="E845" s="27"/>
      <c r="F845" s="20"/>
      <c r="G845" s="20"/>
      <c r="H845" s="26"/>
      <c r="I845" s="24" t="str">
        <f aca="false">IF($C845="","",IFERROR(INDEX(WorkerIDs,MATCH($C845,WorkerNames,0)),"?"))</f>
        <v/>
      </c>
      <c r="J845" s="18" t="str">
        <f aca="false">IF($B845="","",$B845-WEEKDAY($B845,2)+1)</f>
        <v/>
      </c>
      <c r="K845" s="28" t="str">
        <f aca="false">IF(OR($I845="",$I845="?",$D845&lt;&gt;"Advance",$B845=""),"",$I845&amp;"|"&amp;$J845&amp;"|"&amp;COUNTIFS($I$6:$I845,$I845,$J$6:$J845,$J845,$D$6:$D845,"Advance"))</f>
        <v/>
      </c>
      <c r="L845" s="29" t="str">
        <f aca="false">IF(OR($I845="",$I845="?",$B845=""),"",SUMPRODUCT((Weeks!$A$6:$A$58&lt;=$J845)*(Weeks!$Z$4:$AK$4=$I845)*Weeks!$Z$6:$AK$58)-SUMIFS($E$6:$E$1005,$I$6:$I$1005,$I845,$B$6:$B$1005,"&lt;="&amp;$B845))</f>
        <v/>
      </c>
      <c r="M845" s="19" t="str">
        <f aca="false">IF($B845&amp;$C845&amp;$D845&amp;$E845="","",IF($B845="","missing date",IF($C845="","missing worker",IF($I845="?","unknown worker - was the name changed on Workers?",IF($D845="","missing type",IF(N($E845)=0,"missing amount",IF(AND($E845&lt;0,$D845&lt;&gt;"Correction"),"negative amount - use a Correction to undo",IF(OR($B845&lt;Weeks!$A$6,$B845&gt;Weeks!$B$58),"date outside this workbook's year",IF(AND($D845="Advance",N($L845)&lt;0),"Warning: more than earned so far - worker now owes "&amp;ROUND(-$L845,0),"")))))))))</f>
        <v/>
      </c>
    </row>
    <row r="846" customFormat="false" ht="15" hidden="false" customHeight="false" outlineLevel="0" collapsed="false">
      <c r="A846" s="24" t="str">
        <f aca="false">IF($B846="","",ROW()-5)</f>
        <v/>
      </c>
      <c r="B846" s="25"/>
      <c r="C846" s="20"/>
      <c r="D846" s="26"/>
      <c r="E846" s="27"/>
      <c r="F846" s="20"/>
      <c r="G846" s="20"/>
      <c r="H846" s="26"/>
      <c r="I846" s="24" t="str">
        <f aca="false">IF($C846="","",IFERROR(INDEX(WorkerIDs,MATCH($C846,WorkerNames,0)),"?"))</f>
        <v/>
      </c>
      <c r="J846" s="18" t="str">
        <f aca="false">IF($B846="","",$B846-WEEKDAY($B846,2)+1)</f>
        <v/>
      </c>
      <c r="K846" s="28" t="str">
        <f aca="false">IF(OR($I846="",$I846="?",$D846&lt;&gt;"Advance",$B846=""),"",$I846&amp;"|"&amp;$J846&amp;"|"&amp;COUNTIFS($I$6:$I846,$I846,$J$6:$J846,$J846,$D$6:$D846,"Advance"))</f>
        <v/>
      </c>
      <c r="L846" s="29" t="str">
        <f aca="false">IF(OR($I846="",$I846="?",$B846=""),"",SUMPRODUCT((Weeks!$A$6:$A$58&lt;=$J846)*(Weeks!$Z$4:$AK$4=$I846)*Weeks!$Z$6:$AK$58)-SUMIFS($E$6:$E$1005,$I$6:$I$1005,$I846,$B$6:$B$1005,"&lt;="&amp;$B846))</f>
        <v/>
      </c>
      <c r="M846" s="19" t="str">
        <f aca="false">IF($B846&amp;$C846&amp;$D846&amp;$E846="","",IF($B846="","missing date",IF($C846="","missing worker",IF($I846="?","unknown worker - was the name changed on Workers?",IF($D846="","missing type",IF(N($E846)=0,"missing amount",IF(AND($E846&lt;0,$D846&lt;&gt;"Correction"),"negative amount - use a Correction to undo",IF(OR($B846&lt;Weeks!$A$6,$B846&gt;Weeks!$B$58),"date outside this workbook's year",IF(AND($D846="Advance",N($L846)&lt;0),"Warning: more than earned so far - worker now owes "&amp;ROUND(-$L846,0),"")))))))))</f>
        <v/>
      </c>
    </row>
    <row r="847" customFormat="false" ht="15" hidden="false" customHeight="false" outlineLevel="0" collapsed="false">
      <c r="A847" s="24" t="str">
        <f aca="false">IF($B847="","",ROW()-5)</f>
        <v/>
      </c>
      <c r="B847" s="25"/>
      <c r="C847" s="20"/>
      <c r="D847" s="26"/>
      <c r="E847" s="27"/>
      <c r="F847" s="20"/>
      <c r="G847" s="20"/>
      <c r="H847" s="26"/>
      <c r="I847" s="24" t="str">
        <f aca="false">IF($C847="","",IFERROR(INDEX(WorkerIDs,MATCH($C847,WorkerNames,0)),"?"))</f>
        <v/>
      </c>
      <c r="J847" s="18" t="str">
        <f aca="false">IF($B847="","",$B847-WEEKDAY($B847,2)+1)</f>
        <v/>
      </c>
      <c r="K847" s="28" t="str">
        <f aca="false">IF(OR($I847="",$I847="?",$D847&lt;&gt;"Advance",$B847=""),"",$I847&amp;"|"&amp;$J847&amp;"|"&amp;COUNTIFS($I$6:$I847,$I847,$J$6:$J847,$J847,$D$6:$D847,"Advance"))</f>
        <v/>
      </c>
      <c r="L847" s="29" t="str">
        <f aca="false">IF(OR($I847="",$I847="?",$B847=""),"",SUMPRODUCT((Weeks!$A$6:$A$58&lt;=$J847)*(Weeks!$Z$4:$AK$4=$I847)*Weeks!$Z$6:$AK$58)-SUMIFS($E$6:$E$1005,$I$6:$I$1005,$I847,$B$6:$B$1005,"&lt;="&amp;$B847))</f>
        <v/>
      </c>
      <c r="M847" s="19" t="str">
        <f aca="false">IF($B847&amp;$C847&amp;$D847&amp;$E847="","",IF($B847="","missing date",IF($C847="","missing worker",IF($I847="?","unknown worker - was the name changed on Workers?",IF($D847="","missing type",IF(N($E847)=0,"missing amount",IF(AND($E847&lt;0,$D847&lt;&gt;"Correction"),"negative amount - use a Correction to undo",IF(OR($B847&lt;Weeks!$A$6,$B847&gt;Weeks!$B$58),"date outside this workbook's year",IF(AND($D847="Advance",N($L847)&lt;0),"Warning: more than earned so far - worker now owes "&amp;ROUND(-$L847,0),"")))))))))</f>
        <v/>
      </c>
    </row>
    <row r="848" customFormat="false" ht="15" hidden="false" customHeight="false" outlineLevel="0" collapsed="false">
      <c r="A848" s="24" t="str">
        <f aca="false">IF($B848="","",ROW()-5)</f>
        <v/>
      </c>
      <c r="B848" s="25"/>
      <c r="C848" s="20"/>
      <c r="D848" s="26"/>
      <c r="E848" s="27"/>
      <c r="F848" s="20"/>
      <c r="G848" s="20"/>
      <c r="H848" s="26"/>
      <c r="I848" s="24" t="str">
        <f aca="false">IF($C848="","",IFERROR(INDEX(WorkerIDs,MATCH($C848,WorkerNames,0)),"?"))</f>
        <v/>
      </c>
      <c r="J848" s="18" t="str">
        <f aca="false">IF($B848="","",$B848-WEEKDAY($B848,2)+1)</f>
        <v/>
      </c>
      <c r="K848" s="28" t="str">
        <f aca="false">IF(OR($I848="",$I848="?",$D848&lt;&gt;"Advance",$B848=""),"",$I848&amp;"|"&amp;$J848&amp;"|"&amp;COUNTIFS($I$6:$I848,$I848,$J$6:$J848,$J848,$D$6:$D848,"Advance"))</f>
        <v/>
      </c>
      <c r="L848" s="29" t="str">
        <f aca="false">IF(OR($I848="",$I848="?",$B848=""),"",SUMPRODUCT((Weeks!$A$6:$A$58&lt;=$J848)*(Weeks!$Z$4:$AK$4=$I848)*Weeks!$Z$6:$AK$58)-SUMIFS($E$6:$E$1005,$I$6:$I$1005,$I848,$B$6:$B$1005,"&lt;="&amp;$B848))</f>
        <v/>
      </c>
      <c r="M848" s="19" t="str">
        <f aca="false">IF($B848&amp;$C848&amp;$D848&amp;$E848="","",IF($B848="","missing date",IF($C848="","missing worker",IF($I848="?","unknown worker - was the name changed on Workers?",IF($D848="","missing type",IF(N($E848)=0,"missing amount",IF(AND($E848&lt;0,$D848&lt;&gt;"Correction"),"negative amount - use a Correction to undo",IF(OR($B848&lt;Weeks!$A$6,$B848&gt;Weeks!$B$58),"date outside this workbook's year",IF(AND($D848="Advance",N($L848)&lt;0),"Warning: more than earned so far - worker now owes "&amp;ROUND(-$L848,0),"")))))))))</f>
        <v/>
      </c>
    </row>
    <row r="849" customFormat="false" ht="15" hidden="false" customHeight="false" outlineLevel="0" collapsed="false">
      <c r="A849" s="24" t="str">
        <f aca="false">IF($B849="","",ROW()-5)</f>
        <v/>
      </c>
      <c r="B849" s="25"/>
      <c r="C849" s="20"/>
      <c r="D849" s="26"/>
      <c r="E849" s="27"/>
      <c r="F849" s="20"/>
      <c r="G849" s="20"/>
      <c r="H849" s="26"/>
      <c r="I849" s="24" t="str">
        <f aca="false">IF($C849="","",IFERROR(INDEX(WorkerIDs,MATCH($C849,WorkerNames,0)),"?"))</f>
        <v/>
      </c>
      <c r="J849" s="18" t="str">
        <f aca="false">IF($B849="","",$B849-WEEKDAY($B849,2)+1)</f>
        <v/>
      </c>
      <c r="K849" s="28" t="str">
        <f aca="false">IF(OR($I849="",$I849="?",$D849&lt;&gt;"Advance",$B849=""),"",$I849&amp;"|"&amp;$J849&amp;"|"&amp;COUNTIFS($I$6:$I849,$I849,$J$6:$J849,$J849,$D$6:$D849,"Advance"))</f>
        <v/>
      </c>
      <c r="L849" s="29" t="str">
        <f aca="false">IF(OR($I849="",$I849="?",$B849=""),"",SUMPRODUCT((Weeks!$A$6:$A$58&lt;=$J849)*(Weeks!$Z$4:$AK$4=$I849)*Weeks!$Z$6:$AK$58)-SUMIFS($E$6:$E$1005,$I$6:$I$1005,$I849,$B$6:$B$1005,"&lt;="&amp;$B849))</f>
        <v/>
      </c>
      <c r="M849" s="19" t="str">
        <f aca="false">IF($B849&amp;$C849&amp;$D849&amp;$E849="","",IF($B849="","missing date",IF($C849="","missing worker",IF($I849="?","unknown worker - was the name changed on Workers?",IF($D849="","missing type",IF(N($E849)=0,"missing amount",IF(AND($E849&lt;0,$D849&lt;&gt;"Correction"),"negative amount - use a Correction to undo",IF(OR($B849&lt;Weeks!$A$6,$B849&gt;Weeks!$B$58),"date outside this workbook's year",IF(AND($D849="Advance",N($L849)&lt;0),"Warning: more than earned so far - worker now owes "&amp;ROUND(-$L849,0),"")))))))))</f>
        <v/>
      </c>
    </row>
    <row r="850" customFormat="false" ht="15" hidden="false" customHeight="false" outlineLevel="0" collapsed="false">
      <c r="A850" s="24" t="str">
        <f aca="false">IF($B850="","",ROW()-5)</f>
        <v/>
      </c>
      <c r="B850" s="25"/>
      <c r="C850" s="20"/>
      <c r="D850" s="26"/>
      <c r="E850" s="27"/>
      <c r="F850" s="20"/>
      <c r="G850" s="20"/>
      <c r="H850" s="26"/>
      <c r="I850" s="24" t="str">
        <f aca="false">IF($C850="","",IFERROR(INDEX(WorkerIDs,MATCH($C850,WorkerNames,0)),"?"))</f>
        <v/>
      </c>
      <c r="J850" s="18" t="str">
        <f aca="false">IF($B850="","",$B850-WEEKDAY($B850,2)+1)</f>
        <v/>
      </c>
      <c r="K850" s="28" t="str">
        <f aca="false">IF(OR($I850="",$I850="?",$D850&lt;&gt;"Advance",$B850=""),"",$I850&amp;"|"&amp;$J850&amp;"|"&amp;COUNTIFS($I$6:$I850,$I850,$J$6:$J850,$J850,$D$6:$D850,"Advance"))</f>
        <v/>
      </c>
      <c r="L850" s="29" t="str">
        <f aca="false">IF(OR($I850="",$I850="?",$B850=""),"",SUMPRODUCT((Weeks!$A$6:$A$58&lt;=$J850)*(Weeks!$Z$4:$AK$4=$I850)*Weeks!$Z$6:$AK$58)-SUMIFS($E$6:$E$1005,$I$6:$I$1005,$I850,$B$6:$B$1005,"&lt;="&amp;$B850))</f>
        <v/>
      </c>
      <c r="M850" s="19" t="str">
        <f aca="false">IF($B850&amp;$C850&amp;$D850&amp;$E850="","",IF($B850="","missing date",IF($C850="","missing worker",IF($I850="?","unknown worker - was the name changed on Workers?",IF($D850="","missing type",IF(N($E850)=0,"missing amount",IF(AND($E850&lt;0,$D850&lt;&gt;"Correction"),"negative amount - use a Correction to undo",IF(OR($B850&lt;Weeks!$A$6,$B850&gt;Weeks!$B$58),"date outside this workbook's year",IF(AND($D850="Advance",N($L850)&lt;0),"Warning: more than earned so far - worker now owes "&amp;ROUND(-$L850,0),"")))))))))</f>
        <v/>
      </c>
    </row>
    <row r="851" customFormat="false" ht="15" hidden="false" customHeight="false" outlineLevel="0" collapsed="false">
      <c r="A851" s="24" t="str">
        <f aca="false">IF($B851="","",ROW()-5)</f>
        <v/>
      </c>
      <c r="B851" s="25"/>
      <c r="C851" s="20"/>
      <c r="D851" s="26"/>
      <c r="E851" s="27"/>
      <c r="F851" s="20"/>
      <c r="G851" s="20"/>
      <c r="H851" s="26"/>
      <c r="I851" s="24" t="str">
        <f aca="false">IF($C851="","",IFERROR(INDEX(WorkerIDs,MATCH($C851,WorkerNames,0)),"?"))</f>
        <v/>
      </c>
      <c r="J851" s="18" t="str">
        <f aca="false">IF($B851="","",$B851-WEEKDAY($B851,2)+1)</f>
        <v/>
      </c>
      <c r="K851" s="28" t="str">
        <f aca="false">IF(OR($I851="",$I851="?",$D851&lt;&gt;"Advance",$B851=""),"",$I851&amp;"|"&amp;$J851&amp;"|"&amp;COUNTIFS($I$6:$I851,$I851,$J$6:$J851,$J851,$D$6:$D851,"Advance"))</f>
        <v/>
      </c>
      <c r="L851" s="29" t="str">
        <f aca="false">IF(OR($I851="",$I851="?",$B851=""),"",SUMPRODUCT((Weeks!$A$6:$A$58&lt;=$J851)*(Weeks!$Z$4:$AK$4=$I851)*Weeks!$Z$6:$AK$58)-SUMIFS($E$6:$E$1005,$I$6:$I$1005,$I851,$B$6:$B$1005,"&lt;="&amp;$B851))</f>
        <v/>
      </c>
      <c r="M851" s="19" t="str">
        <f aca="false">IF($B851&amp;$C851&amp;$D851&amp;$E851="","",IF($B851="","missing date",IF($C851="","missing worker",IF($I851="?","unknown worker - was the name changed on Workers?",IF($D851="","missing type",IF(N($E851)=0,"missing amount",IF(AND($E851&lt;0,$D851&lt;&gt;"Correction"),"negative amount - use a Correction to undo",IF(OR($B851&lt;Weeks!$A$6,$B851&gt;Weeks!$B$58),"date outside this workbook's year",IF(AND($D851="Advance",N($L851)&lt;0),"Warning: more than earned so far - worker now owes "&amp;ROUND(-$L851,0),"")))))))))</f>
        <v/>
      </c>
    </row>
    <row r="852" customFormat="false" ht="15" hidden="false" customHeight="false" outlineLevel="0" collapsed="false">
      <c r="A852" s="24" t="str">
        <f aca="false">IF($B852="","",ROW()-5)</f>
        <v/>
      </c>
      <c r="B852" s="25"/>
      <c r="C852" s="20"/>
      <c r="D852" s="26"/>
      <c r="E852" s="27"/>
      <c r="F852" s="20"/>
      <c r="G852" s="20"/>
      <c r="H852" s="26"/>
      <c r="I852" s="24" t="str">
        <f aca="false">IF($C852="","",IFERROR(INDEX(WorkerIDs,MATCH($C852,WorkerNames,0)),"?"))</f>
        <v/>
      </c>
      <c r="J852" s="18" t="str">
        <f aca="false">IF($B852="","",$B852-WEEKDAY($B852,2)+1)</f>
        <v/>
      </c>
      <c r="K852" s="28" t="str">
        <f aca="false">IF(OR($I852="",$I852="?",$D852&lt;&gt;"Advance",$B852=""),"",$I852&amp;"|"&amp;$J852&amp;"|"&amp;COUNTIFS($I$6:$I852,$I852,$J$6:$J852,$J852,$D$6:$D852,"Advance"))</f>
        <v/>
      </c>
      <c r="L852" s="29" t="str">
        <f aca="false">IF(OR($I852="",$I852="?",$B852=""),"",SUMPRODUCT((Weeks!$A$6:$A$58&lt;=$J852)*(Weeks!$Z$4:$AK$4=$I852)*Weeks!$Z$6:$AK$58)-SUMIFS($E$6:$E$1005,$I$6:$I$1005,$I852,$B$6:$B$1005,"&lt;="&amp;$B852))</f>
        <v/>
      </c>
      <c r="M852" s="19" t="str">
        <f aca="false">IF($B852&amp;$C852&amp;$D852&amp;$E852="","",IF($B852="","missing date",IF($C852="","missing worker",IF($I852="?","unknown worker - was the name changed on Workers?",IF($D852="","missing type",IF(N($E852)=0,"missing amount",IF(AND($E852&lt;0,$D852&lt;&gt;"Correction"),"negative amount - use a Correction to undo",IF(OR($B852&lt;Weeks!$A$6,$B852&gt;Weeks!$B$58),"date outside this workbook's year",IF(AND($D852="Advance",N($L852)&lt;0),"Warning: more than earned so far - worker now owes "&amp;ROUND(-$L852,0),"")))))))))</f>
        <v/>
      </c>
    </row>
    <row r="853" customFormat="false" ht="15" hidden="false" customHeight="false" outlineLevel="0" collapsed="false">
      <c r="A853" s="24" t="str">
        <f aca="false">IF($B853="","",ROW()-5)</f>
        <v/>
      </c>
      <c r="B853" s="25"/>
      <c r="C853" s="20"/>
      <c r="D853" s="26"/>
      <c r="E853" s="27"/>
      <c r="F853" s="20"/>
      <c r="G853" s="20"/>
      <c r="H853" s="26"/>
      <c r="I853" s="24" t="str">
        <f aca="false">IF($C853="","",IFERROR(INDEX(WorkerIDs,MATCH($C853,WorkerNames,0)),"?"))</f>
        <v/>
      </c>
      <c r="J853" s="18" t="str">
        <f aca="false">IF($B853="","",$B853-WEEKDAY($B853,2)+1)</f>
        <v/>
      </c>
      <c r="K853" s="28" t="str">
        <f aca="false">IF(OR($I853="",$I853="?",$D853&lt;&gt;"Advance",$B853=""),"",$I853&amp;"|"&amp;$J853&amp;"|"&amp;COUNTIFS($I$6:$I853,$I853,$J$6:$J853,$J853,$D$6:$D853,"Advance"))</f>
        <v/>
      </c>
      <c r="L853" s="29" t="str">
        <f aca="false">IF(OR($I853="",$I853="?",$B853=""),"",SUMPRODUCT((Weeks!$A$6:$A$58&lt;=$J853)*(Weeks!$Z$4:$AK$4=$I853)*Weeks!$Z$6:$AK$58)-SUMIFS($E$6:$E$1005,$I$6:$I$1005,$I853,$B$6:$B$1005,"&lt;="&amp;$B853))</f>
        <v/>
      </c>
      <c r="M853" s="19" t="str">
        <f aca="false">IF($B853&amp;$C853&amp;$D853&amp;$E853="","",IF($B853="","missing date",IF($C853="","missing worker",IF($I853="?","unknown worker - was the name changed on Workers?",IF($D853="","missing type",IF(N($E853)=0,"missing amount",IF(AND($E853&lt;0,$D853&lt;&gt;"Correction"),"negative amount - use a Correction to undo",IF(OR($B853&lt;Weeks!$A$6,$B853&gt;Weeks!$B$58),"date outside this workbook's year",IF(AND($D853="Advance",N($L853)&lt;0),"Warning: more than earned so far - worker now owes "&amp;ROUND(-$L853,0),"")))))))))</f>
        <v/>
      </c>
    </row>
    <row r="854" customFormat="false" ht="15" hidden="false" customHeight="false" outlineLevel="0" collapsed="false">
      <c r="A854" s="24" t="str">
        <f aca="false">IF($B854="","",ROW()-5)</f>
        <v/>
      </c>
      <c r="B854" s="25"/>
      <c r="C854" s="20"/>
      <c r="D854" s="26"/>
      <c r="E854" s="27"/>
      <c r="F854" s="20"/>
      <c r="G854" s="20"/>
      <c r="H854" s="26"/>
      <c r="I854" s="24" t="str">
        <f aca="false">IF($C854="","",IFERROR(INDEX(WorkerIDs,MATCH($C854,WorkerNames,0)),"?"))</f>
        <v/>
      </c>
      <c r="J854" s="18" t="str">
        <f aca="false">IF($B854="","",$B854-WEEKDAY($B854,2)+1)</f>
        <v/>
      </c>
      <c r="K854" s="28" t="str">
        <f aca="false">IF(OR($I854="",$I854="?",$D854&lt;&gt;"Advance",$B854=""),"",$I854&amp;"|"&amp;$J854&amp;"|"&amp;COUNTIFS($I$6:$I854,$I854,$J$6:$J854,$J854,$D$6:$D854,"Advance"))</f>
        <v/>
      </c>
      <c r="L854" s="29" t="str">
        <f aca="false">IF(OR($I854="",$I854="?",$B854=""),"",SUMPRODUCT((Weeks!$A$6:$A$58&lt;=$J854)*(Weeks!$Z$4:$AK$4=$I854)*Weeks!$Z$6:$AK$58)-SUMIFS($E$6:$E$1005,$I$6:$I$1005,$I854,$B$6:$B$1005,"&lt;="&amp;$B854))</f>
        <v/>
      </c>
      <c r="M854" s="19" t="str">
        <f aca="false">IF($B854&amp;$C854&amp;$D854&amp;$E854="","",IF($B854="","missing date",IF($C854="","missing worker",IF($I854="?","unknown worker - was the name changed on Workers?",IF($D854="","missing type",IF(N($E854)=0,"missing amount",IF(AND($E854&lt;0,$D854&lt;&gt;"Correction"),"negative amount - use a Correction to undo",IF(OR($B854&lt;Weeks!$A$6,$B854&gt;Weeks!$B$58),"date outside this workbook's year",IF(AND($D854="Advance",N($L854)&lt;0),"Warning: more than earned so far - worker now owes "&amp;ROUND(-$L854,0),"")))))))))</f>
        <v/>
      </c>
    </row>
    <row r="855" customFormat="false" ht="15" hidden="false" customHeight="false" outlineLevel="0" collapsed="false">
      <c r="A855" s="24" t="str">
        <f aca="false">IF($B855="","",ROW()-5)</f>
        <v/>
      </c>
      <c r="B855" s="25"/>
      <c r="C855" s="20"/>
      <c r="D855" s="26"/>
      <c r="E855" s="27"/>
      <c r="F855" s="20"/>
      <c r="G855" s="20"/>
      <c r="H855" s="26"/>
      <c r="I855" s="24" t="str">
        <f aca="false">IF($C855="","",IFERROR(INDEX(WorkerIDs,MATCH($C855,WorkerNames,0)),"?"))</f>
        <v/>
      </c>
      <c r="J855" s="18" t="str">
        <f aca="false">IF($B855="","",$B855-WEEKDAY($B855,2)+1)</f>
        <v/>
      </c>
      <c r="K855" s="28" t="str">
        <f aca="false">IF(OR($I855="",$I855="?",$D855&lt;&gt;"Advance",$B855=""),"",$I855&amp;"|"&amp;$J855&amp;"|"&amp;COUNTIFS($I$6:$I855,$I855,$J$6:$J855,$J855,$D$6:$D855,"Advance"))</f>
        <v/>
      </c>
      <c r="L855" s="29" t="str">
        <f aca="false">IF(OR($I855="",$I855="?",$B855=""),"",SUMPRODUCT((Weeks!$A$6:$A$58&lt;=$J855)*(Weeks!$Z$4:$AK$4=$I855)*Weeks!$Z$6:$AK$58)-SUMIFS($E$6:$E$1005,$I$6:$I$1005,$I855,$B$6:$B$1005,"&lt;="&amp;$B855))</f>
        <v/>
      </c>
      <c r="M855" s="19" t="str">
        <f aca="false">IF($B855&amp;$C855&amp;$D855&amp;$E855="","",IF($B855="","missing date",IF($C855="","missing worker",IF($I855="?","unknown worker - was the name changed on Workers?",IF($D855="","missing type",IF(N($E855)=0,"missing amount",IF(AND($E855&lt;0,$D855&lt;&gt;"Correction"),"negative amount - use a Correction to undo",IF(OR($B855&lt;Weeks!$A$6,$B855&gt;Weeks!$B$58),"date outside this workbook's year",IF(AND($D855="Advance",N($L855)&lt;0),"Warning: more than earned so far - worker now owes "&amp;ROUND(-$L855,0),"")))))))))</f>
        <v/>
      </c>
    </row>
    <row r="856" customFormat="false" ht="15" hidden="false" customHeight="false" outlineLevel="0" collapsed="false">
      <c r="A856" s="24" t="str">
        <f aca="false">IF($B856="","",ROW()-5)</f>
        <v/>
      </c>
      <c r="B856" s="25"/>
      <c r="C856" s="20"/>
      <c r="D856" s="26"/>
      <c r="E856" s="27"/>
      <c r="F856" s="20"/>
      <c r="G856" s="20"/>
      <c r="H856" s="26"/>
      <c r="I856" s="24" t="str">
        <f aca="false">IF($C856="","",IFERROR(INDEX(WorkerIDs,MATCH($C856,WorkerNames,0)),"?"))</f>
        <v/>
      </c>
      <c r="J856" s="18" t="str">
        <f aca="false">IF($B856="","",$B856-WEEKDAY($B856,2)+1)</f>
        <v/>
      </c>
      <c r="K856" s="28" t="str">
        <f aca="false">IF(OR($I856="",$I856="?",$D856&lt;&gt;"Advance",$B856=""),"",$I856&amp;"|"&amp;$J856&amp;"|"&amp;COUNTIFS($I$6:$I856,$I856,$J$6:$J856,$J856,$D$6:$D856,"Advance"))</f>
        <v/>
      </c>
      <c r="L856" s="29" t="str">
        <f aca="false">IF(OR($I856="",$I856="?",$B856=""),"",SUMPRODUCT((Weeks!$A$6:$A$58&lt;=$J856)*(Weeks!$Z$4:$AK$4=$I856)*Weeks!$Z$6:$AK$58)-SUMIFS($E$6:$E$1005,$I$6:$I$1005,$I856,$B$6:$B$1005,"&lt;="&amp;$B856))</f>
        <v/>
      </c>
      <c r="M856" s="19" t="str">
        <f aca="false">IF($B856&amp;$C856&amp;$D856&amp;$E856="","",IF($B856="","missing date",IF($C856="","missing worker",IF($I856="?","unknown worker - was the name changed on Workers?",IF($D856="","missing type",IF(N($E856)=0,"missing amount",IF(AND($E856&lt;0,$D856&lt;&gt;"Correction"),"negative amount - use a Correction to undo",IF(OR($B856&lt;Weeks!$A$6,$B856&gt;Weeks!$B$58),"date outside this workbook's year",IF(AND($D856="Advance",N($L856)&lt;0),"Warning: more than earned so far - worker now owes "&amp;ROUND(-$L856,0),"")))))))))</f>
        <v/>
      </c>
    </row>
    <row r="857" customFormat="false" ht="15" hidden="false" customHeight="false" outlineLevel="0" collapsed="false">
      <c r="A857" s="24" t="str">
        <f aca="false">IF($B857="","",ROW()-5)</f>
        <v/>
      </c>
      <c r="B857" s="25"/>
      <c r="C857" s="20"/>
      <c r="D857" s="26"/>
      <c r="E857" s="27"/>
      <c r="F857" s="20"/>
      <c r="G857" s="20"/>
      <c r="H857" s="26"/>
      <c r="I857" s="24" t="str">
        <f aca="false">IF($C857="","",IFERROR(INDEX(WorkerIDs,MATCH($C857,WorkerNames,0)),"?"))</f>
        <v/>
      </c>
      <c r="J857" s="18" t="str">
        <f aca="false">IF($B857="","",$B857-WEEKDAY($B857,2)+1)</f>
        <v/>
      </c>
      <c r="K857" s="28" t="str">
        <f aca="false">IF(OR($I857="",$I857="?",$D857&lt;&gt;"Advance",$B857=""),"",$I857&amp;"|"&amp;$J857&amp;"|"&amp;COUNTIFS($I$6:$I857,$I857,$J$6:$J857,$J857,$D$6:$D857,"Advance"))</f>
        <v/>
      </c>
      <c r="L857" s="29" t="str">
        <f aca="false">IF(OR($I857="",$I857="?",$B857=""),"",SUMPRODUCT((Weeks!$A$6:$A$58&lt;=$J857)*(Weeks!$Z$4:$AK$4=$I857)*Weeks!$Z$6:$AK$58)-SUMIFS($E$6:$E$1005,$I$6:$I$1005,$I857,$B$6:$B$1005,"&lt;="&amp;$B857))</f>
        <v/>
      </c>
      <c r="M857" s="19" t="str">
        <f aca="false">IF($B857&amp;$C857&amp;$D857&amp;$E857="","",IF($B857="","missing date",IF($C857="","missing worker",IF($I857="?","unknown worker - was the name changed on Workers?",IF($D857="","missing type",IF(N($E857)=0,"missing amount",IF(AND($E857&lt;0,$D857&lt;&gt;"Correction"),"negative amount - use a Correction to undo",IF(OR($B857&lt;Weeks!$A$6,$B857&gt;Weeks!$B$58),"date outside this workbook's year",IF(AND($D857="Advance",N($L857)&lt;0),"Warning: more than earned so far - worker now owes "&amp;ROUND(-$L857,0),"")))))))))</f>
        <v/>
      </c>
    </row>
    <row r="858" customFormat="false" ht="15" hidden="false" customHeight="false" outlineLevel="0" collapsed="false">
      <c r="A858" s="24" t="str">
        <f aca="false">IF($B858="","",ROW()-5)</f>
        <v/>
      </c>
      <c r="B858" s="25"/>
      <c r="C858" s="20"/>
      <c r="D858" s="26"/>
      <c r="E858" s="27"/>
      <c r="F858" s="20"/>
      <c r="G858" s="20"/>
      <c r="H858" s="26"/>
      <c r="I858" s="24" t="str">
        <f aca="false">IF($C858="","",IFERROR(INDEX(WorkerIDs,MATCH($C858,WorkerNames,0)),"?"))</f>
        <v/>
      </c>
      <c r="J858" s="18" t="str">
        <f aca="false">IF($B858="","",$B858-WEEKDAY($B858,2)+1)</f>
        <v/>
      </c>
      <c r="K858" s="28" t="str">
        <f aca="false">IF(OR($I858="",$I858="?",$D858&lt;&gt;"Advance",$B858=""),"",$I858&amp;"|"&amp;$J858&amp;"|"&amp;COUNTIFS($I$6:$I858,$I858,$J$6:$J858,$J858,$D$6:$D858,"Advance"))</f>
        <v/>
      </c>
      <c r="L858" s="29" t="str">
        <f aca="false">IF(OR($I858="",$I858="?",$B858=""),"",SUMPRODUCT((Weeks!$A$6:$A$58&lt;=$J858)*(Weeks!$Z$4:$AK$4=$I858)*Weeks!$Z$6:$AK$58)-SUMIFS($E$6:$E$1005,$I$6:$I$1005,$I858,$B$6:$B$1005,"&lt;="&amp;$B858))</f>
        <v/>
      </c>
      <c r="M858" s="19" t="str">
        <f aca="false">IF($B858&amp;$C858&amp;$D858&amp;$E858="","",IF($B858="","missing date",IF($C858="","missing worker",IF($I858="?","unknown worker - was the name changed on Workers?",IF($D858="","missing type",IF(N($E858)=0,"missing amount",IF(AND($E858&lt;0,$D858&lt;&gt;"Correction"),"negative amount - use a Correction to undo",IF(OR($B858&lt;Weeks!$A$6,$B858&gt;Weeks!$B$58),"date outside this workbook's year",IF(AND($D858="Advance",N($L858)&lt;0),"Warning: more than earned so far - worker now owes "&amp;ROUND(-$L858,0),"")))))))))</f>
        <v/>
      </c>
    </row>
    <row r="859" customFormat="false" ht="15" hidden="false" customHeight="false" outlineLevel="0" collapsed="false">
      <c r="A859" s="24" t="str">
        <f aca="false">IF($B859="","",ROW()-5)</f>
        <v/>
      </c>
      <c r="B859" s="25"/>
      <c r="C859" s="20"/>
      <c r="D859" s="26"/>
      <c r="E859" s="27"/>
      <c r="F859" s="20"/>
      <c r="G859" s="20"/>
      <c r="H859" s="26"/>
      <c r="I859" s="24" t="str">
        <f aca="false">IF($C859="","",IFERROR(INDEX(WorkerIDs,MATCH($C859,WorkerNames,0)),"?"))</f>
        <v/>
      </c>
      <c r="J859" s="18" t="str">
        <f aca="false">IF($B859="","",$B859-WEEKDAY($B859,2)+1)</f>
        <v/>
      </c>
      <c r="K859" s="28" t="str">
        <f aca="false">IF(OR($I859="",$I859="?",$D859&lt;&gt;"Advance",$B859=""),"",$I859&amp;"|"&amp;$J859&amp;"|"&amp;COUNTIFS($I$6:$I859,$I859,$J$6:$J859,$J859,$D$6:$D859,"Advance"))</f>
        <v/>
      </c>
      <c r="L859" s="29" t="str">
        <f aca="false">IF(OR($I859="",$I859="?",$B859=""),"",SUMPRODUCT((Weeks!$A$6:$A$58&lt;=$J859)*(Weeks!$Z$4:$AK$4=$I859)*Weeks!$Z$6:$AK$58)-SUMIFS($E$6:$E$1005,$I$6:$I$1005,$I859,$B$6:$B$1005,"&lt;="&amp;$B859))</f>
        <v/>
      </c>
      <c r="M859" s="19" t="str">
        <f aca="false">IF($B859&amp;$C859&amp;$D859&amp;$E859="","",IF($B859="","missing date",IF($C859="","missing worker",IF($I859="?","unknown worker - was the name changed on Workers?",IF($D859="","missing type",IF(N($E859)=0,"missing amount",IF(AND($E859&lt;0,$D859&lt;&gt;"Correction"),"negative amount - use a Correction to undo",IF(OR($B859&lt;Weeks!$A$6,$B859&gt;Weeks!$B$58),"date outside this workbook's year",IF(AND($D859="Advance",N($L859)&lt;0),"Warning: more than earned so far - worker now owes "&amp;ROUND(-$L859,0),"")))))))))</f>
        <v/>
      </c>
    </row>
    <row r="860" customFormat="false" ht="15" hidden="false" customHeight="false" outlineLevel="0" collapsed="false">
      <c r="A860" s="24" t="str">
        <f aca="false">IF($B860="","",ROW()-5)</f>
        <v/>
      </c>
      <c r="B860" s="25"/>
      <c r="C860" s="20"/>
      <c r="D860" s="26"/>
      <c r="E860" s="27"/>
      <c r="F860" s="20"/>
      <c r="G860" s="20"/>
      <c r="H860" s="26"/>
      <c r="I860" s="24" t="str">
        <f aca="false">IF($C860="","",IFERROR(INDEX(WorkerIDs,MATCH($C860,WorkerNames,0)),"?"))</f>
        <v/>
      </c>
      <c r="J860" s="18" t="str">
        <f aca="false">IF($B860="","",$B860-WEEKDAY($B860,2)+1)</f>
        <v/>
      </c>
      <c r="K860" s="28" t="str">
        <f aca="false">IF(OR($I860="",$I860="?",$D860&lt;&gt;"Advance",$B860=""),"",$I860&amp;"|"&amp;$J860&amp;"|"&amp;COUNTIFS($I$6:$I860,$I860,$J$6:$J860,$J860,$D$6:$D860,"Advance"))</f>
        <v/>
      </c>
      <c r="L860" s="29" t="str">
        <f aca="false">IF(OR($I860="",$I860="?",$B860=""),"",SUMPRODUCT((Weeks!$A$6:$A$58&lt;=$J860)*(Weeks!$Z$4:$AK$4=$I860)*Weeks!$Z$6:$AK$58)-SUMIFS($E$6:$E$1005,$I$6:$I$1005,$I860,$B$6:$B$1005,"&lt;="&amp;$B860))</f>
        <v/>
      </c>
      <c r="M860" s="19" t="str">
        <f aca="false">IF($B860&amp;$C860&amp;$D860&amp;$E860="","",IF($B860="","missing date",IF($C860="","missing worker",IF($I860="?","unknown worker - was the name changed on Workers?",IF($D860="","missing type",IF(N($E860)=0,"missing amount",IF(AND($E860&lt;0,$D860&lt;&gt;"Correction"),"negative amount - use a Correction to undo",IF(OR($B860&lt;Weeks!$A$6,$B860&gt;Weeks!$B$58),"date outside this workbook's year",IF(AND($D860="Advance",N($L860)&lt;0),"Warning: more than earned so far - worker now owes "&amp;ROUND(-$L860,0),"")))))))))</f>
        <v/>
      </c>
    </row>
    <row r="861" customFormat="false" ht="15" hidden="false" customHeight="false" outlineLevel="0" collapsed="false">
      <c r="A861" s="24" t="str">
        <f aca="false">IF($B861="","",ROW()-5)</f>
        <v/>
      </c>
      <c r="B861" s="25"/>
      <c r="C861" s="20"/>
      <c r="D861" s="26"/>
      <c r="E861" s="27"/>
      <c r="F861" s="20"/>
      <c r="G861" s="20"/>
      <c r="H861" s="26"/>
      <c r="I861" s="24" t="str">
        <f aca="false">IF($C861="","",IFERROR(INDEX(WorkerIDs,MATCH($C861,WorkerNames,0)),"?"))</f>
        <v/>
      </c>
      <c r="J861" s="18" t="str">
        <f aca="false">IF($B861="","",$B861-WEEKDAY($B861,2)+1)</f>
        <v/>
      </c>
      <c r="K861" s="28" t="str">
        <f aca="false">IF(OR($I861="",$I861="?",$D861&lt;&gt;"Advance",$B861=""),"",$I861&amp;"|"&amp;$J861&amp;"|"&amp;COUNTIFS($I$6:$I861,$I861,$J$6:$J861,$J861,$D$6:$D861,"Advance"))</f>
        <v/>
      </c>
      <c r="L861" s="29" t="str">
        <f aca="false">IF(OR($I861="",$I861="?",$B861=""),"",SUMPRODUCT((Weeks!$A$6:$A$58&lt;=$J861)*(Weeks!$Z$4:$AK$4=$I861)*Weeks!$Z$6:$AK$58)-SUMIFS($E$6:$E$1005,$I$6:$I$1005,$I861,$B$6:$B$1005,"&lt;="&amp;$B861))</f>
        <v/>
      </c>
      <c r="M861" s="19" t="str">
        <f aca="false">IF($B861&amp;$C861&amp;$D861&amp;$E861="","",IF($B861="","missing date",IF($C861="","missing worker",IF($I861="?","unknown worker - was the name changed on Workers?",IF($D861="","missing type",IF(N($E861)=0,"missing amount",IF(AND($E861&lt;0,$D861&lt;&gt;"Correction"),"negative amount - use a Correction to undo",IF(OR($B861&lt;Weeks!$A$6,$B861&gt;Weeks!$B$58),"date outside this workbook's year",IF(AND($D861="Advance",N($L861)&lt;0),"Warning: more than earned so far - worker now owes "&amp;ROUND(-$L861,0),"")))))))))</f>
        <v/>
      </c>
    </row>
    <row r="862" customFormat="false" ht="15" hidden="false" customHeight="false" outlineLevel="0" collapsed="false">
      <c r="A862" s="24" t="str">
        <f aca="false">IF($B862="","",ROW()-5)</f>
        <v/>
      </c>
      <c r="B862" s="25"/>
      <c r="C862" s="20"/>
      <c r="D862" s="26"/>
      <c r="E862" s="27"/>
      <c r="F862" s="20"/>
      <c r="G862" s="20"/>
      <c r="H862" s="26"/>
      <c r="I862" s="24" t="str">
        <f aca="false">IF($C862="","",IFERROR(INDEX(WorkerIDs,MATCH($C862,WorkerNames,0)),"?"))</f>
        <v/>
      </c>
      <c r="J862" s="18" t="str">
        <f aca="false">IF($B862="","",$B862-WEEKDAY($B862,2)+1)</f>
        <v/>
      </c>
      <c r="K862" s="28" t="str">
        <f aca="false">IF(OR($I862="",$I862="?",$D862&lt;&gt;"Advance",$B862=""),"",$I862&amp;"|"&amp;$J862&amp;"|"&amp;COUNTIFS($I$6:$I862,$I862,$J$6:$J862,$J862,$D$6:$D862,"Advance"))</f>
        <v/>
      </c>
      <c r="L862" s="29" t="str">
        <f aca="false">IF(OR($I862="",$I862="?",$B862=""),"",SUMPRODUCT((Weeks!$A$6:$A$58&lt;=$J862)*(Weeks!$Z$4:$AK$4=$I862)*Weeks!$Z$6:$AK$58)-SUMIFS($E$6:$E$1005,$I$6:$I$1005,$I862,$B$6:$B$1005,"&lt;="&amp;$B862))</f>
        <v/>
      </c>
      <c r="M862" s="19" t="str">
        <f aca="false">IF($B862&amp;$C862&amp;$D862&amp;$E862="","",IF($B862="","missing date",IF($C862="","missing worker",IF($I862="?","unknown worker - was the name changed on Workers?",IF($D862="","missing type",IF(N($E862)=0,"missing amount",IF(AND($E862&lt;0,$D862&lt;&gt;"Correction"),"negative amount - use a Correction to undo",IF(OR($B862&lt;Weeks!$A$6,$B862&gt;Weeks!$B$58),"date outside this workbook's year",IF(AND($D862="Advance",N($L862)&lt;0),"Warning: more than earned so far - worker now owes "&amp;ROUND(-$L862,0),"")))))))))</f>
        <v/>
      </c>
    </row>
    <row r="863" customFormat="false" ht="15" hidden="false" customHeight="false" outlineLevel="0" collapsed="false">
      <c r="A863" s="24" t="str">
        <f aca="false">IF($B863="","",ROW()-5)</f>
        <v/>
      </c>
      <c r="B863" s="25"/>
      <c r="C863" s="20"/>
      <c r="D863" s="26"/>
      <c r="E863" s="27"/>
      <c r="F863" s="20"/>
      <c r="G863" s="20"/>
      <c r="H863" s="26"/>
      <c r="I863" s="24" t="str">
        <f aca="false">IF($C863="","",IFERROR(INDEX(WorkerIDs,MATCH($C863,WorkerNames,0)),"?"))</f>
        <v/>
      </c>
      <c r="J863" s="18" t="str">
        <f aca="false">IF($B863="","",$B863-WEEKDAY($B863,2)+1)</f>
        <v/>
      </c>
      <c r="K863" s="28" t="str">
        <f aca="false">IF(OR($I863="",$I863="?",$D863&lt;&gt;"Advance",$B863=""),"",$I863&amp;"|"&amp;$J863&amp;"|"&amp;COUNTIFS($I$6:$I863,$I863,$J$6:$J863,$J863,$D$6:$D863,"Advance"))</f>
        <v/>
      </c>
      <c r="L863" s="29" t="str">
        <f aca="false">IF(OR($I863="",$I863="?",$B863=""),"",SUMPRODUCT((Weeks!$A$6:$A$58&lt;=$J863)*(Weeks!$Z$4:$AK$4=$I863)*Weeks!$Z$6:$AK$58)-SUMIFS($E$6:$E$1005,$I$6:$I$1005,$I863,$B$6:$B$1005,"&lt;="&amp;$B863))</f>
        <v/>
      </c>
      <c r="M863" s="19" t="str">
        <f aca="false">IF($B863&amp;$C863&amp;$D863&amp;$E863="","",IF($B863="","missing date",IF($C863="","missing worker",IF($I863="?","unknown worker - was the name changed on Workers?",IF($D863="","missing type",IF(N($E863)=0,"missing amount",IF(AND($E863&lt;0,$D863&lt;&gt;"Correction"),"negative amount - use a Correction to undo",IF(OR($B863&lt;Weeks!$A$6,$B863&gt;Weeks!$B$58),"date outside this workbook's year",IF(AND($D863="Advance",N($L863)&lt;0),"Warning: more than earned so far - worker now owes "&amp;ROUND(-$L863,0),"")))))))))</f>
        <v/>
      </c>
    </row>
    <row r="864" customFormat="false" ht="15" hidden="false" customHeight="false" outlineLevel="0" collapsed="false">
      <c r="A864" s="24" t="str">
        <f aca="false">IF($B864="","",ROW()-5)</f>
        <v/>
      </c>
      <c r="B864" s="25"/>
      <c r="C864" s="20"/>
      <c r="D864" s="26"/>
      <c r="E864" s="27"/>
      <c r="F864" s="20"/>
      <c r="G864" s="20"/>
      <c r="H864" s="26"/>
      <c r="I864" s="24" t="str">
        <f aca="false">IF($C864="","",IFERROR(INDEX(WorkerIDs,MATCH($C864,WorkerNames,0)),"?"))</f>
        <v/>
      </c>
      <c r="J864" s="18" t="str">
        <f aca="false">IF($B864="","",$B864-WEEKDAY($B864,2)+1)</f>
        <v/>
      </c>
      <c r="K864" s="28" t="str">
        <f aca="false">IF(OR($I864="",$I864="?",$D864&lt;&gt;"Advance",$B864=""),"",$I864&amp;"|"&amp;$J864&amp;"|"&amp;COUNTIFS($I$6:$I864,$I864,$J$6:$J864,$J864,$D$6:$D864,"Advance"))</f>
        <v/>
      </c>
      <c r="L864" s="29" t="str">
        <f aca="false">IF(OR($I864="",$I864="?",$B864=""),"",SUMPRODUCT((Weeks!$A$6:$A$58&lt;=$J864)*(Weeks!$Z$4:$AK$4=$I864)*Weeks!$Z$6:$AK$58)-SUMIFS($E$6:$E$1005,$I$6:$I$1005,$I864,$B$6:$B$1005,"&lt;="&amp;$B864))</f>
        <v/>
      </c>
      <c r="M864" s="19" t="str">
        <f aca="false">IF($B864&amp;$C864&amp;$D864&amp;$E864="","",IF($B864="","missing date",IF($C864="","missing worker",IF($I864="?","unknown worker - was the name changed on Workers?",IF($D864="","missing type",IF(N($E864)=0,"missing amount",IF(AND($E864&lt;0,$D864&lt;&gt;"Correction"),"negative amount - use a Correction to undo",IF(OR($B864&lt;Weeks!$A$6,$B864&gt;Weeks!$B$58),"date outside this workbook's year",IF(AND($D864="Advance",N($L864)&lt;0),"Warning: more than earned so far - worker now owes "&amp;ROUND(-$L864,0),"")))))))))</f>
        <v/>
      </c>
    </row>
    <row r="865" customFormat="false" ht="15" hidden="false" customHeight="false" outlineLevel="0" collapsed="false">
      <c r="A865" s="24" t="str">
        <f aca="false">IF($B865="","",ROW()-5)</f>
        <v/>
      </c>
      <c r="B865" s="25"/>
      <c r="C865" s="20"/>
      <c r="D865" s="26"/>
      <c r="E865" s="27"/>
      <c r="F865" s="20"/>
      <c r="G865" s="20"/>
      <c r="H865" s="26"/>
      <c r="I865" s="24" t="str">
        <f aca="false">IF($C865="","",IFERROR(INDEX(WorkerIDs,MATCH($C865,WorkerNames,0)),"?"))</f>
        <v/>
      </c>
      <c r="J865" s="18" t="str">
        <f aca="false">IF($B865="","",$B865-WEEKDAY($B865,2)+1)</f>
        <v/>
      </c>
      <c r="K865" s="28" t="str">
        <f aca="false">IF(OR($I865="",$I865="?",$D865&lt;&gt;"Advance",$B865=""),"",$I865&amp;"|"&amp;$J865&amp;"|"&amp;COUNTIFS($I$6:$I865,$I865,$J$6:$J865,$J865,$D$6:$D865,"Advance"))</f>
        <v/>
      </c>
      <c r="L865" s="29" t="str">
        <f aca="false">IF(OR($I865="",$I865="?",$B865=""),"",SUMPRODUCT((Weeks!$A$6:$A$58&lt;=$J865)*(Weeks!$Z$4:$AK$4=$I865)*Weeks!$Z$6:$AK$58)-SUMIFS($E$6:$E$1005,$I$6:$I$1005,$I865,$B$6:$B$1005,"&lt;="&amp;$B865))</f>
        <v/>
      </c>
      <c r="M865" s="19" t="str">
        <f aca="false">IF($B865&amp;$C865&amp;$D865&amp;$E865="","",IF($B865="","missing date",IF($C865="","missing worker",IF($I865="?","unknown worker - was the name changed on Workers?",IF($D865="","missing type",IF(N($E865)=0,"missing amount",IF(AND($E865&lt;0,$D865&lt;&gt;"Correction"),"negative amount - use a Correction to undo",IF(OR($B865&lt;Weeks!$A$6,$B865&gt;Weeks!$B$58),"date outside this workbook's year",IF(AND($D865="Advance",N($L865)&lt;0),"Warning: more than earned so far - worker now owes "&amp;ROUND(-$L865,0),"")))))))))</f>
        <v/>
      </c>
    </row>
    <row r="866" customFormat="false" ht="15" hidden="false" customHeight="false" outlineLevel="0" collapsed="false">
      <c r="A866" s="24" t="str">
        <f aca="false">IF($B866="","",ROW()-5)</f>
        <v/>
      </c>
      <c r="B866" s="25"/>
      <c r="C866" s="20"/>
      <c r="D866" s="26"/>
      <c r="E866" s="27"/>
      <c r="F866" s="20"/>
      <c r="G866" s="20"/>
      <c r="H866" s="26"/>
      <c r="I866" s="24" t="str">
        <f aca="false">IF($C866="","",IFERROR(INDEX(WorkerIDs,MATCH($C866,WorkerNames,0)),"?"))</f>
        <v/>
      </c>
      <c r="J866" s="18" t="str">
        <f aca="false">IF($B866="","",$B866-WEEKDAY($B866,2)+1)</f>
        <v/>
      </c>
      <c r="K866" s="28" t="str">
        <f aca="false">IF(OR($I866="",$I866="?",$D866&lt;&gt;"Advance",$B866=""),"",$I866&amp;"|"&amp;$J866&amp;"|"&amp;COUNTIFS($I$6:$I866,$I866,$J$6:$J866,$J866,$D$6:$D866,"Advance"))</f>
        <v/>
      </c>
      <c r="L866" s="29" t="str">
        <f aca="false">IF(OR($I866="",$I866="?",$B866=""),"",SUMPRODUCT((Weeks!$A$6:$A$58&lt;=$J866)*(Weeks!$Z$4:$AK$4=$I866)*Weeks!$Z$6:$AK$58)-SUMIFS($E$6:$E$1005,$I$6:$I$1005,$I866,$B$6:$B$1005,"&lt;="&amp;$B866))</f>
        <v/>
      </c>
      <c r="M866" s="19" t="str">
        <f aca="false">IF($B866&amp;$C866&amp;$D866&amp;$E866="","",IF($B866="","missing date",IF($C866="","missing worker",IF($I866="?","unknown worker - was the name changed on Workers?",IF($D866="","missing type",IF(N($E866)=0,"missing amount",IF(AND($E866&lt;0,$D866&lt;&gt;"Correction"),"negative amount - use a Correction to undo",IF(OR($B866&lt;Weeks!$A$6,$B866&gt;Weeks!$B$58),"date outside this workbook's year",IF(AND($D866="Advance",N($L866)&lt;0),"Warning: more than earned so far - worker now owes "&amp;ROUND(-$L866,0),"")))))))))</f>
        <v/>
      </c>
    </row>
    <row r="867" customFormat="false" ht="15" hidden="false" customHeight="false" outlineLevel="0" collapsed="false">
      <c r="A867" s="24" t="str">
        <f aca="false">IF($B867="","",ROW()-5)</f>
        <v/>
      </c>
      <c r="B867" s="25"/>
      <c r="C867" s="20"/>
      <c r="D867" s="26"/>
      <c r="E867" s="27"/>
      <c r="F867" s="20"/>
      <c r="G867" s="20"/>
      <c r="H867" s="26"/>
      <c r="I867" s="24" t="str">
        <f aca="false">IF($C867="","",IFERROR(INDEX(WorkerIDs,MATCH($C867,WorkerNames,0)),"?"))</f>
        <v/>
      </c>
      <c r="J867" s="18" t="str">
        <f aca="false">IF($B867="","",$B867-WEEKDAY($B867,2)+1)</f>
        <v/>
      </c>
      <c r="K867" s="28" t="str">
        <f aca="false">IF(OR($I867="",$I867="?",$D867&lt;&gt;"Advance",$B867=""),"",$I867&amp;"|"&amp;$J867&amp;"|"&amp;COUNTIFS($I$6:$I867,$I867,$J$6:$J867,$J867,$D$6:$D867,"Advance"))</f>
        <v/>
      </c>
      <c r="L867" s="29" t="str">
        <f aca="false">IF(OR($I867="",$I867="?",$B867=""),"",SUMPRODUCT((Weeks!$A$6:$A$58&lt;=$J867)*(Weeks!$Z$4:$AK$4=$I867)*Weeks!$Z$6:$AK$58)-SUMIFS($E$6:$E$1005,$I$6:$I$1005,$I867,$B$6:$B$1005,"&lt;="&amp;$B867))</f>
        <v/>
      </c>
      <c r="M867" s="19" t="str">
        <f aca="false">IF($B867&amp;$C867&amp;$D867&amp;$E867="","",IF($B867="","missing date",IF($C867="","missing worker",IF($I867="?","unknown worker - was the name changed on Workers?",IF($D867="","missing type",IF(N($E867)=0,"missing amount",IF(AND($E867&lt;0,$D867&lt;&gt;"Correction"),"negative amount - use a Correction to undo",IF(OR($B867&lt;Weeks!$A$6,$B867&gt;Weeks!$B$58),"date outside this workbook's year",IF(AND($D867="Advance",N($L867)&lt;0),"Warning: more than earned so far - worker now owes "&amp;ROUND(-$L867,0),"")))))))))</f>
        <v/>
      </c>
    </row>
    <row r="868" customFormat="false" ht="15" hidden="false" customHeight="false" outlineLevel="0" collapsed="false">
      <c r="A868" s="24" t="str">
        <f aca="false">IF($B868="","",ROW()-5)</f>
        <v/>
      </c>
      <c r="B868" s="25"/>
      <c r="C868" s="20"/>
      <c r="D868" s="26"/>
      <c r="E868" s="27"/>
      <c r="F868" s="20"/>
      <c r="G868" s="20"/>
      <c r="H868" s="26"/>
      <c r="I868" s="24" t="str">
        <f aca="false">IF($C868="","",IFERROR(INDEX(WorkerIDs,MATCH($C868,WorkerNames,0)),"?"))</f>
        <v/>
      </c>
      <c r="J868" s="18" t="str">
        <f aca="false">IF($B868="","",$B868-WEEKDAY($B868,2)+1)</f>
        <v/>
      </c>
      <c r="K868" s="28" t="str">
        <f aca="false">IF(OR($I868="",$I868="?",$D868&lt;&gt;"Advance",$B868=""),"",$I868&amp;"|"&amp;$J868&amp;"|"&amp;COUNTIFS($I$6:$I868,$I868,$J$6:$J868,$J868,$D$6:$D868,"Advance"))</f>
        <v/>
      </c>
      <c r="L868" s="29" t="str">
        <f aca="false">IF(OR($I868="",$I868="?",$B868=""),"",SUMPRODUCT((Weeks!$A$6:$A$58&lt;=$J868)*(Weeks!$Z$4:$AK$4=$I868)*Weeks!$Z$6:$AK$58)-SUMIFS($E$6:$E$1005,$I$6:$I$1005,$I868,$B$6:$B$1005,"&lt;="&amp;$B868))</f>
        <v/>
      </c>
      <c r="M868" s="19" t="str">
        <f aca="false">IF($B868&amp;$C868&amp;$D868&amp;$E868="","",IF($B868="","missing date",IF($C868="","missing worker",IF($I868="?","unknown worker - was the name changed on Workers?",IF($D868="","missing type",IF(N($E868)=0,"missing amount",IF(AND($E868&lt;0,$D868&lt;&gt;"Correction"),"negative amount - use a Correction to undo",IF(OR($B868&lt;Weeks!$A$6,$B868&gt;Weeks!$B$58),"date outside this workbook's year",IF(AND($D868="Advance",N($L868)&lt;0),"Warning: more than earned so far - worker now owes "&amp;ROUND(-$L868,0),"")))))))))</f>
        <v/>
      </c>
    </row>
    <row r="869" customFormat="false" ht="15" hidden="false" customHeight="false" outlineLevel="0" collapsed="false">
      <c r="A869" s="24" t="str">
        <f aca="false">IF($B869="","",ROW()-5)</f>
        <v/>
      </c>
      <c r="B869" s="25"/>
      <c r="C869" s="20"/>
      <c r="D869" s="26"/>
      <c r="E869" s="27"/>
      <c r="F869" s="20"/>
      <c r="G869" s="20"/>
      <c r="H869" s="26"/>
      <c r="I869" s="24" t="str">
        <f aca="false">IF($C869="","",IFERROR(INDEX(WorkerIDs,MATCH($C869,WorkerNames,0)),"?"))</f>
        <v/>
      </c>
      <c r="J869" s="18" t="str">
        <f aca="false">IF($B869="","",$B869-WEEKDAY($B869,2)+1)</f>
        <v/>
      </c>
      <c r="K869" s="28" t="str">
        <f aca="false">IF(OR($I869="",$I869="?",$D869&lt;&gt;"Advance",$B869=""),"",$I869&amp;"|"&amp;$J869&amp;"|"&amp;COUNTIFS($I$6:$I869,$I869,$J$6:$J869,$J869,$D$6:$D869,"Advance"))</f>
        <v/>
      </c>
      <c r="L869" s="29" t="str">
        <f aca="false">IF(OR($I869="",$I869="?",$B869=""),"",SUMPRODUCT((Weeks!$A$6:$A$58&lt;=$J869)*(Weeks!$Z$4:$AK$4=$I869)*Weeks!$Z$6:$AK$58)-SUMIFS($E$6:$E$1005,$I$6:$I$1005,$I869,$B$6:$B$1005,"&lt;="&amp;$B869))</f>
        <v/>
      </c>
      <c r="M869" s="19" t="str">
        <f aca="false">IF($B869&amp;$C869&amp;$D869&amp;$E869="","",IF($B869="","missing date",IF($C869="","missing worker",IF($I869="?","unknown worker - was the name changed on Workers?",IF($D869="","missing type",IF(N($E869)=0,"missing amount",IF(AND($E869&lt;0,$D869&lt;&gt;"Correction"),"negative amount - use a Correction to undo",IF(OR($B869&lt;Weeks!$A$6,$B869&gt;Weeks!$B$58),"date outside this workbook's year",IF(AND($D869="Advance",N($L869)&lt;0),"Warning: more than earned so far - worker now owes "&amp;ROUND(-$L869,0),"")))))))))</f>
        <v/>
      </c>
    </row>
    <row r="870" customFormat="false" ht="15" hidden="false" customHeight="false" outlineLevel="0" collapsed="false">
      <c r="A870" s="24" t="str">
        <f aca="false">IF($B870="","",ROW()-5)</f>
        <v/>
      </c>
      <c r="B870" s="25"/>
      <c r="C870" s="20"/>
      <c r="D870" s="26"/>
      <c r="E870" s="27"/>
      <c r="F870" s="20"/>
      <c r="G870" s="20"/>
      <c r="H870" s="26"/>
      <c r="I870" s="24" t="str">
        <f aca="false">IF($C870="","",IFERROR(INDEX(WorkerIDs,MATCH($C870,WorkerNames,0)),"?"))</f>
        <v/>
      </c>
      <c r="J870" s="18" t="str">
        <f aca="false">IF($B870="","",$B870-WEEKDAY($B870,2)+1)</f>
        <v/>
      </c>
      <c r="K870" s="28" t="str">
        <f aca="false">IF(OR($I870="",$I870="?",$D870&lt;&gt;"Advance",$B870=""),"",$I870&amp;"|"&amp;$J870&amp;"|"&amp;COUNTIFS($I$6:$I870,$I870,$J$6:$J870,$J870,$D$6:$D870,"Advance"))</f>
        <v/>
      </c>
      <c r="L870" s="29" t="str">
        <f aca="false">IF(OR($I870="",$I870="?",$B870=""),"",SUMPRODUCT((Weeks!$A$6:$A$58&lt;=$J870)*(Weeks!$Z$4:$AK$4=$I870)*Weeks!$Z$6:$AK$58)-SUMIFS($E$6:$E$1005,$I$6:$I$1005,$I870,$B$6:$B$1005,"&lt;="&amp;$B870))</f>
        <v/>
      </c>
      <c r="M870" s="19" t="str">
        <f aca="false">IF($B870&amp;$C870&amp;$D870&amp;$E870="","",IF($B870="","missing date",IF($C870="","missing worker",IF($I870="?","unknown worker - was the name changed on Workers?",IF($D870="","missing type",IF(N($E870)=0,"missing amount",IF(AND($E870&lt;0,$D870&lt;&gt;"Correction"),"negative amount - use a Correction to undo",IF(OR($B870&lt;Weeks!$A$6,$B870&gt;Weeks!$B$58),"date outside this workbook's year",IF(AND($D870="Advance",N($L870)&lt;0),"Warning: more than earned so far - worker now owes "&amp;ROUND(-$L870,0),"")))))))))</f>
        <v/>
      </c>
    </row>
    <row r="871" customFormat="false" ht="15" hidden="false" customHeight="false" outlineLevel="0" collapsed="false">
      <c r="A871" s="24" t="str">
        <f aca="false">IF($B871="","",ROW()-5)</f>
        <v/>
      </c>
      <c r="B871" s="25"/>
      <c r="C871" s="20"/>
      <c r="D871" s="26"/>
      <c r="E871" s="27"/>
      <c r="F871" s="20"/>
      <c r="G871" s="20"/>
      <c r="H871" s="26"/>
      <c r="I871" s="24" t="str">
        <f aca="false">IF($C871="","",IFERROR(INDEX(WorkerIDs,MATCH($C871,WorkerNames,0)),"?"))</f>
        <v/>
      </c>
      <c r="J871" s="18" t="str">
        <f aca="false">IF($B871="","",$B871-WEEKDAY($B871,2)+1)</f>
        <v/>
      </c>
      <c r="K871" s="28" t="str">
        <f aca="false">IF(OR($I871="",$I871="?",$D871&lt;&gt;"Advance",$B871=""),"",$I871&amp;"|"&amp;$J871&amp;"|"&amp;COUNTIFS($I$6:$I871,$I871,$J$6:$J871,$J871,$D$6:$D871,"Advance"))</f>
        <v/>
      </c>
      <c r="L871" s="29" t="str">
        <f aca="false">IF(OR($I871="",$I871="?",$B871=""),"",SUMPRODUCT((Weeks!$A$6:$A$58&lt;=$J871)*(Weeks!$Z$4:$AK$4=$I871)*Weeks!$Z$6:$AK$58)-SUMIFS($E$6:$E$1005,$I$6:$I$1005,$I871,$B$6:$B$1005,"&lt;="&amp;$B871))</f>
        <v/>
      </c>
      <c r="M871" s="19" t="str">
        <f aca="false">IF($B871&amp;$C871&amp;$D871&amp;$E871="","",IF($B871="","missing date",IF($C871="","missing worker",IF($I871="?","unknown worker - was the name changed on Workers?",IF($D871="","missing type",IF(N($E871)=0,"missing amount",IF(AND($E871&lt;0,$D871&lt;&gt;"Correction"),"negative amount - use a Correction to undo",IF(OR($B871&lt;Weeks!$A$6,$B871&gt;Weeks!$B$58),"date outside this workbook's year",IF(AND($D871="Advance",N($L871)&lt;0),"Warning: more than earned so far - worker now owes "&amp;ROUND(-$L871,0),"")))))))))</f>
        <v/>
      </c>
    </row>
    <row r="872" customFormat="false" ht="15" hidden="false" customHeight="false" outlineLevel="0" collapsed="false">
      <c r="A872" s="24" t="str">
        <f aca="false">IF($B872="","",ROW()-5)</f>
        <v/>
      </c>
      <c r="B872" s="25"/>
      <c r="C872" s="20"/>
      <c r="D872" s="26"/>
      <c r="E872" s="27"/>
      <c r="F872" s="20"/>
      <c r="G872" s="20"/>
      <c r="H872" s="26"/>
      <c r="I872" s="24" t="str">
        <f aca="false">IF($C872="","",IFERROR(INDEX(WorkerIDs,MATCH($C872,WorkerNames,0)),"?"))</f>
        <v/>
      </c>
      <c r="J872" s="18" t="str">
        <f aca="false">IF($B872="","",$B872-WEEKDAY($B872,2)+1)</f>
        <v/>
      </c>
      <c r="K872" s="28" t="str">
        <f aca="false">IF(OR($I872="",$I872="?",$D872&lt;&gt;"Advance",$B872=""),"",$I872&amp;"|"&amp;$J872&amp;"|"&amp;COUNTIFS($I$6:$I872,$I872,$J$6:$J872,$J872,$D$6:$D872,"Advance"))</f>
        <v/>
      </c>
      <c r="L872" s="29" t="str">
        <f aca="false">IF(OR($I872="",$I872="?",$B872=""),"",SUMPRODUCT((Weeks!$A$6:$A$58&lt;=$J872)*(Weeks!$Z$4:$AK$4=$I872)*Weeks!$Z$6:$AK$58)-SUMIFS($E$6:$E$1005,$I$6:$I$1005,$I872,$B$6:$B$1005,"&lt;="&amp;$B872))</f>
        <v/>
      </c>
      <c r="M872" s="19" t="str">
        <f aca="false">IF($B872&amp;$C872&amp;$D872&amp;$E872="","",IF($B872="","missing date",IF($C872="","missing worker",IF($I872="?","unknown worker - was the name changed on Workers?",IF($D872="","missing type",IF(N($E872)=0,"missing amount",IF(AND($E872&lt;0,$D872&lt;&gt;"Correction"),"negative amount - use a Correction to undo",IF(OR($B872&lt;Weeks!$A$6,$B872&gt;Weeks!$B$58),"date outside this workbook's year",IF(AND($D872="Advance",N($L872)&lt;0),"Warning: more than earned so far - worker now owes "&amp;ROUND(-$L872,0),"")))))))))</f>
        <v/>
      </c>
    </row>
    <row r="873" customFormat="false" ht="15" hidden="false" customHeight="false" outlineLevel="0" collapsed="false">
      <c r="A873" s="24" t="str">
        <f aca="false">IF($B873="","",ROW()-5)</f>
        <v/>
      </c>
      <c r="B873" s="25"/>
      <c r="C873" s="20"/>
      <c r="D873" s="26"/>
      <c r="E873" s="27"/>
      <c r="F873" s="20"/>
      <c r="G873" s="20"/>
      <c r="H873" s="26"/>
      <c r="I873" s="24" t="str">
        <f aca="false">IF($C873="","",IFERROR(INDEX(WorkerIDs,MATCH($C873,WorkerNames,0)),"?"))</f>
        <v/>
      </c>
      <c r="J873" s="18" t="str">
        <f aca="false">IF($B873="","",$B873-WEEKDAY($B873,2)+1)</f>
        <v/>
      </c>
      <c r="K873" s="28" t="str">
        <f aca="false">IF(OR($I873="",$I873="?",$D873&lt;&gt;"Advance",$B873=""),"",$I873&amp;"|"&amp;$J873&amp;"|"&amp;COUNTIFS($I$6:$I873,$I873,$J$6:$J873,$J873,$D$6:$D873,"Advance"))</f>
        <v/>
      </c>
      <c r="L873" s="29" t="str">
        <f aca="false">IF(OR($I873="",$I873="?",$B873=""),"",SUMPRODUCT((Weeks!$A$6:$A$58&lt;=$J873)*(Weeks!$Z$4:$AK$4=$I873)*Weeks!$Z$6:$AK$58)-SUMIFS($E$6:$E$1005,$I$6:$I$1005,$I873,$B$6:$B$1005,"&lt;="&amp;$B873))</f>
        <v/>
      </c>
      <c r="M873" s="19" t="str">
        <f aca="false">IF($B873&amp;$C873&amp;$D873&amp;$E873="","",IF($B873="","missing date",IF($C873="","missing worker",IF($I873="?","unknown worker - was the name changed on Workers?",IF($D873="","missing type",IF(N($E873)=0,"missing amount",IF(AND($E873&lt;0,$D873&lt;&gt;"Correction"),"negative amount - use a Correction to undo",IF(OR($B873&lt;Weeks!$A$6,$B873&gt;Weeks!$B$58),"date outside this workbook's year",IF(AND($D873="Advance",N($L873)&lt;0),"Warning: more than earned so far - worker now owes "&amp;ROUND(-$L873,0),"")))))))))</f>
        <v/>
      </c>
    </row>
    <row r="874" customFormat="false" ht="15" hidden="false" customHeight="false" outlineLevel="0" collapsed="false">
      <c r="A874" s="24" t="str">
        <f aca="false">IF($B874="","",ROW()-5)</f>
        <v/>
      </c>
      <c r="B874" s="25"/>
      <c r="C874" s="20"/>
      <c r="D874" s="26"/>
      <c r="E874" s="27"/>
      <c r="F874" s="20"/>
      <c r="G874" s="20"/>
      <c r="H874" s="26"/>
      <c r="I874" s="24" t="str">
        <f aca="false">IF($C874="","",IFERROR(INDEX(WorkerIDs,MATCH($C874,WorkerNames,0)),"?"))</f>
        <v/>
      </c>
      <c r="J874" s="18" t="str">
        <f aca="false">IF($B874="","",$B874-WEEKDAY($B874,2)+1)</f>
        <v/>
      </c>
      <c r="K874" s="28" t="str">
        <f aca="false">IF(OR($I874="",$I874="?",$D874&lt;&gt;"Advance",$B874=""),"",$I874&amp;"|"&amp;$J874&amp;"|"&amp;COUNTIFS($I$6:$I874,$I874,$J$6:$J874,$J874,$D$6:$D874,"Advance"))</f>
        <v/>
      </c>
      <c r="L874" s="29" t="str">
        <f aca="false">IF(OR($I874="",$I874="?",$B874=""),"",SUMPRODUCT((Weeks!$A$6:$A$58&lt;=$J874)*(Weeks!$Z$4:$AK$4=$I874)*Weeks!$Z$6:$AK$58)-SUMIFS($E$6:$E$1005,$I$6:$I$1005,$I874,$B$6:$B$1005,"&lt;="&amp;$B874))</f>
        <v/>
      </c>
      <c r="M874" s="19" t="str">
        <f aca="false">IF($B874&amp;$C874&amp;$D874&amp;$E874="","",IF($B874="","missing date",IF($C874="","missing worker",IF($I874="?","unknown worker - was the name changed on Workers?",IF($D874="","missing type",IF(N($E874)=0,"missing amount",IF(AND($E874&lt;0,$D874&lt;&gt;"Correction"),"negative amount - use a Correction to undo",IF(OR($B874&lt;Weeks!$A$6,$B874&gt;Weeks!$B$58),"date outside this workbook's year",IF(AND($D874="Advance",N($L874)&lt;0),"Warning: more than earned so far - worker now owes "&amp;ROUND(-$L874,0),"")))))))))</f>
        <v/>
      </c>
    </row>
    <row r="875" customFormat="false" ht="15" hidden="false" customHeight="false" outlineLevel="0" collapsed="false">
      <c r="A875" s="24" t="str">
        <f aca="false">IF($B875="","",ROW()-5)</f>
        <v/>
      </c>
      <c r="B875" s="25"/>
      <c r="C875" s="20"/>
      <c r="D875" s="26"/>
      <c r="E875" s="27"/>
      <c r="F875" s="20"/>
      <c r="G875" s="20"/>
      <c r="H875" s="26"/>
      <c r="I875" s="24" t="str">
        <f aca="false">IF($C875="","",IFERROR(INDEX(WorkerIDs,MATCH($C875,WorkerNames,0)),"?"))</f>
        <v/>
      </c>
      <c r="J875" s="18" t="str">
        <f aca="false">IF($B875="","",$B875-WEEKDAY($B875,2)+1)</f>
        <v/>
      </c>
      <c r="K875" s="28" t="str">
        <f aca="false">IF(OR($I875="",$I875="?",$D875&lt;&gt;"Advance",$B875=""),"",$I875&amp;"|"&amp;$J875&amp;"|"&amp;COUNTIFS($I$6:$I875,$I875,$J$6:$J875,$J875,$D$6:$D875,"Advance"))</f>
        <v/>
      </c>
      <c r="L875" s="29" t="str">
        <f aca="false">IF(OR($I875="",$I875="?",$B875=""),"",SUMPRODUCT((Weeks!$A$6:$A$58&lt;=$J875)*(Weeks!$Z$4:$AK$4=$I875)*Weeks!$Z$6:$AK$58)-SUMIFS($E$6:$E$1005,$I$6:$I$1005,$I875,$B$6:$B$1005,"&lt;="&amp;$B875))</f>
        <v/>
      </c>
      <c r="M875" s="19" t="str">
        <f aca="false">IF($B875&amp;$C875&amp;$D875&amp;$E875="","",IF($B875="","missing date",IF($C875="","missing worker",IF($I875="?","unknown worker - was the name changed on Workers?",IF($D875="","missing type",IF(N($E875)=0,"missing amount",IF(AND($E875&lt;0,$D875&lt;&gt;"Correction"),"negative amount - use a Correction to undo",IF(OR($B875&lt;Weeks!$A$6,$B875&gt;Weeks!$B$58),"date outside this workbook's year",IF(AND($D875="Advance",N($L875)&lt;0),"Warning: more than earned so far - worker now owes "&amp;ROUND(-$L875,0),"")))))))))</f>
        <v/>
      </c>
    </row>
    <row r="876" customFormat="false" ht="15" hidden="false" customHeight="false" outlineLevel="0" collapsed="false">
      <c r="A876" s="24" t="str">
        <f aca="false">IF($B876="","",ROW()-5)</f>
        <v/>
      </c>
      <c r="B876" s="25"/>
      <c r="C876" s="20"/>
      <c r="D876" s="26"/>
      <c r="E876" s="27"/>
      <c r="F876" s="20"/>
      <c r="G876" s="20"/>
      <c r="H876" s="26"/>
      <c r="I876" s="24" t="str">
        <f aca="false">IF($C876="","",IFERROR(INDEX(WorkerIDs,MATCH($C876,WorkerNames,0)),"?"))</f>
        <v/>
      </c>
      <c r="J876" s="18" t="str">
        <f aca="false">IF($B876="","",$B876-WEEKDAY($B876,2)+1)</f>
        <v/>
      </c>
      <c r="K876" s="28" t="str">
        <f aca="false">IF(OR($I876="",$I876="?",$D876&lt;&gt;"Advance",$B876=""),"",$I876&amp;"|"&amp;$J876&amp;"|"&amp;COUNTIFS($I$6:$I876,$I876,$J$6:$J876,$J876,$D$6:$D876,"Advance"))</f>
        <v/>
      </c>
      <c r="L876" s="29" t="str">
        <f aca="false">IF(OR($I876="",$I876="?",$B876=""),"",SUMPRODUCT((Weeks!$A$6:$A$58&lt;=$J876)*(Weeks!$Z$4:$AK$4=$I876)*Weeks!$Z$6:$AK$58)-SUMIFS($E$6:$E$1005,$I$6:$I$1005,$I876,$B$6:$B$1005,"&lt;="&amp;$B876))</f>
        <v/>
      </c>
      <c r="M876" s="19" t="str">
        <f aca="false">IF($B876&amp;$C876&amp;$D876&amp;$E876="","",IF($B876="","missing date",IF($C876="","missing worker",IF($I876="?","unknown worker - was the name changed on Workers?",IF($D876="","missing type",IF(N($E876)=0,"missing amount",IF(AND($E876&lt;0,$D876&lt;&gt;"Correction"),"negative amount - use a Correction to undo",IF(OR($B876&lt;Weeks!$A$6,$B876&gt;Weeks!$B$58),"date outside this workbook's year",IF(AND($D876="Advance",N($L876)&lt;0),"Warning: more than earned so far - worker now owes "&amp;ROUND(-$L876,0),"")))))))))</f>
        <v/>
      </c>
    </row>
    <row r="877" customFormat="false" ht="15" hidden="false" customHeight="false" outlineLevel="0" collapsed="false">
      <c r="A877" s="24" t="str">
        <f aca="false">IF($B877="","",ROW()-5)</f>
        <v/>
      </c>
      <c r="B877" s="25"/>
      <c r="C877" s="20"/>
      <c r="D877" s="26"/>
      <c r="E877" s="27"/>
      <c r="F877" s="20"/>
      <c r="G877" s="20"/>
      <c r="H877" s="26"/>
      <c r="I877" s="24" t="str">
        <f aca="false">IF($C877="","",IFERROR(INDEX(WorkerIDs,MATCH($C877,WorkerNames,0)),"?"))</f>
        <v/>
      </c>
      <c r="J877" s="18" t="str">
        <f aca="false">IF($B877="","",$B877-WEEKDAY($B877,2)+1)</f>
        <v/>
      </c>
      <c r="K877" s="28" t="str">
        <f aca="false">IF(OR($I877="",$I877="?",$D877&lt;&gt;"Advance",$B877=""),"",$I877&amp;"|"&amp;$J877&amp;"|"&amp;COUNTIFS($I$6:$I877,$I877,$J$6:$J877,$J877,$D$6:$D877,"Advance"))</f>
        <v/>
      </c>
      <c r="L877" s="29" t="str">
        <f aca="false">IF(OR($I877="",$I877="?",$B877=""),"",SUMPRODUCT((Weeks!$A$6:$A$58&lt;=$J877)*(Weeks!$Z$4:$AK$4=$I877)*Weeks!$Z$6:$AK$58)-SUMIFS($E$6:$E$1005,$I$6:$I$1005,$I877,$B$6:$B$1005,"&lt;="&amp;$B877))</f>
        <v/>
      </c>
      <c r="M877" s="19" t="str">
        <f aca="false">IF($B877&amp;$C877&amp;$D877&amp;$E877="","",IF($B877="","missing date",IF($C877="","missing worker",IF($I877="?","unknown worker - was the name changed on Workers?",IF($D877="","missing type",IF(N($E877)=0,"missing amount",IF(AND($E877&lt;0,$D877&lt;&gt;"Correction"),"negative amount - use a Correction to undo",IF(OR($B877&lt;Weeks!$A$6,$B877&gt;Weeks!$B$58),"date outside this workbook's year",IF(AND($D877="Advance",N($L877)&lt;0),"Warning: more than earned so far - worker now owes "&amp;ROUND(-$L877,0),"")))))))))</f>
        <v/>
      </c>
    </row>
    <row r="878" customFormat="false" ht="15" hidden="false" customHeight="false" outlineLevel="0" collapsed="false">
      <c r="A878" s="24" t="str">
        <f aca="false">IF($B878="","",ROW()-5)</f>
        <v/>
      </c>
      <c r="B878" s="25"/>
      <c r="C878" s="20"/>
      <c r="D878" s="26"/>
      <c r="E878" s="27"/>
      <c r="F878" s="20"/>
      <c r="G878" s="20"/>
      <c r="H878" s="26"/>
      <c r="I878" s="24" t="str">
        <f aca="false">IF($C878="","",IFERROR(INDEX(WorkerIDs,MATCH($C878,WorkerNames,0)),"?"))</f>
        <v/>
      </c>
      <c r="J878" s="18" t="str">
        <f aca="false">IF($B878="","",$B878-WEEKDAY($B878,2)+1)</f>
        <v/>
      </c>
      <c r="K878" s="28" t="str">
        <f aca="false">IF(OR($I878="",$I878="?",$D878&lt;&gt;"Advance",$B878=""),"",$I878&amp;"|"&amp;$J878&amp;"|"&amp;COUNTIFS($I$6:$I878,$I878,$J$6:$J878,$J878,$D$6:$D878,"Advance"))</f>
        <v/>
      </c>
      <c r="L878" s="29" t="str">
        <f aca="false">IF(OR($I878="",$I878="?",$B878=""),"",SUMPRODUCT((Weeks!$A$6:$A$58&lt;=$J878)*(Weeks!$Z$4:$AK$4=$I878)*Weeks!$Z$6:$AK$58)-SUMIFS($E$6:$E$1005,$I$6:$I$1005,$I878,$B$6:$B$1005,"&lt;="&amp;$B878))</f>
        <v/>
      </c>
      <c r="M878" s="19" t="str">
        <f aca="false">IF($B878&amp;$C878&amp;$D878&amp;$E878="","",IF($B878="","missing date",IF($C878="","missing worker",IF($I878="?","unknown worker - was the name changed on Workers?",IF($D878="","missing type",IF(N($E878)=0,"missing amount",IF(AND($E878&lt;0,$D878&lt;&gt;"Correction"),"negative amount - use a Correction to undo",IF(OR($B878&lt;Weeks!$A$6,$B878&gt;Weeks!$B$58),"date outside this workbook's year",IF(AND($D878="Advance",N($L878)&lt;0),"Warning: more than earned so far - worker now owes "&amp;ROUND(-$L878,0),"")))))))))</f>
        <v/>
      </c>
    </row>
    <row r="879" customFormat="false" ht="15" hidden="false" customHeight="false" outlineLevel="0" collapsed="false">
      <c r="A879" s="24" t="str">
        <f aca="false">IF($B879="","",ROW()-5)</f>
        <v/>
      </c>
      <c r="B879" s="25"/>
      <c r="C879" s="20"/>
      <c r="D879" s="26"/>
      <c r="E879" s="27"/>
      <c r="F879" s="20"/>
      <c r="G879" s="20"/>
      <c r="H879" s="26"/>
      <c r="I879" s="24" t="str">
        <f aca="false">IF($C879="","",IFERROR(INDEX(WorkerIDs,MATCH($C879,WorkerNames,0)),"?"))</f>
        <v/>
      </c>
      <c r="J879" s="18" t="str">
        <f aca="false">IF($B879="","",$B879-WEEKDAY($B879,2)+1)</f>
        <v/>
      </c>
      <c r="K879" s="28" t="str">
        <f aca="false">IF(OR($I879="",$I879="?",$D879&lt;&gt;"Advance",$B879=""),"",$I879&amp;"|"&amp;$J879&amp;"|"&amp;COUNTIFS($I$6:$I879,$I879,$J$6:$J879,$J879,$D$6:$D879,"Advance"))</f>
        <v/>
      </c>
      <c r="L879" s="29" t="str">
        <f aca="false">IF(OR($I879="",$I879="?",$B879=""),"",SUMPRODUCT((Weeks!$A$6:$A$58&lt;=$J879)*(Weeks!$Z$4:$AK$4=$I879)*Weeks!$Z$6:$AK$58)-SUMIFS($E$6:$E$1005,$I$6:$I$1005,$I879,$B$6:$B$1005,"&lt;="&amp;$B879))</f>
        <v/>
      </c>
      <c r="M879" s="19" t="str">
        <f aca="false">IF($B879&amp;$C879&amp;$D879&amp;$E879="","",IF($B879="","missing date",IF($C879="","missing worker",IF($I879="?","unknown worker - was the name changed on Workers?",IF($D879="","missing type",IF(N($E879)=0,"missing amount",IF(AND($E879&lt;0,$D879&lt;&gt;"Correction"),"negative amount - use a Correction to undo",IF(OR($B879&lt;Weeks!$A$6,$B879&gt;Weeks!$B$58),"date outside this workbook's year",IF(AND($D879="Advance",N($L879)&lt;0),"Warning: more than earned so far - worker now owes "&amp;ROUND(-$L879,0),"")))))))))</f>
        <v/>
      </c>
    </row>
    <row r="880" customFormat="false" ht="15" hidden="false" customHeight="false" outlineLevel="0" collapsed="false">
      <c r="A880" s="24" t="str">
        <f aca="false">IF($B880="","",ROW()-5)</f>
        <v/>
      </c>
      <c r="B880" s="25"/>
      <c r="C880" s="20"/>
      <c r="D880" s="26"/>
      <c r="E880" s="27"/>
      <c r="F880" s="20"/>
      <c r="G880" s="20"/>
      <c r="H880" s="26"/>
      <c r="I880" s="24" t="str">
        <f aca="false">IF($C880="","",IFERROR(INDEX(WorkerIDs,MATCH($C880,WorkerNames,0)),"?"))</f>
        <v/>
      </c>
      <c r="J880" s="18" t="str">
        <f aca="false">IF($B880="","",$B880-WEEKDAY($B880,2)+1)</f>
        <v/>
      </c>
      <c r="K880" s="28" t="str">
        <f aca="false">IF(OR($I880="",$I880="?",$D880&lt;&gt;"Advance",$B880=""),"",$I880&amp;"|"&amp;$J880&amp;"|"&amp;COUNTIFS($I$6:$I880,$I880,$J$6:$J880,$J880,$D$6:$D880,"Advance"))</f>
        <v/>
      </c>
      <c r="L880" s="29" t="str">
        <f aca="false">IF(OR($I880="",$I880="?",$B880=""),"",SUMPRODUCT((Weeks!$A$6:$A$58&lt;=$J880)*(Weeks!$Z$4:$AK$4=$I880)*Weeks!$Z$6:$AK$58)-SUMIFS($E$6:$E$1005,$I$6:$I$1005,$I880,$B$6:$B$1005,"&lt;="&amp;$B880))</f>
        <v/>
      </c>
      <c r="M880" s="19" t="str">
        <f aca="false">IF($B880&amp;$C880&amp;$D880&amp;$E880="","",IF($B880="","missing date",IF($C880="","missing worker",IF($I880="?","unknown worker - was the name changed on Workers?",IF($D880="","missing type",IF(N($E880)=0,"missing amount",IF(AND($E880&lt;0,$D880&lt;&gt;"Correction"),"negative amount - use a Correction to undo",IF(OR($B880&lt;Weeks!$A$6,$B880&gt;Weeks!$B$58),"date outside this workbook's year",IF(AND($D880="Advance",N($L880)&lt;0),"Warning: more than earned so far - worker now owes "&amp;ROUND(-$L880,0),"")))))))))</f>
        <v/>
      </c>
    </row>
    <row r="881" customFormat="false" ht="15" hidden="false" customHeight="false" outlineLevel="0" collapsed="false">
      <c r="A881" s="24" t="str">
        <f aca="false">IF($B881="","",ROW()-5)</f>
        <v/>
      </c>
      <c r="B881" s="25"/>
      <c r="C881" s="20"/>
      <c r="D881" s="26"/>
      <c r="E881" s="27"/>
      <c r="F881" s="20"/>
      <c r="G881" s="20"/>
      <c r="H881" s="26"/>
      <c r="I881" s="24" t="str">
        <f aca="false">IF($C881="","",IFERROR(INDEX(WorkerIDs,MATCH($C881,WorkerNames,0)),"?"))</f>
        <v/>
      </c>
      <c r="J881" s="18" t="str">
        <f aca="false">IF($B881="","",$B881-WEEKDAY($B881,2)+1)</f>
        <v/>
      </c>
      <c r="K881" s="28" t="str">
        <f aca="false">IF(OR($I881="",$I881="?",$D881&lt;&gt;"Advance",$B881=""),"",$I881&amp;"|"&amp;$J881&amp;"|"&amp;COUNTIFS($I$6:$I881,$I881,$J$6:$J881,$J881,$D$6:$D881,"Advance"))</f>
        <v/>
      </c>
      <c r="L881" s="29" t="str">
        <f aca="false">IF(OR($I881="",$I881="?",$B881=""),"",SUMPRODUCT((Weeks!$A$6:$A$58&lt;=$J881)*(Weeks!$Z$4:$AK$4=$I881)*Weeks!$Z$6:$AK$58)-SUMIFS($E$6:$E$1005,$I$6:$I$1005,$I881,$B$6:$B$1005,"&lt;="&amp;$B881))</f>
        <v/>
      </c>
      <c r="M881" s="19" t="str">
        <f aca="false">IF($B881&amp;$C881&amp;$D881&amp;$E881="","",IF($B881="","missing date",IF($C881="","missing worker",IF($I881="?","unknown worker - was the name changed on Workers?",IF($D881="","missing type",IF(N($E881)=0,"missing amount",IF(AND($E881&lt;0,$D881&lt;&gt;"Correction"),"negative amount - use a Correction to undo",IF(OR($B881&lt;Weeks!$A$6,$B881&gt;Weeks!$B$58),"date outside this workbook's year",IF(AND($D881="Advance",N($L881)&lt;0),"Warning: more than earned so far - worker now owes "&amp;ROUND(-$L881,0),"")))))))))</f>
        <v/>
      </c>
    </row>
    <row r="882" customFormat="false" ht="15" hidden="false" customHeight="false" outlineLevel="0" collapsed="false">
      <c r="A882" s="24" t="str">
        <f aca="false">IF($B882="","",ROW()-5)</f>
        <v/>
      </c>
      <c r="B882" s="25"/>
      <c r="C882" s="20"/>
      <c r="D882" s="26"/>
      <c r="E882" s="27"/>
      <c r="F882" s="20"/>
      <c r="G882" s="20"/>
      <c r="H882" s="26"/>
      <c r="I882" s="24" t="str">
        <f aca="false">IF($C882="","",IFERROR(INDEX(WorkerIDs,MATCH($C882,WorkerNames,0)),"?"))</f>
        <v/>
      </c>
      <c r="J882" s="18" t="str">
        <f aca="false">IF($B882="","",$B882-WEEKDAY($B882,2)+1)</f>
        <v/>
      </c>
      <c r="K882" s="28" t="str">
        <f aca="false">IF(OR($I882="",$I882="?",$D882&lt;&gt;"Advance",$B882=""),"",$I882&amp;"|"&amp;$J882&amp;"|"&amp;COUNTIFS($I$6:$I882,$I882,$J$6:$J882,$J882,$D$6:$D882,"Advance"))</f>
        <v/>
      </c>
      <c r="L882" s="29" t="str">
        <f aca="false">IF(OR($I882="",$I882="?",$B882=""),"",SUMPRODUCT((Weeks!$A$6:$A$58&lt;=$J882)*(Weeks!$Z$4:$AK$4=$I882)*Weeks!$Z$6:$AK$58)-SUMIFS($E$6:$E$1005,$I$6:$I$1005,$I882,$B$6:$B$1005,"&lt;="&amp;$B882))</f>
        <v/>
      </c>
      <c r="M882" s="19" t="str">
        <f aca="false">IF($B882&amp;$C882&amp;$D882&amp;$E882="","",IF($B882="","missing date",IF($C882="","missing worker",IF($I882="?","unknown worker - was the name changed on Workers?",IF($D882="","missing type",IF(N($E882)=0,"missing amount",IF(AND($E882&lt;0,$D882&lt;&gt;"Correction"),"negative amount - use a Correction to undo",IF(OR($B882&lt;Weeks!$A$6,$B882&gt;Weeks!$B$58),"date outside this workbook's year",IF(AND($D882="Advance",N($L882)&lt;0),"Warning: more than earned so far - worker now owes "&amp;ROUND(-$L882,0),"")))))))))</f>
        <v/>
      </c>
    </row>
    <row r="883" customFormat="false" ht="15" hidden="false" customHeight="false" outlineLevel="0" collapsed="false">
      <c r="A883" s="24" t="str">
        <f aca="false">IF($B883="","",ROW()-5)</f>
        <v/>
      </c>
      <c r="B883" s="25"/>
      <c r="C883" s="20"/>
      <c r="D883" s="26"/>
      <c r="E883" s="27"/>
      <c r="F883" s="20"/>
      <c r="G883" s="20"/>
      <c r="H883" s="26"/>
      <c r="I883" s="24" t="str">
        <f aca="false">IF($C883="","",IFERROR(INDEX(WorkerIDs,MATCH($C883,WorkerNames,0)),"?"))</f>
        <v/>
      </c>
      <c r="J883" s="18" t="str">
        <f aca="false">IF($B883="","",$B883-WEEKDAY($B883,2)+1)</f>
        <v/>
      </c>
      <c r="K883" s="28" t="str">
        <f aca="false">IF(OR($I883="",$I883="?",$D883&lt;&gt;"Advance",$B883=""),"",$I883&amp;"|"&amp;$J883&amp;"|"&amp;COUNTIFS($I$6:$I883,$I883,$J$6:$J883,$J883,$D$6:$D883,"Advance"))</f>
        <v/>
      </c>
      <c r="L883" s="29" t="str">
        <f aca="false">IF(OR($I883="",$I883="?",$B883=""),"",SUMPRODUCT((Weeks!$A$6:$A$58&lt;=$J883)*(Weeks!$Z$4:$AK$4=$I883)*Weeks!$Z$6:$AK$58)-SUMIFS($E$6:$E$1005,$I$6:$I$1005,$I883,$B$6:$B$1005,"&lt;="&amp;$B883))</f>
        <v/>
      </c>
      <c r="M883" s="19" t="str">
        <f aca="false">IF($B883&amp;$C883&amp;$D883&amp;$E883="","",IF($B883="","missing date",IF($C883="","missing worker",IF($I883="?","unknown worker - was the name changed on Workers?",IF($D883="","missing type",IF(N($E883)=0,"missing amount",IF(AND($E883&lt;0,$D883&lt;&gt;"Correction"),"negative amount - use a Correction to undo",IF(OR($B883&lt;Weeks!$A$6,$B883&gt;Weeks!$B$58),"date outside this workbook's year",IF(AND($D883="Advance",N($L883)&lt;0),"Warning: more than earned so far - worker now owes "&amp;ROUND(-$L883,0),"")))))))))</f>
        <v/>
      </c>
    </row>
    <row r="884" customFormat="false" ht="15" hidden="false" customHeight="false" outlineLevel="0" collapsed="false">
      <c r="A884" s="24" t="str">
        <f aca="false">IF($B884="","",ROW()-5)</f>
        <v/>
      </c>
      <c r="B884" s="25"/>
      <c r="C884" s="20"/>
      <c r="D884" s="26"/>
      <c r="E884" s="27"/>
      <c r="F884" s="20"/>
      <c r="G884" s="20"/>
      <c r="H884" s="26"/>
      <c r="I884" s="24" t="str">
        <f aca="false">IF($C884="","",IFERROR(INDEX(WorkerIDs,MATCH($C884,WorkerNames,0)),"?"))</f>
        <v/>
      </c>
      <c r="J884" s="18" t="str">
        <f aca="false">IF($B884="","",$B884-WEEKDAY($B884,2)+1)</f>
        <v/>
      </c>
      <c r="K884" s="28" t="str">
        <f aca="false">IF(OR($I884="",$I884="?",$D884&lt;&gt;"Advance",$B884=""),"",$I884&amp;"|"&amp;$J884&amp;"|"&amp;COUNTIFS($I$6:$I884,$I884,$J$6:$J884,$J884,$D$6:$D884,"Advance"))</f>
        <v/>
      </c>
      <c r="L884" s="29" t="str">
        <f aca="false">IF(OR($I884="",$I884="?",$B884=""),"",SUMPRODUCT((Weeks!$A$6:$A$58&lt;=$J884)*(Weeks!$Z$4:$AK$4=$I884)*Weeks!$Z$6:$AK$58)-SUMIFS($E$6:$E$1005,$I$6:$I$1005,$I884,$B$6:$B$1005,"&lt;="&amp;$B884))</f>
        <v/>
      </c>
      <c r="M884" s="19" t="str">
        <f aca="false">IF($B884&amp;$C884&amp;$D884&amp;$E884="","",IF($B884="","missing date",IF($C884="","missing worker",IF($I884="?","unknown worker - was the name changed on Workers?",IF($D884="","missing type",IF(N($E884)=0,"missing amount",IF(AND($E884&lt;0,$D884&lt;&gt;"Correction"),"negative amount - use a Correction to undo",IF(OR($B884&lt;Weeks!$A$6,$B884&gt;Weeks!$B$58),"date outside this workbook's year",IF(AND($D884="Advance",N($L884)&lt;0),"Warning: more than earned so far - worker now owes "&amp;ROUND(-$L884,0),"")))))))))</f>
        <v/>
      </c>
    </row>
    <row r="885" customFormat="false" ht="15" hidden="false" customHeight="false" outlineLevel="0" collapsed="false">
      <c r="A885" s="24" t="str">
        <f aca="false">IF($B885="","",ROW()-5)</f>
        <v/>
      </c>
      <c r="B885" s="25"/>
      <c r="C885" s="20"/>
      <c r="D885" s="26"/>
      <c r="E885" s="27"/>
      <c r="F885" s="20"/>
      <c r="G885" s="20"/>
      <c r="H885" s="26"/>
      <c r="I885" s="24" t="str">
        <f aca="false">IF($C885="","",IFERROR(INDEX(WorkerIDs,MATCH($C885,WorkerNames,0)),"?"))</f>
        <v/>
      </c>
      <c r="J885" s="18" t="str">
        <f aca="false">IF($B885="","",$B885-WEEKDAY($B885,2)+1)</f>
        <v/>
      </c>
      <c r="K885" s="28" t="str">
        <f aca="false">IF(OR($I885="",$I885="?",$D885&lt;&gt;"Advance",$B885=""),"",$I885&amp;"|"&amp;$J885&amp;"|"&amp;COUNTIFS($I$6:$I885,$I885,$J$6:$J885,$J885,$D$6:$D885,"Advance"))</f>
        <v/>
      </c>
      <c r="L885" s="29" t="str">
        <f aca="false">IF(OR($I885="",$I885="?",$B885=""),"",SUMPRODUCT((Weeks!$A$6:$A$58&lt;=$J885)*(Weeks!$Z$4:$AK$4=$I885)*Weeks!$Z$6:$AK$58)-SUMIFS($E$6:$E$1005,$I$6:$I$1005,$I885,$B$6:$B$1005,"&lt;="&amp;$B885))</f>
        <v/>
      </c>
      <c r="M885" s="19" t="str">
        <f aca="false">IF($B885&amp;$C885&amp;$D885&amp;$E885="","",IF($B885="","missing date",IF($C885="","missing worker",IF($I885="?","unknown worker - was the name changed on Workers?",IF($D885="","missing type",IF(N($E885)=0,"missing amount",IF(AND($E885&lt;0,$D885&lt;&gt;"Correction"),"negative amount - use a Correction to undo",IF(OR($B885&lt;Weeks!$A$6,$B885&gt;Weeks!$B$58),"date outside this workbook's year",IF(AND($D885="Advance",N($L885)&lt;0),"Warning: more than earned so far - worker now owes "&amp;ROUND(-$L885,0),"")))))))))</f>
        <v/>
      </c>
    </row>
    <row r="886" customFormat="false" ht="15" hidden="false" customHeight="false" outlineLevel="0" collapsed="false">
      <c r="A886" s="24" t="str">
        <f aca="false">IF($B886="","",ROW()-5)</f>
        <v/>
      </c>
      <c r="B886" s="25"/>
      <c r="C886" s="20"/>
      <c r="D886" s="26"/>
      <c r="E886" s="27"/>
      <c r="F886" s="20"/>
      <c r="G886" s="20"/>
      <c r="H886" s="26"/>
      <c r="I886" s="24" t="str">
        <f aca="false">IF($C886="","",IFERROR(INDEX(WorkerIDs,MATCH($C886,WorkerNames,0)),"?"))</f>
        <v/>
      </c>
      <c r="J886" s="18" t="str">
        <f aca="false">IF($B886="","",$B886-WEEKDAY($B886,2)+1)</f>
        <v/>
      </c>
      <c r="K886" s="28" t="str">
        <f aca="false">IF(OR($I886="",$I886="?",$D886&lt;&gt;"Advance",$B886=""),"",$I886&amp;"|"&amp;$J886&amp;"|"&amp;COUNTIFS($I$6:$I886,$I886,$J$6:$J886,$J886,$D$6:$D886,"Advance"))</f>
        <v/>
      </c>
      <c r="L886" s="29" t="str">
        <f aca="false">IF(OR($I886="",$I886="?",$B886=""),"",SUMPRODUCT((Weeks!$A$6:$A$58&lt;=$J886)*(Weeks!$Z$4:$AK$4=$I886)*Weeks!$Z$6:$AK$58)-SUMIFS($E$6:$E$1005,$I$6:$I$1005,$I886,$B$6:$B$1005,"&lt;="&amp;$B886))</f>
        <v/>
      </c>
      <c r="M886" s="19" t="str">
        <f aca="false">IF($B886&amp;$C886&amp;$D886&amp;$E886="","",IF($B886="","missing date",IF($C886="","missing worker",IF($I886="?","unknown worker - was the name changed on Workers?",IF($D886="","missing type",IF(N($E886)=0,"missing amount",IF(AND($E886&lt;0,$D886&lt;&gt;"Correction"),"negative amount - use a Correction to undo",IF(OR($B886&lt;Weeks!$A$6,$B886&gt;Weeks!$B$58),"date outside this workbook's year",IF(AND($D886="Advance",N($L886)&lt;0),"Warning: more than earned so far - worker now owes "&amp;ROUND(-$L886,0),"")))))))))</f>
        <v/>
      </c>
    </row>
    <row r="887" customFormat="false" ht="15" hidden="false" customHeight="false" outlineLevel="0" collapsed="false">
      <c r="A887" s="24" t="str">
        <f aca="false">IF($B887="","",ROW()-5)</f>
        <v/>
      </c>
      <c r="B887" s="25"/>
      <c r="C887" s="20"/>
      <c r="D887" s="26"/>
      <c r="E887" s="27"/>
      <c r="F887" s="20"/>
      <c r="G887" s="20"/>
      <c r="H887" s="26"/>
      <c r="I887" s="24" t="str">
        <f aca="false">IF($C887="","",IFERROR(INDEX(WorkerIDs,MATCH($C887,WorkerNames,0)),"?"))</f>
        <v/>
      </c>
      <c r="J887" s="18" t="str">
        <f aca="false">IF($B887="","",$B887-WEEKDAY($B887,2)+1)</f>
        <v/>
      </c>
      <c r="K887" s="28" t="str">
        <f aca="false">IF(OR($I887="",$I887="?",$D887&lt;&gt;"Advance",$B887=""),"",$I887&amp;"|"&amp;$J887&amp;"|"&amp;COUNTIFS($I$6:$I887,$I887,$J$6:$J887,$J887,$D$6:$D887,"Advance"))</f>
        <v/>
      </c>
      <c r="L887" s="29" t="str">
        <f aca="false">IF(OR($I887="",$I887="?",$B887=""),"",SUMPRODUCT((Weeks!$A$6:$A$58&lt;=$J887)*(Weeks!$Z$4:$AK$4=$I887)*Weeks!$Z$6:$AK$58)-SUMIFS($E$6:$E$1005,$I$6:$I$1005,$I887,$B$6:$B$1005,"&lt;="&amp;$B887))</f>
        <v/>
      </c>
      <c r="M887" s="19" t="str">
        <f aca="false">IF($B887&amp;$C887&amp;$D887&amp;$E887="","",IF($B887="","missing date",IF($C887="","missing worker",IF($I887="?","unknown worker - was the name changed on Workers?",IF($D887="","missing type",IF(N($E887)=0,"missing amount",IF(AND($E887&lt;0,$D887&lt;&gt;"Correction"),"negative amount - use a Correction to undo",IF(OR($B887&lt;Weeks!$A$6,$B887&gt;Weeks!$B$58),"date outside this workbook's year",IF(AND($D887="Advance",N($L887)&lt;0),"Warning: more than earned so far - worker now owes "&amp;ROUND(-$L887,0),"")))))))))</f>
        <v/>
      </c>
    </row>
    <row r="888" customFormat="false" ht="15" hidden="false" customHeight="false" outlineLevel="0" collapsed="false">
      <c r="A888" s="24" t="str">
        <f aca="false">IF($B888="","",ROW()-5)</f>
        <v/>
      </c>
      <c r="B888" s="25"/>
      <c r="C888" s="20"/>
      <c r="D888" s="26"/>
      <c r="E888" s="27"/>
      <c r="F888" s="20"/>
      <c r="G888" s="20"/>
      <c r="H888" s="26"/>
      <c r="I888" s="24" t="str">
        <f aca="false">IF($C888="","",IFERROR(INDEX(WorkerIDs,MATCH($C888,WorkerNames,0)),"?"))</f>
        <v/>
      </c>
      <c r="J888" s="18" t="str">
        <f aca="false">IF($B888="","",$B888-WEEKDAY($B888,2)+1)</f>
        <v/>
      </c>
      <c r="K888" s="28" t="str">
        <f aca="false">IF(OR($I888="",$I888="?",$D888&lt;&gt;"Advance",$B888=""),"",$I888&amp;"|"&amp;$J888&amp;"|"&amp;COUNTIFS($I$6:$I888,$I888,$J$6:$J888,$J888,$D$6:$D888,"Advance"))</f>
        <v/>
      </c>
      <c r="L888" s="29" t="str">
        <f aca="false">IF(OR($I888="",$I888="?",$B888=""),"",SUMPRODUCT((Weeks!$A$6:$A$58&lt;=$J888)*(Weeks!$Z$4:$AK$4=$I888)*Weeks!$Z$6:$AK$58)-SUMIFS($E$6:$E$1005,$I$6:$I$1005,$I888,$B$6:$B$1005,"&lt;="&amp;$B888))</f>
        <v/>
      </c>
      <c r="M888" s="19" t="str">
        <f aca="false">IF($B888&amp;$C888&amp;$D888&amp;$E888="","",IF($B888="","missing date",IF($C888="","missing worker",IF($I888="?","unknown worker - was the name changed on Workers?",IF($D888="","missing type",IF(N($E888)=0,"missing amount",IF(AND($E888&lt;0,$D888&lt;&gt;"Correction"),"negative amount - use a Correction to undo",IF(OR($B888&lt;Weeks!$A$6,$B888&gt;Weeks!$B$58),"date outside this workbook's year",IF(AND($D888="Advance",N($L888)&lt;0),"Warning: more than earned so far - worker now owes "&amp;ROUND(-$L888,0),"")))))))))</f>
        <v/>
      </c>
    </row>
    <row r="889" customFormat="false" ht="15" hidden="false" customHeight="false" outlineLevel="0" collapsed="false">
      <c r="A889" s="24" t="str">
        <f aca="false">IF($B889="","",ROW()-5)</f>
        <v/>
      </c>
      <c r="B889" s="25"/>
      <c r="C889" s="20"/>
      <c r="D889" s="26"/>
      <c r="E889" s="27"/>
      <c r="F889" s="20"/>
      <c r="G889" s="20"/>
      <c r="H889" s="26"/>
      <c r="I889" s="24" t="str">
        <f aca="false">IF($C889="","",IFERROR(INDEX(WorkerIDs,MATCH($C889,WorkerNames,0)),"?"))</f>
        <v/>
      </c>
      <c r="J889" s="18" t="str">
        <f aca="false">IF($B889="","",$B889-WEEKDAY($B889,2)+1)</f>
        <v/>
      </c>
      <c r="K889" s="28" t="str">
        <f aca="false">IF(OR($I889="",$I889="?",$D889&lt;&gt;"Advance",$B889=""),"",$I889&amp;"|"&amp;$J889&amp;"|"&amp;COUNTIFS($I$6:$I889,$I889,$J$6:$J889,$J889,$D$6:$D889,"Advance"))</f>
        <v/>
      </c>
      <c r="L889" s="29" t="str">
        <f aca="false">IF(OR($I889="",$I889="?",$B889=""),"",SUMPRODUCT((Weeks!$A$6:$A$58&lt;=$J889)*(Weeks!$Z$4:$AK$4=$I889)*Weeks!$Z$6:$AK$58)-SUMIFS($E$6:$E$1005,$I$6:$I$1005,$I889,$B$6:$B$1005,"&lt;="&amp;$B889))</f>
        <v/>
      </c>
      <c r="M889" s="19" t="str">
        <f aca="false">IF($B889&amp;$C889&amp;$D889&amp;$E889="","",IF($B889="","missing date",IF($C889="","missing worker",IF($I889="?","unknown worker - was the name changed on Workers?",IF($D889="","missing type",IF(N($E889)=0,"missing amount",IF(AND($E889&lt;0,$D889&lt;&gt;"Correction"),"negative amount - use a Correction to undo",IF(OR($B889&lt;Weeks!$A$6,$B889&gt;Weeks!$B$58),"date outside this workbook's year",IF(AND($D889="Advance",N($L889)&lt;0),"Warning: more than earned so far - worker now owes "&amp;ROUND(-$L889,0),"")))))))))</f>
        <v/>
      </c>
    </row>
    <row r="890" customFormat="false" ht="15" hidden="false" customHeight="false" outlineLevel="0" collapsed="false">
      <c r="A890" s="24" t="str">
        <f aca="false">IF($B890="","",ROW()-5)</f>
        <v/>
      </c>
      <c r="B890" s="25"/>
      <c r="C890" s="20"/>
      <c r="D890" s="26"/>
      <c r="E890" s="27"/>
      <c r="F890" s="20"/>
      <c r="G890" s="20"/>
      <c r="H890" s="26"/>
      <c r="I890" s="24" t="str">
        <f aca="false">IF($C890="","",IFERROR(INDEX(WorkerIDs,MATCH($C890,WorkerNames,0)),"?"))</f>
        <v/>
      </c>
      <c r="J890" s="18" t="str">
        <f aca="false">IF($B890="","",$B890-WEEKDAY($B890,2)+1)</f>
        <v/>
      </c>
      <c r="K890" s="28" t="str">
        <f aca="false">IF(OR($I890="",$I890="?",$D890&lt;&gt;"Advance",$B890=""),"",$I890&amp;"|"&amp;$J890&amp;"|"&amp;COUNTIFS($I$6:$I890,$I890,$J$6:$J890,$J890,$D$6:$D890,"Advance"))</f>
        <v/>
      </c>
      <c r="L890" s="29" t="str">
        <f aca="false">IF(OR($I890="",$I890="?",$B890=""),"",SUMPRODUCT((Weeks!$A$6:$A$58&lt;=$J890)*(Weeks!$Z$4:$AK$4=$I890)*Weeks!$Z$6:$AK$58)-SUMIFS($E$6:$E$1005,$I$6:$I$1005,$I890,$B$6:$B$1005,"&lt;="&amp;$B890))</f>
        <v/>
      </c>
      <c r="M890" s="19" t="str">
        <f aca="false">IF($B890&amp;$C890&amp;$D890&amp;$E890="","",IF($B890="","missing date",IF($C890="","missing worker",IF($I890="?","unknown worker - was the name changed on Workers?",IF($D890="","missing type",IF(N($E890)=0,"missing amount",IF(AND($E890&lt;0,$D890&lt;&gt;"Correction"),"negative amount - use a Correction to undo",IF(OR($B890&lt;Weeks!$A$6,$B890&gt;Weeks!$B$58),"date outside this workbook's year",IF(AND($D890="Advance",N($L890)&lt;0),"Warning: more than earned so far - worker now owes "&amp;ROUND(-$L890,0),"")))))))))</f>
        <v/>
      </c>
    </row>
    <row r="891" customFormat="false" ht="15" hidden="false" customHeight="false" outlineLevel="0" collapsed="false">
      <c r="A891" s="24" t="str">
        <f aca="false">IF($B891="","",ROW()-5)</f>
        <v/>
      </c>
      <c r="B891" s="25"/>
      <c r="C891" s="20"/>
      <c r="D891" s="26"/>
      <c r="E891" s="27"/>
      <c r="F891" s="20"/>
      <c r="G891" s="20"/>
      <c r="H891" s="26"/>
      <c r="I891" s="24" t="str">
        <f aca="false">IF($C891="","",IFERROR(INDEX(WorkerIDs,MATCH($C891,WorkerNames,0)),"?"))</f>
        <v/>
      </c>
      <c r="J891" s="18" t="str">
        <f aca="false">IF($B891="","",$B891-WEEKDAY($B891,2)+1)</f>
        <v/>
      </c>
      <c r="K891" s="28" t="str">
        <f aca="false">IF(OR($I891="",$I891="?",$D891&lt;&gt;"Advance",$B891=""),"",$I891&amp;"|"&amp;$J891&amp;"|"&amp;COUNTIFS($I$6:$I891,$I891,$J$6:$J891,$J891,$D$6:$D891,"Advance"))</f>
        <v/>
      </c>
      <c r="L891" s="29" t="str">
        <f aca="false">IF(OR($I891="",$I891="?",$B891=""),"",SUMPRODUCT((Weeks!$A$6:$A$58&lt;=$J891)*(Weeks!$Z$4:$AK$4=$I891)*Weeks!$Z$6:$AK$58)-SUMIFS($E$6:$E$1005,$I$6:$I$1005,$I891,$B$6:$B$1005,"&lt;="&amp;$B891))</f>
        <v/>
      </c>
      <c r="M891" s="19" t="str">
        <f aca="false">IF($B891&amp;$C891&amp;$D891&amp;$E891="","",IF($B891="","missing date",IF($C891="","missing worker",IF($I891="?","unknown worker - was the name changed on Workers?",IF($D891="","missing type",IF(N($E891)=0,"missing amount",IF(AND($E891&lt;0,$D891&lt;&gt;"Correction"),"negative amount - use a Correction to undo",IF(OR($B891&lt;Weeks!$A$6,$B891&gt;Weeks!$B$58),"date outside this workbook's year",IF(AND($D891="Advance",N($L891)&lt;0),"Warning: more than earned so far - worker now owes "&amp;ROUND(-$L891,0),"")))))))))</f>
        <v/>
      </c>
    </row>
    <row r="892" customFormat="false" ht="15" hidden="false" customHeight="false" outlineLevel="0" collapsed="false">
      <c r="A892" s="24" t="str">
        <f aca="false">IF($B892="","",ROW()-5)</f>
        <v/>
      </c>
      <c r="B892" s="25"/>
      <c r="C892" s="20"/>
      <c r="D892" s="26"/>
      <c r="E892" s="27"/>
      <c r="F892" s="20"/>
      <c r="G892" s="20"/>
      <c r="H892" s="26"/>
      <c r="I892" s="24" t="str">
        <f aca="false">IF($C892="","",IFERROR(INDEX(WorkerIDs,MATCH($C892,WorkerNames,0)),"?"))</f>
        <v/>
      </c>
      <c r="J892" s="18" t="str">
        <f aca="false">IF($B892="","",$B892-WEEKDAY($B892,2)+1)</f>
        <v/>
      </c>
      <c r="K892" s="28" t="str">
        <f aca="false">IF(OR($I892="",$I892="?",$D892&lt;&gt;"Advance",$B892=""),"",$I892&amp;"|"&amp;$J892&amp;"|"&amp;COUNTIFS($I$6:$I892,$I892,$J$6:$J892,$J892,$D$6:$D892,"Advance"))</f>
        <v/>
      </c>
      <c r="L892" s="29" t="str">
        <f aca="false">IF(OR($I892="",$I892="?",$B892=""),"",SUMPRODUCT((Weeks!$A$6:$A$58&lt;=$J892)*(Weeks!$Z$4:$AK$4=$I892)*Weeks!$Z$6:$AK$58)-SUMIFS($E$6:$E$1005,$I$6:$I$1005,$I892,$B$6:$B$1005,"&lt;="&amp;$B892))</f>
        <v/>
      </c>
      <c r="M892" s="19" t="str">
        <f aca="false">IF($B892&amp;$C892&amp;$D892&amp;$E892="","",IF($B892="","missing date",IF($C892="","missing worker",IF($I892="?","unknown worker - was the name changed on Workers?",IF($D892="","missing type",IF(N($E892)=0,"missing amount",IF(AND($E892&lt;0,$D892&lt;&gt;"Correction"),"negative amount - use a Correction to undo",IF(OR($B892&lt;Weeks!$A$6,$B892&gt;Weeks!$B$58),"date outside this workbook's year",IF(AND($D892="Advance",N($L892)&lt;0),"Warning: more than earned so far - worker now owes "&amp;ROUND(-$L892,0),"")))))))))</f>
        <v/>
      </c>
    </row>
    <row r="893" customFormat="false" ht="15" hidden="false" customHeight="false" outlineLevel="0" collapsed="false">
      <c r="A893" s="24" t="str">
        <f aca="false">IF($B893="","",ROW()-5)</f>
        <v/>
      </c>
      <c r="B893" s="25"/>
      <c r="C893" s="20"/>
      <c r="D893" s="26"/>
      <c r="E893" s="27"/>
      <c r="F893" s="20"/>
      <c r="G893" s="20"/>
      <c r="H893" s="26"/>
      <c r="I893" s="24" t="str">
        <f aca="false">IF($C893="","",IFERROR(INDEX(WorkerIDs,MATCH($C893,WorkerNames,0)),"?"))</f>
        <v/>
      </c>
      <c r="J893" s="18" t="str">
        <f aca="false">IF($B893="","",$B893-WEEKDAY($B893,2)+1)</f>
        <v/>
      </c>
      <c r="K893" s="28" t="str">
        <f aca="false">IF(OR($I893="",$I893="?",$D893&lt;&gt;"Advance",$B893=""),"",$I893&amp;"|"&amp;$J893&amp;"|"&amp;COUNTIFS($I$6:$I893,$I893,$J$6:$J893,$J893,$D$6:$D893,"Advance"))</f>
        <v/>
      </c>
      <c r="L893" s="29" t="str">
        <f aca="false">IF(OR($I893="",$I893="?",$B893=""),"",SUMPRODUCT((Weeks!$A$6:$A$58&lt;=$J893)*(Weeks!$Z$4:$AK$4=$I893)*Weeks!$Z$6:$AK$58)-SUMIFS($E$6:$E$1005,$I$6:$I$1005,$I893,$B$6:$B$1005,"&lt;="&amp;$B893))</f>
        <v/>
      </c>
      <c r="M893" s="19" t="str">
        <f aca="false">IF($B893&amp;$C893&amp;$D893&amp;$E893="","",IF($B893="","missing date",IF($C893="","missing worker",IF($I893="?","unknown worker - was the name changed on Workers?",IF($D893="","missing type",IF(N($E893)=0,"missing amount",IF(AND($E893&lt;0,$D893&lt;&gt;"Correction"),"negative amount - use a Correction to undo",IF(OR($B893&lt;Weeks!$A$6,$B893&gt;Weeks!$B$58),"date outside this workbook's year",IF(AND($D893="Advance",N($L893)&lt;0),"Warning: more than earned so far - worker now owes "&amp;ROUND(-$L893,0),"")))))))))</f>
        <v/>
      </c>
    </row>
    <row r="894" customFormat="false" ht="15" hidden="false" customHeight="false" outlineLevel="0" collapsed="false">
      <c r="A894" s="24" t="str">
        <f aca="false">IF($B894="","",ROW()-5)</f>
        <v/>
      </c>
      <c r="B894" s="25"/>
      <c r="C894" s="20"/>
      <c r="D894" s="26"/>
      <c r="E894" s="27"/>
      <c r="F894" s="20"/>
      <c r="G894" s="20"/>
      <c r="H894" s="26"/>
      <c r="I894" s="24" t="str">
        <f aca="false">IF($C894="","",IFERROR(INDEX(WorkerIDs,MATCH($C894,WorkerNames,0)),"?"))</f>
        <v/>
      </c>
      <c r="J894" s="18" t="str">
        <f aca="false">IF($B894="","",$B894-WEEKDAY($B894,2)+1)</f>
        <v/>
      </c>
      <c r="K894" s="28" t="str">
        <f aca="false">IF(OR($I894="",$I894="?",$D894&lt;&gt;"Advance",$B894=""),"",$I894&amp;"|"&amp;$J894&amp;"|"&amp;COUNTIFS($I$6:$I894,$I894,$J$6:$J894,$J894,$D$6:$D894,"Advance"))</f>
        <v/>
      </c>
      <c r="L894" s="29" t="str">
        <f aca="false">IF(OR($I894="",$I894="?",$B894=""),"",SUMPRODUCT((Weeks!$A$6:$A$58&lt;=$J894)*(Weeks!$Z$4:$AK$4=$I894)*Weeks!$Z$6:$AK$58)-SUMIFS($E$6:$E$1005,$I$6:$I$1005,$I894,$B$6:$B$1005,"&lt;="&amp;$B894))</f>
        <v/>
      </c>
      <c r="M894" s="19" t="str">
        <f aca="false">IF($B894&amp;$C894&amp;$D894&amp;$E894="","",IF($B894="","missing date",IF($C894="","missing worker",IF($I894="?","unknown worker - was the name changed on Workers?",IF($D894="","missing type",IF(N($E894)=0,"missing amount",IF(AND($E894&lt;0,$D894&lt;&gt;"Correction"),"negative amount - use a Correction to undo",IF(OR($B894&lt;Weeks!$A$6,$B894&gt;Weeks!$B$58),"date outside this workbook's year",IF(AND($D894="Advance",N($L894)&lt;0),"Warning: more than earned so far - worker now owes "&amp;ROUND(-$L894,0),"")))))))))</f>
        <v/>
      </c>
    </row>
    <row r="895" customFormat="false" ht="15" hidden="false" customHeight="false" outlineLevel="0" collapsed="false">
      <c r="A895" s="24" t="str">
        <f aca="false">IF($B895="","",ROW()-5)</f>
        <v/>
      </c>
      <c r="B895" s="25"/>
      <c r="C895" s="20"/>
      <c r="D895" s="26"/>
      <c r="E895" s="27"/>
      <c r="F895" s="20"/>
      <c r="G895" s="20"/>
      <c r="H895" s="26"/>
      <c r="I895" s="24" t="str">
        <f aca="false">IF($C895="","",IFERROR(INDEX(WorkerIDs,MATCH($C895,WorkerNames,0)),"?"))</f>
        <v/>
      </c>
      <c r="J895" s="18" t="str">
        <f aca="false">IF($B895="","",$B895-WEEKDAY($B895,2)+1)</f>
        <v/>
      </c>
      <c r="K895" s="28" t="str">
        <f aca="false">IF(OR($I895="",$I895="?",$D895&lt;&gt;"Advance",$B895=""),"",$I895&amp;"|"&amp;$J895&amp;"|"&amp;COUNTIFS($I$6:$I895,$I895,$J$6:$J895,$J895,$D$6:$D895,"Advance"))</f>
        <v/>
      </c>
      <c r="L895" s="29" t="str">
        <f aca="false">IF(OR($I895="",$I895="?",$B895=""),"",SUMPRODUCT((Weeks!$A$6:$A$58&lt;=$J895)*(Weeks!$Z$4:$AK$4=$I895)*Weeks!$Z$6:$AK$58)-SUMIFS($E$6:$E$1005,$I$6:$I$1005,$I895,$B$6:$B$1005,"&lt;="&amp;$B895))</f>
        <v/>
      </c>
      <c r="M895" s="19" t="str">
        <f aca="false">IF($B895&amp;$C895&amp;$D895&amp;$E895="","",IF($B895="","missing date",IF($C895="","missing worker",IF($I895="?","unknown worker - was the name changed on Workers?",IF($D895="","missing type",IF(N($E895)=0,"missing amount",IF(AND($E895&lt;0,$D895&lt;&gt;"Correction"),"negative amount - use a Correction to undo",IF(OR($B895&lt;Weeks!$A$6,$B895&gt;Weeks!$B$58),"date outside this workbook's year",IF(AND($D895="Advance",N($L895)&lt;0),"Warning: more than earned so far - worker now owes "&amp;ROUND(-$L895,0),"")))))))))</f>
        <v/>
      </c>
    </row>
    <row r="896" customFormat="false" ht="15" hidden="false" customHeight="false" outlineLevel="0" collapsed="false">
      <c r="A896" s="24" t="str">
        <f aca="false">IF($B896="","",ROW()-5)</f>
        <v/>
      </c>
      <c r="B896" s="25"/>
      <c r="C896" s="20"/>
      <c r="D896" s="26"/>
      <c r="E896" s="27"/>
      <c r="F896" s="20"/>
      <c r="G896" s="20"/>
      <c r="H896" s="26"/>
      <c r="I896" s="24" t="str">
        <f aca="false">IF($C896="","",IFERROR(INDEX(WorkerIDs,MATCH($C896,WorkerNames,0)),"?"))</f>
        <v/>
      </c>
      <c r="J896" s="18" t="str">
        <f aca="false">IF($B896="","",$B896-WEEKDAY($B896,2)+1)</f>
        <v/>
      </c>
      <c r="K896" s="28" t="str">
        <f aca="false">IF(OR($I896="",$I896="?",$D896&lt;&gt;"Advance",$B896=""),"",$I896&amp;"|"&amp;$J896&amp;"|"&amp;COUNTIFS($I$6:$I896,$I896,$J$6:$J896,$J896,$D$6:$D896,"Advance"))</f>
        <v/>
      </c>
      <c r="L896" s="29" t="str">
        <f aca="false">IF(OR($I896="",$I896="?",$B896=""),"",SUMPRODUCT((Weeks!$A$6:$A$58&lt;=$J896)*(Weeks!$Z$4:$AK$4=$I896)*Weeks!$Z$6:$AK$58)-SUMIFS($E$6:$E$1005,$I$6:$I$1005,$I896,$B$6:$B$1005,"&lt;="&amp;$B896))</f>
        <v/>
      </c>
      <c r="M896" s="19" t="str">
        <f aca="false">IF($B896&amp;$C896&amp;$D896&amp;$E896="","",IF($B896="","missing date",IF($C896="","missing worker",IF($I896="?","unknown worker - was the name changed on Workers?",IF($D896="","missing type",IF(N($E896)=0,"missing amount",IF(AND($E896&lt;0,$D896&lt;&gt;"Correction"),"negative amount - use a Correction to undo",IF(OR($B896&lt;Weeks!$A$6,$B896&gt;Weeks!$B$58),"date outside this workbook's year",IF(AND($D896="Advance",N($L896)&lt;0),"Warning: more than earned so far - worker now owes "&amp;ROUND(-$L896,0),"")))))))))</f>
        <v/>
      </c>
    </row>
    <row r="897" customFormat="false" ht="15" hidden="false" customHeight="false" outlineLevel="0" collapsed="false">
      <c r="A897" s="24" t="str">
        <f aca="false">IF($B897="","",ROW()-5)</f>
        <v/>
      </c>
      <c r="B897" s="25"/>
      <c r="C897" s="20"/>
      <c r="D897" s="26"/>
      <c r="E897" s="27"/>
      <c r="F897" s="20"/>
      <c r="G897" s="20"/>
      <c r="H897" s="26"/>
      <c r="I897" s="24" t="str">
        <f aca="false">IF($C897="","",IFERROR(INDEX(WorkerIDs,MATCH($C897,WorkerNames,0)),"?"))</f>
        <v/>
      </c>
      <c r="J897" s="18" t="str">
        <f aca="false">IF($B897="","",$B897-WEEKDAY($B897,2)+1)</f>
        <v/>
      </c>
      <c r="K897" s="28" t="str">
        <f aca="false">IF(OR($I897="",$I897="?",$D897&lt;&gt;"Advance",$B897=""),"",$I897&amp;"|"&amp;$J897&amp;"|"&amp;COUNTIFS($I$6:$I897,$I897,$J$6:$J897,$J897,$D$6:$D897,"Advance"))</f>
        <v/>
      </c>
      <c r="L897" s="29" t="str">
        <f aca="false">IF(OR($I897="",$I897="?",$B897=""),"",SUMPRODUCT((Weeks!$A$6:$A$58&lt;=$J897)*(Weeks!$Z$4:$AK$4=$I897)*Weeks!$Z$6:$AK$58)-SUMIFS($E$6:$E$1005,$I$6:$I$1005,$I897,$B$6:$B$1005,"&lt;="&amp;$B897))</f>
        <v/>
      </c>
      <c r="M897" s="19" t="str">
        <f aca="false">IF($B897&amp;$C897&amp;$D897&amp;$E897="","",IF($B897="","missing date",IF($C897="","missing worker",IF($I897="?","unknown worker - was the name changed on Workers?",IF($D897="","missing type",IF(N($E897)=0,"missing amount",IF(AND($E897&lt;0,$D897&lt;&gt;"Correction"),"negative amount - use a Correction to undo",IF(OR($B897&lt;Weeks!$A$6,$B897&gt;Weeks!$B$58),"date outside this workbook's year",IF(AND($D897="Advance",N($L897)&lt;0),"Warning: more than earned so far - worker now owes "&amp;ROUND(-$L897,0),"")))))))))</f>
        <v/>
      </c>
    </row>
    <row r="898" customFormat="false" ht="15" hidden="false" customHeight="false" outlineLevel="0" collapsed="false">
      <c r="A898" s="24" t="str">
        <f aca="false">IF($B898="","",ROW()-5)</f>
        <v/>
      </c>
      <c r="B898" s="25"/>
      <c r="C898" s="20"/>
      <c r="D898" s="26"/>
      <c r="E898" s="27"/>
      <c r="F898" s="20"/>
      <c r="G898" s="20"/>
      <c r="H898" s="26"/>
      <c r="I898" s="24" t="str">
        <f aca="false">IF($C898="","",IFERROR(INDEX(WorkerIDs,MATCH($C898,WorkerNames,0)),"?"))</f>
        <v/>
      </c>
      <c r="J898" s="18" t="str">
        <f aca="false">IF($B898="","",$B898-WEEKDAY($B898,2)+1)</f>
        <v/>
      </c>
      <c r="K898" s="28" t="str">
        <f aca="false">IF(OR($I898="",$I898="?",$D898&lt;&gt;"Advance",$B898=""),"",$I898&amp;"|"&amp;$J898&amp;"|"&amp;COUNTIFS($I$6:$I898,$I898,$J$6:$J898,$J898,$D$6:$D898,"Advance"))</f>
        <v/>
      </c>
      <c r="L898" s="29" t="str">
        <f aca="false">IF(OR($I898="",$I898="?",$B898=""),"",SUMPRODUCT((Weeks!$A$6:$A$58&lt;=$J898)*(Weeks!$Z$4:$AK$4=$I898)*Weeks!$Z$6:$AK$58)-SUMIFS($E$6:$E$1005,$I$6:$I$1005,$I898,$B$6:$B$1005,"&lt;="&amp;$B898))</f>
        <v/>
      </c>
      <c r="M898" s="19" t="str">
        <f aca="false">IF($B898&amp;$C898&amp;$D898&amp;$E898="","",IF($B898="","missing date",IF($C898="","missing worker",IF($I898="?","unknown worker - was the name changed on Workers?",IF($D898="","missing type",IF(N($E898)=0,"missing amount",IF(AND($E898&lt;0,$D898&lt;&gt;"Correction"),"negative amount - use a Correction to undo",IF(OR($B898&lt;Weeks!$A$6,$B898&gt;Weeks!$B$58),"date outside this workbook's year",IF(AND($D898="Advance",N($L898)&lt;0),"Warning: more than earned so far - worker now owes "&amp;ROUND(-$L898,0),"")))))))))</f>
        <v/>
      </c>
    </row>
    <row r="899" customFormat="false" ht="15" hidden="false" customHeight="false" outlineLevel="0" collapsed="false">
      <c r="A899" s="24" t="str">
        <f aca="false">IF($B899="","",ROW()-5)</f>
        <v/>
      </c>
      <c r="B899" s="25"/>
      <c r="C899" s="20"/>
      <c r="D899" s="26"/>
      <c r="E899" s="27"/>
      <c r="F899" s="20"/>
      <c r="G899" s="20"/>
      <c r="H899" s="26"/>
      <c r="I899" s="24" t="str">
        <f aca="false">IF($C899="","",IFERROR(INDEX(WorkerIDs,MATCH($C899,WorkerNames,0)),"?"))</f>
        <v/>
      </c>
      <c r="J899" s="18" t="str">
        <f aca="false">IF($B899="","",$B899-WEEKDAY($B899,2)+1)</f>
        <v/>
      </c>
      <c r="K899" s="28" t="str">
        <f aca="false">IF(OR($I899="",$I899="?",$D899&lt;&gt;"Advance",$B899=""),"",$I899&amp;"|"&amp;$J899&amp;"|"&amp;COUNTIFS($I$6:$I899,$I899,$J$6:$J899,$J899,$D$6:$D899,"Advance"))</f>
        <v/>
      </c>
      <c r="L899" s="29" t="str">
        <f aca="false">IF(OR($I899="",$I899="?",$B899=""),"",SUMPRODUCT((Weeks!$A$6:$A$58&lt;=$J899)*(Weeks!$Z$4:$AK$4=$I899)*Weeks!$Z$6:$AK$58)-SUMIFS($E$6:$E$1005,$I$6:$I$1005,$I899,$B$6:$B$1005,"&lt;="&amp;$B899))</f>
        <v/>
      </c>
      <c r="M899" s="19" t="str">
        <f aca="false">IF($B899&amp;$C899&amp;$D899&amp;$E899="","",IF($B899="","missing date",IF($C899="","missing worker",IF($I899="?","unknown worker - was the name changed on Workers?",IF($D899="","missing type",IF(N($E899)=0,"missing amount",IF(AND($E899&lt;0,$D899&lt;&gt;"Correction"),"negative amount - use a Correction to undo",IF(OR($B899&lt;Weeks!$A$6,$B899&gt;Weeks!$B$58),"date outside this workbook's year",IF(AND($D899="Advance",N($L899)&lt;0),"Warning: more than earned so far - worker now owes "&amp;ROUND(-$L899,0),"")))))))))</f>
        <v/>
      </c>
    </row>
    <row r="900" customFormat="false" ht="15" hidden="false" customHeight="false" outlineLevel="0" collapsed="false">
      <c r="A900" s="24" t="str">
        <f aca="false">IF($B900="","",ROW()-5)</f>
        <v/>
      </c>
      <c r="B900" s="25"/>
      <c r="C900" s="20"/>
      <c r="D900" s="26"/>
      <c r="E900" s="27"/>
      <c r="F900" s="20"/>
      <c r="G900" s="20"/>
      <c r="H900" s="26"/>
      <c r="I900" s="24" t="str">
        <f aca="false">IF($C900="","",IFERROR(INDEX(WorkerIDs,MATCH($C900,WorkerNames,0)),"?"))</f>
        <v/>
      </c>
      <c r="J900" s="18" t="str">
        <f aca="false">IF($B900="","",$B900-WEEKDAY($B900,2)+1)</f>
        <v/>
      </c>
      <c r="K900" s="28" t="str">
        <f aca="false">IF(OR($I900="",$I900="?",$D900&lt;&gt;"Advance",$B900=""),"",$I900&amp;"|"&amp;$J900&amp;"|"&amp;COUNTIFS($I$6:$I900,$I900,$J$6:$J900,$J900,$D$6:$D900,"Advance"))</f>
        <v/>
      </c>
      <c r="L900" s="29" t="str">
        <f aca="false">IF(OR($I900="",$I900="?",$B900=""),"",SUMPRODUCT((Weeks!$A$6:$A$58&lt;=$J900)*(Weeks!$Z$4:$AK$4=$I900)*Weeks!$Z$6:$AK$58)-SUMIFS($E$6:$E$1005,$I$6:$I$1005,$I900,$B$6:$B$1005,"&lt;="&amp;$B900))</f>
        <v/>
      </c>
      <c r="M900" s="19" t="str">
        <f aca="false">IF($B900&amp;$C900&amp;$D900&amp;$E900="","",IF($B900="","missing date",IF($C900="","missing worker",IF($I900="?","unknown worker - was the name changed on Workers?",IF($D900="","missing type",IF(N($E900)=0,"missing amount",IF(AND($E900&lt;0,$D900&lt;&gt;"Correction"),"negative amount - use a Correction to undo",IF(OR($B900&lt;Weeks!$A$6,$B900&gt;Weeks!$B$58),"date outside this workbook's year",IF(AND($D900="Advance",N($L900)&lt;0),"Warning: more than earned so far - worker now owes "&amp;ROUND(-$L900,0),"")))))))))</f>
        <v/>
      </c>
    </row>
    <row r="901" customFormat="false" ht="15" hidden="false" customHeight="false" outlineLevel="0" collapsed="false">
      <c r="A901" s="24" t="str">
        <f aca="false">IF($B901="","",ROW()-5)</f>
        <v/>
      </c>
      <c r="B901" s="25"/>
      <c r="C901" s="20"/>
      <c r="D901" s="26"/>
      <c r="E901" s="27"/>
      <c r="F901" s="20"/>
      <c r="G901" s="20"/>
      <c r="H901" s="26"/>
      <c r="I901" s="24" t="str">
        <f aca="false">IF($C901="","",IFERROR(INDEX(WorkerIDs,MATCH($C901,WorkerNames,0)),"?"))</f>
        <v/>
      </c>
      <c r="J901" s="18" t="str">
        <f aca="false">IF($B901="","",$B901-WEEKDAY($B901,2)+1)</f>
        <v/>
      </c>
      <c r="K901" s="28" t="str">
        <f aca="false">IF(OR($I901="",$I901="?",$D901&lt;&gt;"Advance",$B901=""),"",$I901&amp;"|"&amp;$J901&amp;"|"&amp;COUNTIFS($I$6:$I901,$I901,$J$6:$J901,$J901,$D$6:$D901,"Advance"))</f>
        <v/>
      </c>
      <c r="L901" s="29" t="str">
        <f aca="false">IF(OR($I901="",$I901="?",$B901=""),"",SUMPRODUCT((Weeks!$A$6:$A$58&lt;=$J901)*(Weeks!$Z$4:$AK$4=$I901)*Weeks!$Z$6:$AK$58)-SUMIFS($E$6:$E$1005,$I$6:$I$1005,$I901,$B$6:$B$1005,"&lt;="&amp;$B901))</f>
        <v/>
      </c>
      <c r="M901" s="19" t="str">
        <f aca="false">IF($B901&amp;$C901&amp;$D901&amp;$E901="","",IF($B901="","missing date",IF($C901="","missing worker",IF($I901="?","unknown worker - was the name changed on Workers?",IF($D901="","missing type",IF(N($E901)=0,"missing amount",IF(AND($E901&lt;0,$D901&lt;&gt;"Correction"),"negative amount - use a Correction to undo",IF(OR($B901&lt;Weeks!$A$6,$B901&gt;Weeks!$B$58),"date outside this workbook's year",IF(AND($D901="Advance",N($L901)&lt;0),"Warning: more than earned so far - worker now owes "&amp;ROUND(-$L901,0),"")))))))))</f>
        <v/>
      </c>
    </row>
    <row r="902" customFormat="false" ht="15" hidden="false" customHeight="false" outlineLevel="0" collapsed="false">
      <c r="A902" s="24" t="str">
        <f aca="false">IF($B902="","",ROW()-5)</f>
        <v/>
      </c>
      <c r="B902" s="25"/>
      <c r="C902" s="20"/>
      <c r="D902" s="26"/>
      <c r="E902" s="27"/>
      <c r="F902" s="20"/>
      <c r="G902" s="20"/>
      <c r="H902" s="26"/>
      <c r="I902" s="24" t="str">
        <f aca="false">IF($C902="","",IFERROR(INDEX(WorkerIDs,MATCH($C902,WorkerNames,0)),"?"))</f>
        <v/>
      </c>
      <c r="J902" s="18" t="str">
        <f aca="false">IF($B902="","",$B902-WEEKDAY($B902,2)+1)</f>
        <v/>
      </c>
      <c r="K902" s="28" t="str">
        <f aca="false">IF(OR($I902="",$I902="?",$D902&lt;&gt;"Advance",$B902=""),"",$I902&amp;"|"&amp;$J902&amp;"|"&amp;COUNTIFS($I$6:$I902,$I902,$J$6:$J902,$J902,$D$6:$D902,"Advance"))</f>
        <v/>
      </c>
      <c r="L902" s="29" t="str">
        <f aca="false">IF(OR($I902="",$I902="?",$B902=""),"",SUMPRODUCT((Weeks!$A$6:$A$58&lt;=$J902)*(Weeks!$Z$4:$AK$4=$I902)*Weeks!$Z$6:$AK$58)-SUMIFS($E$6:$E$1005,$I$6:$I$1005,$I902,$B$6:$B$1005,"&lt;="&amp;$B902))</f>
        <v/>
      </c>
      <c r="M902" s="19" t="str">
        <f aca="false">IF($B902&amp;$C902&amp;$D902&amp;$E902="","",IF($B902="","missing date",IF($C902="","missing worker",IF($I902="?","unknown worker - was the name changed on Workers?",IF($D902="","missing type",IF(N($E902)=0,"missing amount",IF(AND($E902&lt;0,$D902&lt;&gt;"Correction"),"negative amount - use a Correction to undo",IF(OR($B902&lt;Weeks!$A$6,$B902&gt;Weeks!$B$58),"date outside this workbook's year",IF(AND($D902="Advance",N($L902)&lt;0),"Warning: more than earned so far - worker now owes "&amp;ROUND(-$L902,0),"")))))))))</f>
        <v/>
      </c>
    </row>
    <row r="903" customFormat="false" ht="15" hidden="false" customHeight="false" outlineLevel="0" collapsed="false">
      <c r="A903" s="24" t="str">
        <f aca="false">IF($B903="","",ROW()-5)</f>
        <v/>
      </c>
      <c r="B903" s="25"/>
      <c r="C903" s="20"/>
      <c r="D903" s="26"/>
      <c r="E903" s="27"/>
      <c r="F903" s="20"/>
      <c r="G903" s="20"/>
      <c r="H903" s="26"/>
      <c r="I903" s="24" t="str">
        <f aca="false">IF($C903="","",IFERROR(INDEX(WorkerIDs,MATCH($C903,WorkerNames,0)),"?"))</f>
        <v/>
      </c>
      <c r="J903" s="18" t="str">
        <f aca="false">IF($B903="","",$B903-WEEKDAY($B903,2)+1)</f>
        <v/>
      </c>
      <c r="K903" s="28" t="str">
        <f aca="false">IF(OR($I903="",$I903="?",$D903&lt;&gt;"Advance",$B903=""),"",$I903&amp;"|"&amp;$J903&amp;"|"&amp;COUNTIFS($I$6:$I903,$I903,$J$6:$J903,$J903,$D$6:$D903,"Advance"))</f>
        <v/>
      </c>
      <c r="L903" s="29" t="str">
        <f aca="false">IF(OR($I903="",$I903="?",$B903=""),"",SUMPRODUCT((Weeks!$A$6:$A$58&lt;=$J903)*(Weeks!$Z$4:$AK$4=$I903)*Weeks!$Z$6:$AK$58)-SUMIFS($E$6:$E$1005,$I$6:$I$1005,$I903,$B$6:$B$1005,"&lt;="&amp;$B903))</f>
        <v/>
      </c>
      <c r="M903" s="19" t="str">
        <f aca="false">IF($B903&amp;$C903&amp;$D903&amp;$E903="","",IF($B903="","missing date",IF($C903="","missing worker",IF($I903="?","unknown worker - was the name changed on Workers?",IF($D903="","missing type",IF(N($E903)=0,"missing amount",IF(AND($E903&lt;0,$D903&lt;&gt;"Correction"),"negative amount - use a Correction to undo",IF(OR($B903&lt;Weeks!$A$6,$B903&gt;Weeks!$B$58),"date outside this workbook's year",IF(AND($D903="Advance",N($L903)&lt;0),"Warning: more than earned so far - worker now owes "&amp;ROUND(-$L903,0),"")))))))))</f>
        <v/>
      </c>
    </row>
    <row r="904" customFormat="false" ht="15" hidden="false" customHeight="false" outlineLevel="0" collapsed="false">
      <c r="A904" s="24" t="str">
        <f aca="false">IF($B904="","",ROW()-5)</f>
        <v/>
      </c>
      <c r="B904" s="25"/>
      <c r="C904" s="20"/>
      <c r="D904" s="26"/>
      <c r="E904" s="27"/>
      <c r="F904" s="20"/>
      <c r="G904" s="20"/>
      <c r="H904" s="26"/>
      <c r="I904" s="24" t="str">
        <f aca="false">IF($C904="","",IFERROR(INDEX(WorkerIDs,MATCH($C904,WorkerNames,0)),"?"))</f>
        <v/>
      </c>
      <c r="J904" s="18" t="str">
        <f aca="false">IF($B904="","",$B904-WEEKDAY($B904,2)+1)</f>
        <v/>
      </c>
      <c r="K904" s="28" t="str">
        <f aca="false">IF(OR($I904="",$I904="?",$D904&lt;&gt;"Advance",$B904=""),"",$I904&amp;"|"&amp;$J904&amp;"|"&amp;COUNTIFS($I$6:$I904,$I904,$J$6:$J904,$J904,$D$6:$D904,"Advance"))</f>
        <v/>
      </c>
      <c r="L904" s="29" t="str">
        <f aca="false">IF(OR($I904="",$I904="?",$B904=""),"",SUMPRODUCT((Weeks!$A$6:$A$58&lt;=$J904)*(Weeks!$Z$4:$AK$4=$I904)*Weeks!$Z$6:$AK$58)-SUMIFS($E$6:$E$1005,$I$6:$I$1005,$I904,$B$6:$B$1005,"&lt;="&amp;$B904))</f>
        <v/>
      </c>
      <c r="M904" s="19" t="str">
        <f aca="false">IF($B904&amp;$C904&amp;$D904&amp;$E904="","",IF($B904="","missing date",IF($C904="","missing worker",IF($I904="?","unknown worker - was the name changed on Workers?",IF($D904="","missing type",IF(N($E904)=0,"missing amount",IF(AND($E904&lt;0,$D904&lt;&gt;"Correction"),"negative amount - use a Correction to undo",IF(OR($B904&lt;Weeks!$A$6,$B904&gt;Weeks!$B$58),"date outside this workbook's year",IF(AND($D904="Advance",N($L904)&lt;0),"Warning: more than earned so far - worker now owes "&amp;ROUND(-$L904,0),"")))))))))</f>
        <v/>
      </c>
    </row>
    <row r="905" customFormat="false" ht="15" hidden="false" customHeight="false" outlineLevel="0" collapsed="false">
      <c r="A905" s="24" t="str">
        <f aca="false">IF($B905="","",ROW()-5)</f>
        <v/>
      </c>
      <c r="B905" s="25"/>
      <c r="C905" s="20"/>
      <c r="D905" s="26"/>
      <c r="E905" s="27"/>
      <c r="F905" s="20"/>
      <c r="G905" s="20"/>
      <c r="H905" s="26"/>
      <c r="I905" s="24" t="str">
        <f aca="false">IF($C905="","",IFERROR(INDEX(WorkerIDs,MATCH($C905,WorkerNames,0)),"?"))</f>
        <v/>
      </c>
      <c r="J905" s="18" t="str">
        <f aca="false">IF($B905="","",$B905-WEEKDAY($B905,2)+1)</f>
        <v/>
      </c>
      <c r="K905" s="28" t="str">
        <f aca="false">IF(OR($I905="",$I905="?",$D905&lt;&gt;"Advance",$B905=""),"",$I905&amp;"|"&amp;$J905&amp;"|"&amp;COUNTIFS($I$6:$I905,$I905,$J$6:$J905,$J905,$D$6:$D905,"Advance"))</f>
        <v/>
      </c>
      <c r="L905" s="29" t="str">
        <f aca="false">IF(OR($I905="",$I905="?",$B905=""),"",SUMPRODUCT((Weeks!$A$6:$A$58&lt;=$J905)*(Weeks!$Z$4:$AK$4=$I905)*Weeks!$Z$6:$AK$58)-SUMIFS($E$6:$E$1005,$I$6:$I$1005,$I905,$B$6:$B$1005,"&lt;="&amp;$B905))</f>
        <v/>
      </c>
      <c r="M905" s="19" t="str">
        <f aca="false">IF($B905&amp;$C905&amp;$D905&amp;$E905="","",IF($B905="","missing date",IF($C905="","missing worker",IF($I905="?","unknown worker - was the name changed on Workers?",IF($D905="","missing type",IF(N($E905)=0,"missing amount",IF(AND($E905&lt;0,$D905&lt;&gt;"Correction"),"negative amount - use a Correction to undo",IF(OR($B905&lt;Weeks!$A$6,$B905&gt;Weeks!$B$58),"date outside this workbook's year",IF(AND($D905="Advance",N($L905)&lt;0),"Warning: more than earned so far - worker now owes "&amp;ROUND(-$L905,0),"")))))))))</f>
        <v/>
      </c>
    </row>
    <row r="906" customFormat="false" ht="15" hidden="false" customHeight="false" outlineLevel="0" collapsed="false">
      <c r="A906" s="24" t="str">
        <f aca="false">IF($B906="","",ROW()-5)</f>
        <v/>
      </c>
      <c r="B906" s="25"/>
      <c r="C906" s="20"/>
      <c r="D906" s="26"/>
      <c r="E906" s="27"/>
      <c r="F906" s="20"/>
      <c r="G906" s="20"/>
      <c r="H906" s="26"/>
      <c r="I906" s="24" t="str">
        <f aca="false">IF($C906="","",IFERROR(INDEX(WorkerIDs,MATCH($C906,WorkerNames,0)),"?"))</f>
        <v/>
      </c>
      <c r="J906" s="18" t="str">
        <f aca="false">IF($B906="","",$B906-WEEKDAY($B906,2)+1)</f>
        <v/>
      </c>
      <c r="K906" s="28" t="str">
        <f aca="false">IF(OR($I906="",$I906="?",$D906&lt;&gt;"Advance",$B906=""),"",$I906&amp;"|"&amp;$J906&amp;"|"&amp;COUNTIFS($I$6:$I906,$I906,$J$6:$J906,$J906,$D$6:$D906,"Advance"))</f>
        <v/>
      </c>
      <c r="L906" s="29" t="str">
        <f aca="false">IF(OR($I906="",$I906="?",$B906=""),"",SUMPRODUCT((Weeks!$A$6:$A$58&lt;=$J906)*(Weeks!$Z$4:$AK$4=$I906)*Weeks!$Z$6:$AK$58)-SUMIFS($E$6:$E$1005,$I$6:$I$1005,$I906,$B$6:$B$1005,"&lt;="&amp;$B906))</f>
        <v/>
      </c>
      <c r="M906" s="19" t="str">
        <f aca="false">IF($B906&amp;$C906&amp;$D906&amp;$E906="","",IF($B906="","missing date",IF($C906="","missing worker",IF($I906="?","unknown worker - was the name changed on Workers?",IF($D906="","missing type",IF(N($E906)=0,"missing amount",IF(AND($E906&lt;0,$D906&lt;&gt;"Correction"),"negative amount - use a Correction to undo",IF(OR($B906&lt;Weeks!$A$6,$B906&gt;Weeks!$B$58),"date outside this workbook's year",IF(AND($D906="Advance",N($L906)&lt;0),"Warning: more than earned so far - worker now owes "&amp;ROUND(-$L906,0),"")))))))))</f>
        <v/>
      </c>
    </row>
    <row r="907" customFormat="false" ht="15" hidden="false" customHeight="false" outlineLevel="0" collapsed="false">
      <c r="A907" s="24" t="str">
        <f aca="false">IF($B907="","",ROW()-5)</f>
        <v/>
      </c>
      <c r="B907" s="25"/>
      <c r="C907" s="20"/>
      <c r="D907" s="26"/>
      <c r="E907" s="27"/>
      <c r="F907" s="20"/>
      <c r="G907" s="20"/>
      <c r="H907" s="26"/>
      <c r="I907" s="24" t="str">
        <f aca="false">IF($C907="","",IFERROR(INDEX(WorkerIDs,MATCH($C907,WorkerNames,0)),"?"))</f>
        <v/>
      </c>
      <c r="J907" s="18" t="str">
        <f aca="false">IF($B907="","",$B907-WEEKDAY($B907,2)+1)</f>
        <v/>
      </c>
      <c r="K907" s="28" t="str">
        <f aca="false">IF(OR($I907="",$I907="?",$D907&lt;&gt;"Advance",$B907=""),"",$I907&amp;"|"&amp;$J907&amp;"|"&amp;COUNTIFS($I$6:$I907,$I907,$J$6:$J907,$J907,$D$6:$D907,"Advance"))</f>
        <v/>
      </c>
      <c r="L907" s="29" t="str">
        <f aca="false">IF(OR($I907="",$I907="?",$B907=""),"",SUMPRODUCT((Weeks!$A$6:$A$58&lt;=$J907)*(Weeks!$Z$4:$AK$4=$I907)*Weeks!$Z$6:$AK$58)-SUMIFS($E$6:$E$1005,$I$6:$I$1005,$I907,$B$6:$B$1005,"&lt;="&amp;$B907))</f>
        <v/>
      </c>
      <c r="M907" s="19" t="str">
        <f aca="false">IF($B907&amp;$C907&amp;$D907&amp;$E907="","",IF($B907="","missing date",IF($C907="","missing worker",IF($I907="?","unknown worker - was the name changed on Workers?",IF($D907="","missing type",IF(N($E907)=0,"missing amount",IF(AND($E907&lt;0,$D907&lt;&gt;"Correction"),"negative amount - use a Correction to undo",IF(OR($B907&lt;Weeks!$A$6,$B907&gt;Weeks!$B$58),"date outside this workbook's year",IF(AND($D907="Advance",N($L907)&lt;0),"Warning: more than earned so far - worker now owes "&amp;ROUND(-$L907,0),"")))))))))</f>
        <v/>
      </c>
    </row>
    <row r="908" customFormat="false" ht="15" hidden="false" customHeight="false" outlineLevel="0" collapsed="false">
      <c r="A908" s="24" t="str">
        <f aca="false">IF($B908="","",ROW()-5)</f>
        <v/>
      </c>
      <c r="B908" s="25"/>
      <c r="C908" s="20"/>
      <c r="D908" s="26"/>
      <c r="E908" s="27"/>
      <c r="F908" s="20"/>
      <c r="G908" s="20"/>
      <c r="H908" s="26"/>
      <c r="I908" s="24" t="str">
        <f aca="false">IF($C908="","",IFERROR(INDEX(WorkerIDs,MATCH($C908,WorkerNames,0)),"?"))</f>
        <v/>
      </c>
      <c r="J908" s="18" t="str">
        <f aca="false">IF($B908="","",$B908-WEEKDAY($B908,2)+1)</f>
        <v/>
      </c>
      <c r="K908" s="28" t="str">
        <f aca="false">IF(OR($I908="",$I908="?",$D908&lt;&gt;"Advance",$B908=""),"",$I908&amp;"|"&amp;$J908&amp;"|"&amp;COUNTIFS($I$6:$I908,$I908,$J$6:$J908,$J908,$D$6:$D908,"Advance"))</f>
        <v/>
      </c>
      <c r="L908" s="29" t="str">
        <f aca="false">IF(OR($I908="",$I908="?",$B908=""),"",SUMPRODUCT((Weeks!$A$6:$A$58&lt;=$J908)*(Weeks!$Z$4:$AK$4=$I908)*Weeks!$Z$6:$AK$58)-SUMIFS($E$6:$E$1005,$I$6:$I$1005,$I908,$B$6:$B$1005,"&lt;="&amp;$B908))</f>
        <v/>
      </c>
      <c r="M908" s="19" t="str">
        <f aca="false">IF($B908&amp;$C908&amp;$D908&amp;$E908="","",IF($B908="","missing date",IF($C908="","missing worker",IF($I908="?","unknown worker - was the name changed on Workers?",IF($D908="","missing type",IF(N($E908)=0,"missing amount",IF(AND($E908&lt;0,$D908&lt;&gt;"Correction"),"negative amount - use a Correction to undo",IF(OR($B908&lt;Weeks!$A$6,$B908&gt;Weeks!$B$58),"date outside this workbook's year",IF(AND($D908="Advance",N($L908)&lt;0),"Warning: more than earned so far - worker now owes "&amp;ROUND(-$L908,0),"")))))))))</f>
        <v/>
      </c>
    </row>
    <row r="909" customFormat="false" ht="15" hidden="false" customHeight="false" outlineLevel="0" collapsed="false">
      <c r="A909" s="24" t="str">
        <f aca="false">IF($B909="","",ROW()-5)</f>
        <v/>
      </c>
      <c r="B909" s="25"/>
      <c r="C909" s="20"/>
      <c r="D909" s="26"/>
      <c r="E909" s="27"/>
      <c r="F909" s="20"/>
      <c r="G909" s="20"/>
      <c r="H909" s="26"/>
      <c r="I909" s="24" t="str">
        <f aca="false">IF($C909="","",IFERROR(INDEX(WorkerIDs,MATCH($C909,WorkerNames,0)),"?"))</f>
        <v/>
      </c>
      <c r="J909" s="18" t="str">
        <f aca="false">IF($B909="","",$B909-WEEKDAY($B909,2)+1)</f>
        <v/>
      </c>
      <c r="K909" s="28" t="str">
        <f aca="false">IF(OR($I909="",$I909="?",$D909&lt;&gt;"Advance",$B909=""),"",$I909&amp;"|"&amp;$J909&amp;"|"&amp;COUNTIFS($I$6:$I909,$I909,$J$6:$J909,$J909,$D$6:$D909,"Advance"))</f>
        <v/>
      </c>
      <c r="L909" s="29" t="str">
        <f aca="false">IF(OR($I909="",$I909="?",$B909=""),"",SUMPRODUCT((Weeks!$A$6:$A$58&lt;=$J909)*(Weeks!$Z$4:$AK$4=$I909)*Weeks!$Z$6:$AK$58)-SUMIFS($E$6:$E$1005,$I$6:$I$1005,$I909,$B$6:$B$1005,"&lt;="&amp;$B909))</f>
        <v/>
      </c>
      <c r="M909" s="19" t="str">
        <f aca="false">IF($B909&amp;$C909&amp;$D909&amp;$E909="","",IF($B909="","missing date",IF($C909="","missing worker",IF($I909="?","unknown worker - was the name changed on Workers?",IF($D909="","missing type",IF(N($E909)=0,"missing amount",IF(AND($E909&lt;0,$D909&lt;&gt;"Correction"),"negative amount - use a Correction to undo",IF(OR($B909&lt;Weeks!$A$6,$B909&gt;Weeks!$B$58),"date outside this workbook's year",IF(AND($D909="Advance",N($L909)&lt;0),"Warning: more than earned so far - worker now owes "&amp;ROUND(-$L909,0),"")))))))))</f>
        <v/>
      </c>
    </row>
    <row r="910" customFormat="false" ht="15" hidden="false" customHeight="false" outlineLevel="0" collapsed="false">
      <c r="A910" s="24" t="str">
        <f aca="false">IF($B910="","",ROW()-5)</f>
        <v/>
      </c>
      <c r="B910" s="25"/>
      <c r="C910" s="20"/>
      <c r="D910" s="26"/>
      <c r="E910" s="27"/>
      <c r="F910" s="20"/>
      <c r="G910" s="20"/>
      <c r="H910" s="26"/>
      <c r="I910" s="24" t="str">
        <f aca="false">IF($C910="","",IFERROR(INDEX(WorkerIDs,MATCH($C910,WorkerNames,0)),"?"))</f>
        <v/>
      </c>
      <c r="J910" s="18" t="str">
        <f aca="false">IF($B910="","",$B910-WEEKDAY($B910,2)+1)</f>
        <v/>
      </c>
      <c r="K910" s="28" t="str">
        <f aca="false">IF(OR($I910="",$I910="?",$D910&lt;&gt;"Advance",$B910=""),"",$I910&amp;"|"&amp;$J910&amp;"|"&amp;COUNTIFS($I$6:$I910,$I910,$J$6:$J910,$J910,$D$6:$D910,"Advance"))</f>
        <v/>
      </c>
      <c r="L910" s="29" t="str">
        <f aca="false">IF(OR($I910="",$I910="?",$B910=""),"",SUMPRODUCT((Weeks!$A$6:$A$58&lt;=$J910)*(Weeks!$Z$4:$AK$4=$I910)*Weeks!$Z$6:$AK$58)-SUMIFS($E$6:$E$1005,$I$6:$I$1005,$I910,$B$6:$B$1005,"&lt;="&amp;$B910))</f>
        <v/>
      </c>
      <c r="M910" s="19" t="str">
        <f aca="false">IF($B910&amp;$C910&amp;$D910&amp;$E910="","",IF($B910="","missing date",IF($C910="","missing worker",IF($I910="?","unknown worker - was the name changed on Workers?",IF($D910="","missing type",IF(N($E910)=0,"missing amount",IF(AND($E910&lt;0,$D910&lt;&gt;"Correction"),"negative amount - use a Correction to undo",IF(OR($B910&lt;Weeks!$A$6,$B910&gt;Weeks!$B$58),"date outside this workbook's year",IF(AND($D910="Advance",N($L910)&lt;0),"Warning: more than earned so far - worker now owes "&amp;ROUND(-$L910,0),"")))))))))</f>
        <v/>
      </c>
    </row>
    <row r="911" customFormat="false" ht="15" hidden="false" customHeight="false" outlineLevel="0" collapsed="false">
      <c r="A911" s="24" t="str">
        <f aca="false">IF($B911="","",ROW()-5)</f>
        <v/>
      </c>
      <c r="B911" s="25"/>
      <c r="C911" s="20"/>
      <c r="D911" s="26"/>
      <c r="E911" s="27"/>
      <c r="F911" s="20"/>
      <c r="G911" s="20"/>
      <c r="H911" s="26"/>
      <c r="I911" s="24" t="str">
        <f aca="false">IF($C911="","",IFERROR(INDEX(WorkerIDs,MATCH($C911,WorkerNames,0)),"?"))</f>
        <v/>
      </c>
      <c r="J911" s="18" t="str">
        <f aca="false">IF($B911="","",$B911-WEEKDAY($B911,2)+1)</f>
        <v/>
      </c>
      <c r="K911" s="28" t="str">
        <f aca="false">IF(OR($I911="",$I911="?",$D911&lt;&gt;"Advance",$B911=""),"",$I911&amp;"|"&amp;$J911&amp;"|"&amp;COUNTIFS($I$6:$I911,$I911,$J$6:$J911,$J911,$D$6:$D911,"Advance"))</f>
        <v/>
      </c>
      <c r="L911" s="29" t="str">
        <f aca="false">IF(OR($I911="",$I911="?",$B911=""),"",SUMPRODUCT((Weeks!$A$6:$A$58&lt;=$J911)*(Weeks!$Z$4:$AK$4=$I911)*Weeks!$Z$6:$AK$58)-SUMIFS($E$6:$E$1005,$I$6:$I$1005,$I911,$B$6:$B$1005,"&lt;="&amp;$B911))</f>
        <v/>
      </c>
      <c r="M911" s="19" t="str">
        <f aca="false">IF($B911&amp;$C911&amp;$D911&amp;$E911="","",IF($B911="","missing date",IF($C911="","missing worker",IF($I911="?","unknown worker - was the name changed on Workers?",IF($D911="","missing type",IF(N($E911)=0,"missing amount",IF(AND($E911&lt;0,$D911&lt;&gt;"Correction"),"negative amount - use a Correction to undo",IF(OR($B911&lt;Weeks!$A$6,$B911&gt;Weeks!$B$58),"date outside this workbook's year",IF(AND($D911="Advance",N($L911)&lt;0),"Warning: more than earned so far - worker now owes "&amp;ROUND(-$L911,0),"")))))))))</f>
        <v/>
      </c>
    </row>
    <row r="912" customFormat="false" ht="15" hidden="false" customHeight="false" outlineLevel="0" collapsed="false">
      <c r="A912" s="24" t="str">
        <f aca="false">IF($B912="","",ROW()-5)</f>
        <v/>
      </c>
      <c r="B912" s="25"/>
      <c r="C912" s="20"/>
      <c r="D912" s="26"/>
      <c r="E912" s="27"/>
      <c r="F912" s="20"/>
      <c r="G912" s="20"/>
      <c r="H912" s="26"/>
      <c r="I912" s="24" t="str">
        <f aca="false">IF($C912="","",IFERROR(INDEX(WorkerIDs,MATCH($C912,WorkerNames,0)),"?"))</f>
        <v/>
      </c>
      <c r="J912" s="18" t="str">
        <f aca="false">IF($B912="","",$B912-WEEKDAY($B912,2)+1)</f>
        <v/>
      </c>
      <c r="K912" s="28" t="str">
        <f aca="false">IF(OR($I912="",$I912="?",$D912&lt;&gt;"Advance",$B912=""),"",$I912&amp;"|"&amp;$J912&amp;"|"&amp;COUNTIFS($I$6:$I912,$I912,$J$6:$J912,$J912,$D$6:$D912,"Advance"))</f>
        <v/>
      </c>
      <c r="L912" s="29" t="str">
        <f aca="false">IF(OR($I912="",$I912="?",$B912=""),"",SUMPRODUCT((Weeks!$A$6:$A$58&lt;=$J912)*(Weeks!$Z$4:$AK$4=$I912)*Weeks!$Z$6:$AK$58)-SUMIFS($E$6:$E$1005,$I$6:$I$1005,$I912,$B$6:$B$1005,"&lt;="&amp;$B912))</f>
        <v/>
      </c>
      <c r="M912" s="19" t="str">
        <f aca="false">IF($B912&amp;$C912&amp;$D912&amp;$E912="","",IF($B912="","missing date",IF($C912="","missing worker",IF($I912="?","unknown worker - was the name changed on Workers?",IF($D912="","missing type",IF(N($E912)=0,"missing amount",IF(AND($E912&lt;0,$D912&lt;&gt;"Correction"),"negative amount - use a Correction to undo",IF(OR($B912&lt;Weeks!$A$6,$B912&gt;Weeks!$B$58),"date outside this workbook's year",IF(AND($D912="Advance",N($L912)&lt;0),"Warning: more than earned so far - worker now owes "&amp;ROUND(-$L912,0),"")))))))))</f>
        <v/>
      </c>
    </row>
    <row r="913" customFormat="false" ht="15" hidden="false" customHeight="false" outlineLevel="0" collapsed="false">
      <c r="A913" s="24" t="str">
        <f aca="false">IF($B913="","",ROW()-5)</f>
        <v/>
      </c>
      <c r="B913" s="25"/>
      <c r="C913" s="20"/>
      <c r="D913" s="26"/>
      <c r="E913" s="27"/>
      <c r="F913" s="20"/>
      <c r="G913" s="20"/>
      <c r="H913" s="26"/>
      <c r="I913" s="24" t="str">
        <f aca="false">IF($C913="","",IFERROR(INDEX(WorkerIDs,MATCH($C913,WorkerNames,0)),"?"))</f>
        <v/>
      </c>
      <c r="J913" s="18" t="str">
        <f aca="false">IF($B913="","",$B913-WEEKDAY($B913,2)+1)</f>
        <v/>
      </c>
      <c r="K913" s="28" t="str">
        <f aca="false">IF(OR($I913="",$I913="?",$D913&lt;&gt;"Advance",$B913=""),"",$I913&amp;"|"&amp;$J913&amp;"|"&amp;COUNTIFS($I$6:$I913,$I913,$J$6:$J913,$J913,$D$6:$D913,"Advance"))</f>
        <v/>
      </c>
      <c r="L913" s="29" t="str">
        <f aca="false">IF(OR($I913="",$I913="?",$B913=""),"",SUMPRODUCT((Weeks!$A$6:$A$58&lt;=$J913)*(Weeks!$Z$4:$AK$4=$I913)*Weeks!$Z$6:$AK$58)-SUMIFS($E$6:$E$1005,$I$6:$I$1005,$I913,$B$6:$B$1005,"&lt;="&amp;$B913))</f>
        <v/>
      </c>
      <c r="M913" s="19" t="str">
        <f aca="false">IF($B913&amp;$C913&amp;$D913&amp;$E913="","",IF($B913="","missing date",IF($C913="","missing worker",IF($I913="?","unknown worker - was the name changed on Workers?",IF($D913="","missing type",IF(N($E913)=0,"missing amount",IF(AND($E913&lt;0,$D913&lt;&gt;"Correction"),"negative amount - use a Correction to undo",IF(OR($B913&lt;Weeks!$A$6,$B913&gt;Weeks!$B$58),"date outside this workbook's year",IF(AND($D913="Advance",N($L913)&lt;0),"Warning: more than earned so far - worker now owes "&amp;ROUND(-$L913,0),"")))))))))</f>
        <v/>
      </c>
    </row>
    <row r="914" customFormat="false" ht="15" hidden="false" customHeight="false" outlineLevel="0" collapsed="false">
      <c r="A914" s="24" t="str">
        <f aca="false">IF($B914="","",ROW()-5)</f>
        <v/>
      </c>
      <c r="B914" s="25"/>
      <c r="C914" s="20"/>
      <c r="D914" s="26"/>
      <c r="E914" s="27"/>
      <c r="F914" s="20"/>
      <c r="G914" s="20"/>
      <c r="H914" s="26"/>
      <c r="I914" s="24" t="str">
        <f aca="false">IF($C914="","",IFERROR(INDEX(WorkerIDs,MATCH($C914,WorkerNames,0)),"?"))</f>
        <v/>
      </c>
      <c r="J914" s="18" t="str">
        <f aca="false">IF($B914="","",$B914-WEEKDAY($B914,2)+1)</f>
        <v/>
      </c>
      <c r="K914" s="28" t="str">
        <f aca="false">IF(OR($I914="",$I914="?",$D914&lt;&gt;"Advance",$B914=""),"",$I914&amp;"|"&amp;$J914&amp;"|"&amp;COUNTIFS($I$6:$I914,$I914,$J$6:$J914,$J914,$D$6:$D914,"Advance"))</f>
        <v/>
      </c>
      <c r="L914" s="29" t="str">
        <f aca="false">IF(OR($I914="",$I914="?",$B914=""),"",SUMPRODUCT((Weeks!$A$6:$A$58&lt;=$J914)*(Weeks!$Z$4:$AK$4=$I914)*Weeks!$Z$6:$AK$58)-SUMIFS($E$6:$E$1005,$I$6:$I$1005,$I914,$B$6:$B$1005,"&lt;="&amp;$B914))</f>
        <v/>
      </c>
      <c r="M914" s="19" t="str">
        <f aca="false">IF($B914&amp;$C914&amp;$D914&amp;$E914="","",IF($B914="","missing date",IF($C914="","missing worker",IF($I914="?","unknown worker - was the name changed on Workers?",IF($D914="","missing type",IF(N($E914)=0,"missing amount",IF(AND($E914&lt;0,$D914&lt;&gt;"Correction"),"negative amount - use a Correction to undo",IF(OR($B914&lt;Weeks!$A$6,$B914&gt;Weeks!$B$58),"date outside this workbook's year",IF(AND($D914="Advance",N($L914)&lt;0),"Warning: more than earned so far - worker now owes "&amp;ROUND(-$L914,0),"")))))))))</f>
        <v/>
      </c>
    </row>
    <row r="915" customFormat="false" ht="15" hidden="false" customHeight="false" outlineLevel="0" collapsed="false">
      <c r="A915" s="24" t="str">
        <f aca="false">IF($B915="","",ROW()-5)</f>
        <v/>
      </c>
      <c r="B915" s="25"/>
      <c r="C915" s="20"/>
      <c r="D915" s="26"/>
      <c r="E915" s="27"/>
      <c r="F915" s="20"/>
      <c r="G915" s="20"/>
      <c r="H915" s="26"/>
      <c r="I915" s="24" t="str">
        <f aca="false">IF($C915="","",IFERROR(INDEX(WorkerIDs,MATCH($C915,WorkerNames,0)),"?"))</f>
        <v/>
      </c>
      <c r="J915" s="18" t="str">
        <f aca="false">IF($B915="","",$B915-WEEKDAY($B915,2)+1)</f>
        <v/>
      </c>
      <c r="K915" s="28" t="str">
        <f aca="false">IF(OR($I915="",$I915="?",$D915&lt;&gt;"Advance",$B915=""),"",$I915&amp;"|"&amp;$J915&amp;"|"&amp;COUNTIFS($I$6:$I915,$I915,$J$6:$J915,$J915,$D$6:$D915,"Advance"))</f>
        <v/>
      </c>
      <c r="L915" s="29" t="str">
        <f aca="false">IF(OR($I915="",$I915="?",$B915=""),"",SUMPRODUCT((Weeks!$A$6:$A$58&lt;=$J915)*(Weeks!$Z$4:$AK$4=$I915)*Weeks!$Z$6:$AK$58)-SUMIFS($E$6:$E$1005,$I$6:$I$1005,$I915,$B$6:$B$1005,"&lt;="&amp;$B915))</f>
        <v/>
      </c>
      <c r="M915" s="19" t="str">
        <f aca="false">IF($B915&amp;$C915&amp;$D915&amp;$E915="","",IF($B915="","missing date",IF($C915="","missing worker",IF($I915="?","unknown worker - was the name changed on Workers?",IF($D915="","missing type",IF(N($E915)=0,"missing amount",IF(AND($E915&lt;0,$D915&lt;&gt;"Correction"),"negative amount - use a Correction to undo",IF(OR($B915&lt;Weeks!$A$6,$B915&gt;Weeks!$B$58),"date outside this workbook's year",IF(AND($D915="Advance",N($L915)&lt;0),"Warning: more than earned so far - worker now owes "&amp;ROUND(-$L915,0),"")))))))))</f>
        <v/>
      </c>
    </row>
    <row r="916" customFormat="false" ht="15" hidden="false" customHeight="false" outlineLevel="0" collapsed="false">
      <c r="A916" s="24" t="str">
        <f aca="false">IF($B916="","",ROW()-5)</f>
        <v/>
      </c>
      <c r="B916" s="25"/>
      <c r="C916" s="20"/>
      <c r="D916" s="26"/>
      <c r="E916" s="27"/>
      <c r="F916" s="20"/>
      <c r="G916" s="20"/>
      <c r="H916" s="26"/>
      <c r="I916" s="24" t="str">
        <f aca="false">IF($C916="","",IFERROR(INDEX(WorkerIDs,MATCH($C916,WorkerNames,0)),"?"))</f>
        <v/>
      </c>
      <c r="J916" s="18" t="str">
        <f aca="false">IF($B916="","",$B916-WEEKDAY($B916,2)+1)</f>
        <v/>
      </c>
      <c r="K916" s="28" t="str">
        <f aca="false">IF(OR($I916="",$I916="?",$D916&lt;&gt;"Advance",$B916=""),"",$I916&amp;"|"&amp;$J916&amp;"|"&amp;COUNTIFS($I$6:$I916,$I916,$J$6:$J916,$J916,$D$6:$D916,"Advance"))</f>
        <v/>
      </c>
      <c r="L916" s="29" t="str">
        <f aca="false">IF(OR($I916="",$I916="?",$B916=""),"",SUMPRODUCT((Weeks!$A$6:$A$58&lt;=$J916)*(Weeks!$Z$4:$AK$4=$I916)*Weeks!$Z$6:$AK$58)-SUMIFS($E$6:$E$1005,$I$6:$I$1005,$I916,$B$6:$B$1005,"&lt;="&amp;$B916))</f>
        <v/>
      </c>
      <c r="M916" s="19" t="str">
        <f aca="false">IF($B916&amp;$C916&amp;$D916&amp;$E916="","",IF($B916="","missing date",IF($C916="","missing worker",IF($I916="?","unknown worker - was the name changed on Workers?",IF($D916="","missing type",IF(N($E916)=0,"missing amount",IF(AND($E916&lt;0,$D916&lt;&gt;"Correction"),"negative amount - use a Correction to undo",IF(OR($B916&lt;Weeks!$A$6,$B916&gt;Weeks!$B$58),"date outside this workbook's year",IF(AND($D916="Advance",N($L916)&lt;0),"Warning: more than earned so far - worker now owes "&amp;ROUND(-$L916,0),"")))))))))</f>
        <v/>
      </c>
    </row>
    <row r="917" customFormat="false" ht="15" hidden="false" customHeight="false" outlineLevel="0" collapsed="false">
      <c r="A917" s="24" t="str">
        <f aca="false">IF($B917="","",ROW()-5)</f>
        <v/>
      </c>
      <c r="B917" s="25"/>
      <c r="C917" s="20"/>
      <c r="D917" s="26"/>
      <c r="E917" s="27"/>
      <c r="F917" s="20"/>
      <c r="G917" s="20"/>
      <c r="H917" s="26"/>
      <c r="I917" s="24" t="str">
        <f aca="false">IF($C917="","",IFERROR(INDEX(WorkerIDs,MATCH($C917,WorkerNames,0)),"?"))</f>
        <v/>
      </c>
      <c r="J917" s="18" t="str">
        <f aca="false">IF($B917="","",$B917-WEEKDAY($B917,2)+1)</f>
        <v/>
      </c>
      <c r="K917" s="28" t="str">
        <f aca="false">IF(OR($I917="",$I917="?",$D917&lt;&gt;"Advance",$B917=""),"",$I917&amp;"|"&amp;$J917&amp;"|"&amp;COUNTIFS($I$6:$I917,$I917,$J$6:$J917,$J917,$D$6:$D917,"Advance"))</f>
        <v/>
      </c>
      <c r="L917" s="29" t="str">
        <f aca="false">IF(OR($I917="",$I917="?",$B917=""),"",SUMPRODUCT((Weeks!$A$6:$A$58&lt;=$J917)*(Weeks!$Z$4:$AK$4=$I917)*Weeks!$Z$6:$AK$58)-SUMIFS($E$6:$E$1005,$I$6:$I$1005,$I917,$B$6:$B$1005,"&lt;="&amp;$B917))</f>
        <v/>
      </c>
      <c r="M917" s="19" t="str">
        <f aca="false">IF($B917&amp;$C917&amp;$D917&amp;$E917="","",IF($B917="","missing date",IF($C917="","missing worker",IF($I917="?","unknown worker - was the name changed on Workers?",IF($D917="","missing type",IF(N($E917)=0,"missing amount",IF(AND($E917&lt;0,$D917&lt;&gt;"Correction"),"negative amount - use a Correction to undo",IF(OR($B917&lt;Weeks!$A$6,$B917&gt;Weeks!$B$58),"date outside this workbook's year",IF(AND($D917="Advance",N($L917)&lt;0),"Warning: more than earned so far - worker now owes "&amp;ROUND(-$L917,0),"")))))))))</f>
        <v/>
      </c>
    </row>
    <row r="918" customFormat="false" ht="15" hidden="false" customHeight="false" outlineLevel="0" collapsed="false">
      <c r="A918" s="24" t="str">
        <f aca="false">IF($B918="","",ROW()-5)</f>
        <v/>
      </c>
      <c r="B918" s="25"/>
      <c r="C918" s="20"/>
      <c r="D918" s="26"/>
      <c r="E918" s="27"/>
      <c r="F918" s="20"/>
      <c r="G918" s="20"/>
      <c r="H918" s="26"/>
      <c r="I918" s="24" t="str">
        <f aca="false">IF($C918="","",IFERROR(INDEX(WorkerIDs,MATCH($C918,WorkerNames,0)),"?"))</f>
        <v/>
      </c>
      <c r="J918" s="18" t="str">
        <f aca="false">IF($B918="","",$B918-WEEKDAY($B918,2)+1)</f>
        <v/>
      </c>
      <c r="K918" s="28" t="str">
        <f aca="false">IF(OR($I918="",$I918="?",$D918&lt;&gt;"Advance",$B918=""),"",$I918&amp;"|"&amp;$J918&amp;"|"&amp;COUNTIFS($I$6:$I918,$I918,$J$6:$J918,$J918,$D$6:$D918,"Advance"))</f>
        <v/>
      </c>
      <c r="L918" s="29" t="str">
        <f aca="false">IF(OR($I918="",$I918="?",$B918=""),"",SUMPRODUCT((Weeks!$A$6:$A$58&lt;=$J918)*(Weeks!$Z$4:$AK$4=$I918)*Weeks!$Z$6:$AK$58)-SUMIFS($E$6:$E$1005,$I$6:$I$1005,$I918,$B$6:$B$1005,"&lt;="&amp;$B918))</f>
        <v/>
      </c>
      <c r="M918" s="19" t="str">
        <f aca="false">IF($B918&amp;$C918&amp;$D918&amp;$E918="","",IF($B918="","missing date",IF($C918="","missing worker",IF($I918="?","unknown worker - was the name changed on Workers?",IF($D918="","missing type",IF(N($E918)=0,"missing amount",IF(AND($E918&lt;0,$D918&lt;&gt;"Correction"),"negative amount - use a Correction to undo",IF(OR($B918&lt;Weeks!$A$6,$B918&gt;Weeks!$B$58),"date outside this workbook's year",IF(AND($D918="Advance",N($L918)&lt;0),"Warning: more than earned so far - worker now owes "&amp;ROUND(-$L918,0),"")))))))))</f>
        <v/>
      </c>
    </row>
    <row r="919" customFormat="false" ht="15" hidden="false" customHeight="false" outlineLevel="0" collapsed="false">
      <c r="A919" s="24" t="str">
        <f aca="false">IF($B919="","",ROW()-5)</f>
        <v/>
      </c>
      <c r="B919" s="25"/>
      <c r="C919" s="20"/>
      <c r="D919" s="26"/>
      <c r="E919" s="27"/>
      <c r="F919" s="20"/>
      <c r="G919" s="20"/>
      <c r="H919" s="26"/>
      <c r="I919" s="24" t="str">
        <f aca="false">IF($C919="","",IFERROR(INDEX(WorkerIDs,MATCH($C919,WorkerNames,0)),"?"))</f>
        <v/>
      </c>
      <c r="J919" s="18" t="str">
        <f aca="false">IF($B919="","",$B919-WEEKDAY($B919,2)+1)</f>
        <v/>
      </c>
      <c r="K919" s="28" t="str">
        <f aca="false">IF(OR($I919="",$I919="?",$D919&lt;&gt;"Advance",$B919=""),"",$I919&amp;"|"&amp;$J919&amp;"|"&amp;COUNTIFS($I$6:$I919,$I919,$J$6:$J919,$J919,$D$6:$D919,"Advance"))</f>
        <v/>
      </c>
      <c r="L919" s="29" t="str">
        <f aca="false">IF(OR($I919="",$I919="?",$B919=""),"",SUMPRODUCT((Weeks!$A$6:$A$58&lt;=$J919)*(Weeks!$Z$4:$AK$4=$I919)*Weeks!$Z$6:$AK$58)-SUMIFS($E$6:$E$1005,$I$6:$I$1005,$I919,$B$6:$B$1005,"&lt;="&amp;$B919))</f>
        <v/>
      </c>
      <c r="M919" s="19" t="str">
        <f aca="false">IF($B919&amp;$C919&amp;$D919&amp;$E919="","",IF($B919="","missing date",IF($C919="","missing worker",IF($I919="?","unknown worker - was the name changed on Workers?",IF($D919="","missing type",IF(N($E919)=0,"missing amount",IF(AND($E919&lt;0,$D919&lt;&gt;"Correction"),"negative amount - use a Correction to undo",IF(OR($B919&lt;Weeks!$A$6,$B919&gt;Weeks!$B$58),"date outside this workbook's year",IF(AND($D919="Advance",N($L919)&lt;0),"Warning: more than earned so far - worker now owes "&amp;ROUND(-$L919,0),"")))))))))</f>
        <v/>
      </c>
    </row>
    <row r="920" customFormat="false" ht="15" hidden="false" customHeight="false" outlineLevel="0" collapsed="false">
      <c r="A920" s="24" t="str">
        <f aca="false">IF($B920="","",ROW()-5)</f>
        <v/>
      </c>
      <c r="B920" s="25"/>
      <c r="C920" s="20"/>
      <c r="D920" s="26"/>
      <c r="E920" s="27"/>
      <c r="F920" s="20"/>
      <c r="G920" s="20"/>
      <c r="H920" s="26"/>
      <c r="I920" s="24" t="str">
        <f aca="false">IF($C920="","",IFERROR(INDEX(WorkerIDs,MATCH($C920,WorkerNames,0)),"?"))</f>
        <v/>
      </c>
      <c r="J920" s="18" t="str">
        <f aca="false">IF($B920="","",$B920-WEEKDAY($B920,2)+1)</f>
        <v/>
      </c>
      <c r="K920" s="28" t="str">
        <f aca="false">IF(OR($I920="",$I920="?",$D920&lt;&gt;"Advance",$B920=""),"",$I920&amp;"|"&amp;$J920&amp;"|"&amp;COUNTIFS($I$6:$I920,$I920,$J$6:$J920,$J920,$D$6:$D920,"Advance"))</f>
        <v/>
      </c>
      <c r="L920" s="29" t="str">
        <f aca="false">IF(OR($I920="",$I920="?",$B920=""),"",SUMPRODUCT((Weeks!$A$6:$A$58&lt;=$J920)*(Weeks!$Z$4:$AK$4=$I920)*Weeks!$Z$6:$AK$58)-SUMIFS($E$6:$E$1005,$I$6:$I$1005,$I920,$B$6:$B$1005,"&lt;="&amp;$B920))</f>
        <v/>
      </c>
      <c r="M920" s="19" t="str">
        <f aca="false">IF($B920&amp;$C920&amp;$D920&amp;$E920="","",IF($B920="","missing date",IF($C920="","missing worker",IF($I920="?","unknown worker - was the name changed on Workers?",IF($D920="","missing type",IF(N($E920)=0,"missing amount",IF(AND($E920&lt;0,$D920&lt;&gt;"Correction"),"negative amount - use a Correction to undo",IF(OR($B920&lt;Weeks!$A$6,$B920&gt;Weeks!$B$58),"date outside this workbook's year",IF(AND($D920="Advance",N($L920)&lt;0),"Warning: more than earned so far - worker now owes "&amp;ROUND(-$L920,0),"")))))))))</f>
        <v/>
      </c>
    </row>
    <row r="921" customFormat="false" ht="15" hidden="false" customHeight="false" outlineLevel="0" collapsed="false">
      <c r="A921" s="24" t="str">
        <f aca="false">IF($B921="","",ROW()-5)</f>
        <v/>
      </c>
      <c r="B921" s="25"/>
      <c r="C921" s="20"/>
      <c r="D921" s="26"/>
      <c r="E921" s="27"/>
      <c r="F921" s="20"/>
      <c r="G921" s="20"/>
      <c r="H921" s="26"/>
      <c r="I921" s="24" t="str">
        <f aca="false">IF($C921="","",IFERROR(INDEX(WorkerIDs,MATCH($C921,WorkerNames,0)),"?"))</f>
        <v/>
      </c>
      <c r="J921" s="18" t="str">
        <f aca="false">IF($B921="","",$B921-WEEKDAY($B921,2)+1)</f>
        <v/>
      </c>
      <c r="K921" s="28" t="str">
        <f aca="false">IF(OR($I921="",$I921="?",$D921&lt;&gt;"Advance",$B921=""),"",$I921&amp;"|"&amp;$J921&amp;"|"&amp;COUNTIFS($I$6:$I921,$I921,$J$6:$J921,$J921,$D$6:$D921,"Advance"))</f>
        <v/>
      </c>
      <c r="L921" s="29" t="str">
        <f aca="false">IF(OR($I921="",$I921="?",$B921=""),"",SUMPRODUCT((Weeks!$A$6:$A$58&lt;=$J921)*(Weeks!$Z$4:$AK$4=$I921)*Weeks!$Z$6:$AK$58)-SUMIFS($E$6:$E$1005,$I$6:$I$1005,$I921,$B$6:$B$1005,"&lt;="&amp;$B921))</f>
        <v/>
      </c>
      <c r="M921" s="19" t="str">
        <f aca="false">IF($B921&amp;$C921&amp;$D921&amp;$E921="","",IF($B921="","missing date",IF($C921="","missing worker",IF($I921="?","unknown worker - was the name changed on Workers?",IF($D921="","missing type",IF(N($E921)=0,"missing amount",IF(AND($E921&lt;0,$D921&lt;&gt;"Correction"),"negative amount - use a Correction to undo",IF(OR($B921&lt;Weeks!$A$6,$B921&gt;Weeks!$B$58),"date outside this workbook's year",IF(AND($D921="Advance",N($L921)&lt;0),"Warning: more than earned so far - worker now owes "&amp;ROUND(-$L921,0),"")))))))))</f>
        <v/>
      </c>
    </row>
    <row r="922" customFormat="false" ht="15" hidden="false" customHeight="false" outlineLevel="0" collapsed="false">
      <c r="A922" s="24" t="str">
        <f aca="false">IF($B922="","",ROW()-5)</f>
        <v/>
      </c>
      <c r="B922" s="25"/>
      <c r="C922" s="20"/>
      <c r="D922" s="26"/>
      <c r="E922" s="27"/>
      <c r="F922" s="20"/>
      <c r="G922" s="20"/>
      <c r="H922" s="26"/>
      <c r="I922" s="24" t="str">
        <f aca="false">IF($C922="","",IFERROR(INDEX(WorkerIDs,MATCH($C922,WorkerNames,0)),"?"))</f>
        <v/>
      </c>
      <c r="J922" s="18" t="str">
        <f aca="false">IF($B922="","",$B922-WEEKDAY($B922,2)+1)</f>
        <v/>
      </c>
      <c r="K922" s="28" t="str">
        <f aca="false">IF(OR($I922="",$I922="?",$D922&lt;&gt;"Advance",$B922=""),"",$I922&amp;"|"&amp;$J922&amp;"|"&amp;COUNTIFS($I$6:$I922,$I922,$J$6:$J922,$J922,$D$6:$D922,"Advance"))</f>
        <v/>
      </c>
      <c r="L922" s="29" t="str">
        <f aca="false">IF(OR($I922="",$I922="?",$B922=""),"",SUMPRODUCT((Weeks!$A$6:$A$58&lt;=$J922)*(Weeks!$Z$4:$AK$4=$I922)*Weeks!$Z$6:$AK$58)-SUMIFS($E$6:$E$1005,$I$6:$I$1005,$I922,$B$6:$B$1005,"&lt;="&amp;$B922))</f>
        <v/>
      </c>
      <c r="M922" s="19" t="str">
        <f aca="false">IF($B922&amp;$C922&amp;$D922&amp;$E922="","",IF($B922="","missing date",IF($C922="","missing worker",IF($I922="?","unknown worker - was the name changed on Workers?",IF($D922="","missing type",IF(N($E922)=0,"missing amount",IF(AND($E922&lt;0,$D922&lt;&gt;"Correction"),"negative amount - use a Correction to undo",IF(OR($B922&lt;Weeks!$A$6,$B922&gt;Weeks!$B$58),"date outside this workbook's year",IF(AND($D922="Advance",N($L922)&lt;0),"Warning: more than earned so far - worker now owes "&amp;ROUND(-$L922,0),"")))))))))</f>
        <v/>
      </c>
    </row>
    <row r="923" customFormat="false" ht="15" hidden="false" customHeight="false" outlineLevel="0" collapsed="false">
      <c r="A923" s="24" t="str">
        <f aca="false">IF($B923="","",ROW()-5)</f>
        <v/>
      </c>
      <c r="B923" s="25"/>
      <c r="C923" s="20"/>
      <c r="D923" s="26"/>
      <c r="E923" s="27"/>
      <c r="F923" s="20"/>
      <c r="G923" s="20"/>
      <c r="H923" s="26"/>
      <c r="I923" s="24" t="str">
        <f aca="false">IF($C923="","",IFERROR(INDEX(WorkerIDs,MATCH($C923,WorkerNames,0)),"?"))</f>
        <v/>
      </c>
      <c r="J923" s="18" t="str">
        <f aca="false">IF($B923="","",$B923-WEEKDAY($B923,2)+1)</f>
        <v/>
      </c>
      <c r="K923" s="28" t="str">
        <f aca="false">IF(OR($I923="",$I923="?",$D923&lt;&gt;"Advance",$B923=""),"",$I923&amp;"|"&amp;$J923&amp;"|"&amp;COUNTIFS($I$6:$I923,$I923,$J$6:$J923,$J923,$D$6:$D923,"Advance"))</f>
        <v/>
      </c>
      <c r="L923" s="29" t="str">
        <f aca="false">IF(OR($I923="",$I923="?",$B923=""),"",SUMPRODUCT((Weeks!$A$6:$A$58&lt;=$J923)*(Weeks!$Z$4:$AK$4=$I923)*Weeks!$Z$6:$AK$58)-SUMIFS($E$6:$E$1005,$I$6:$I$1005,$I923,$B$6:$B$1005,"&lt;="&amp;$B923))</f>
        <v/>
      </c>
      <c r="M923" s="19" t="str">
        <f aca="false">IF($B923&amp;$C923&amp;$D923&amp;$E923="","",IF($B923="","missing date",IF($C923="","missing worker",IF($I923="?","unknown worker - was the name changed on Workers?",IF($D923="","missing type",IF(N($E923)=0,"missing amount",IF(AND($E923&lt;0,$D923&lt;&gt;"Correction"),"negative amount - use a Correction to undo",IF(OR($B923&lt;Weeks!$A$6,$B923&gt;Weeks!$B$58),"date outside this workbook's year",IF(AND($D923="Advance",N($L923)&lt;0),"Warning: more than earned so far - worker now owes "&amp;ROUND(-$L923,0),"")))))))))</f>
        <v/>
      </c>
    </row>
    <row r="924" customFormat="false" ht="15" hidden="false" customHeight="false" outlineLevel="0" collapsed="false">
      <c r="A924" s="24" t="str">
        <f aca="false">IF($B924="","",ROW()-5)</f>
        <v/>
      </c>
      <c r="B924" s="25"/>
      <c r="C924" s="20"/>
      <c r="D924" s="26"/>
      <c r="E924" s="27"/>
      <c r="F924" s="20"/>
      <c r="G924" s="20"/>
      <c r="H924" s="26"/>
      <c r="I924" s="24" t="str">
        <f aca="false">IF($C924="","",IFERROR(INDEX(WorkerIDs,MATCH($C924,WorkerNames,0)),"?"))</f>
        <v/>
      </c>
      <c r="J924" s="18" t="str">
        <f aca="false">IF($B924="","",$B924-WEEKDAY($B924,2)+1)</f>
        <v/>
      </c>
      <c r="K924" s="28" t="str">
        <f aca="false">IF(OR($I924="",$I924="?",$D924&lt;&gt;"Advance",$B924=""),"",$I924&amp;"|"&amp;$J924&amp;"|"&amp;COUNTIFS($I$6:$I924,$I924,$J$6:$J924,$J924,$D$6:$D924,"Advance"))</f>
        <v/>
      </c>
      <c r="L924" s="29" t="str">
        <f aca="false">IF(OR($I924="",$I924="?",$B924=""),"",SUMPRODUCT((Weeks!$A$6:$A$58&lt;=$J924)*(Weeks!$Z$4:$AK$4=$I924)*Weeks!$Z$6:$AK$58)-SUMIFS($E$6:$E$1005,$I$6:$I$1005,$I924,$B$6:$B$1005,"&lt;="&amp;$B924))</f>
        <v/>
      </c>
      <c r="M924" s="19" t="str">
        <f aca="false">IF($B924&amp;$C924&amp;$D924&amp;$E924="","",IF($B924="","missing date",IF($C924="","missing worker",IF($I924="?","unknown worker - was the name changed on Workers?",IF($D924="","missing type",IF(N($E924)=0,"missing amount",IF(AND($E924&lt;0,$D924&lt;&gt;"Correction"),"negative amount - use a Correction to undo",IF(OR($B924&lt;Weeks!$A$6,$B924&gt;Weeks!$B$58),"date outside this workbook's year",IF(AND($D924="Advance",N($L924)&lt;0),"Warning: more than earned so far - worker now owes "&amp;ROUND(-$L924,0),"")))))))))</f>
        <v/>
      </c>
    </row>
    <row r="925" customFormat="false" ht="15" hidden="false" customHeight="false" outlineLevel="0" collapsed="false">
      <c r="A925" s="24" t="str">
        <f aca="false">IF($B925="","",ROW()-5)</f>
        <v/>
      </c>
      <c r="B925" s="25"/>
      <c r="C925" s="20"/>
      <c r="D925" s="26"/>
      <c r="E925" s="27"/>
      <c r="F925" s="20"/>
      <c r="G925" s="20"/>
      <c r="H925" s="26"/>
      <c r="I925" s="24" t="str">
        <f aca="false">IF($C925="","",IFERROR(INDEX(WorkerIDs,MATCH($C925,WorkerNames,0)),"?"))</f>
        <v/>
      </c>
      <c r="J925" s="18" t="str">
        <f aca="false">IF($B925="","",$B925-WEEKDAY($B925,2)+1)</f>
        <v/>
      </c>
      <c r="K925" s="28" t="str">
        <f aca="false">IF(OR($I925="",$I925="?",$D925&lt;&gt;"Advance",$B925=""),"",$I925&amp;"|"&amp;$J925&amp;"|"&amp;COUNTIFS($I$6:$I925,$I925,$J$6:$J925,$J925,$D$6:$D925,"Advance"))</f>
        <v/>
      </c>
      <c r="L925" s="29" t="str">
        <f aca="false">IF(OR($I925="",$I925="?",$B925=""),"",SUMPRODUCT((Weeks!$A$6:$A$58&lt;=$J925)*(Weeks!$Z$4:$AK$4=$I925)*Weeks!$Z$6:$AK$58)-SUMIFS($E$6:$E$1005,$I$6:$I$1005,$I925,$B$6:$B$1005,"&lt;="&amp;$B925))</f>
        <v/>
      </c>
      <c r="M925" s="19" t="str">
        <f aca="false">IF($B925&amp;$C925&amp;$D925&amp;$E925="","",IF($B925="","missing date",IF($C925="","missing worker",IF($I925="?","unknown worker - was the name changed on Workers?",IF($D925="","missing type",IF(N($E925)=0,"missing amount",IF(AND($E925&lt;0,$D925&lt;&gt;"Correction"),"negative amount - use a Correction to undo",IF(OR($B925&lt;Weeks!$A$6,$B925&gt;Weeks!$B$58),"date outside this workbook's year",IF(AND($D925="Advance",N($L925)&lt;0),"Warning: more than earned so far - worker now owes "&amp;ROUND(-$L925,0),"")))))))))</f>
        <v/>
      </c>
    </row>
    <row r="926" customFormat="false" ht="15" hidden="false" customHeight="false" outlineLevel="0" collapsed="false">
      <c r="A926" s="24" t="str">
        <f aca="false">IF($B926="","",ROW()-5)</f>
        <v/>
      </c>
      <c r="B926" s="25"/>
      <c r="C926" s="20"/>
      <c r="D926" s="26"/>
      <c r="E926" s="27"/>
      <c r="F926" s="20"/>
      <c r="G926" s="20"/>
      <c r="H926" s="26"/>
      <c r="I926" s="24" t="str">
        <f aca="false">IF($C926="","",IFERROR(INDEX(WorkerIDs,MATCH($C926,WorkerNames,0)),"?"))</f>
        <v/>
      </c>
      <c r="J926" s="18" t="str">
        <f aca="false">IF($B926="","",$B926-WEEKDAY($B926,2)+1)</f>
        <v/>
      </c>
      <c r="K926" s="28" t="str">
        <f aca="false">IF(OR($I926="",$I926="?",$D926&lt;&gt;"Advance",$B926=""),"",$I926&amp;"|"&amp;$J926&amp;"|"&amp;COUNTIFS($I$6:$I926,$I926,$J$6:$J926,$J926,$D$6:$D926,"Advance"))</f>
        <v/>
      </c>
      <c r="L926" s="29" t="str">
        <f aca="false">IF(OR($I926="",$I926="?",$B926=""),"",SUMPRODUCT((Weeks!$A$6:$A$58&lt;=$J926)*(Weeks!$Z$4:$AK$4=$I926)*Weeks!$Z$6:$AK$58)-SUMIFS($E$6:$E$1005,$I$6:$I$1005,$I926,$B$6:$B$1005,"&lt;="&amp;$B926))</f>
        <v/>
      </c>
      <c r="M926" s="19" t="str">
        <f aca="false">IF($B926&amp;$C926&amp;$D926&amp;$E926="","",IF($B926="","missing date",IF($C926="","missing worker",IF($I926="?","unknown worker - was the name changed on Workers?",IF($D926="","missing type",IF(N($E926)=0,"missing amount",IF(AND($E926&lt;0,$D926&lt;&gt;"Correction"),"negative amount - use a Correction to undo",IF(OR($B926&lt;Weeks!$A$6,$B926&gt;Weeks!$B$58),"date outside this workbook's year",IF(AND($D926="Advance",N($L926)&lt;0),"Warning: more than earned so far - worker now owes "&amp;ROUND(-$L926,0),"")))))))))</f>
        <v/>
      </c>
    </row>
    <row r="927" customFormat="false" ht="15" hidden="false" customHeight="false" outlineLevel="0" collapsed="false">
      <c r="A927" s="24" t="str">
        <f aca="false">IF($B927="","",ROW()-5)</f>
        <v/>
      </c>
      <c r="B927" s="25"/>
      <c r="C927" s="20"/>
      <c r="D927" s="26"/>
      <c r="E927" s="27"/>
      <c r="F927" s="20"/>
      <c r="G927" s="20"/>
      <c r="H927" s="26"/>
      <c r="I927" s="24" t="str">
        <f aca="false">IF($C927="","",IFERROR(INDEX(WorkerIDs,MATCH($C927,WorkerNames,0)),"?"))</f>
        <v/>
      </c>
      <c r="J927" s="18" t="str">
        <f aca="false">IF($B927="","",$B927-WEEKDAY($B927,2)+1)</f>
        <v/>
      </c>
      <c r="K927" s="28" t="str">
        <f aca="false">IF(OR($I927="",$I927="?",$D927&lt;&gt;"Advance",$B927=""),"",$I927&amp;"|"&amp;$J927&amp;"|"&amp;COUNTIFS($I$6:$I927,$I927,$J$6:$J927,$J927,$D$6:$D927,"Advance"))</f>
        <v/>
      </c>
      <c r="L927" s="29" t="str">
        <f aca="false">IF(OR($I927="",$I927="?",$B927=""),"",SUMPRODUCT((Weeks!$A$6:$A$58&lt;=$J927)*(Weeks!$Z$4:$AK$4=$I927)*Weeks!$Z$6:$AK$58)-SUMIFS($E$6:$E$1005,$I$6:$I$1005,$I927,$B$6:$B$1005,"&lt;="&amp;$B927))</f>
        <v/>
      </c>
      <c r="M927" s="19" t="str">
        <f aca="false">IF($B927&amp;$C927&amp;$D927&amp;$E927="","",IF($B927="","missing date",IF($C927="","missing worker",IF($I927="?","unknown worker - was the name changed on Workers?",IF($D927="","missing type",IF(N($E927)=0,"missing amount",IF(AND($E927&lt;0,$D927&lt;&gt;"Correction"),"negative amount - use a Correction to undo",IF(OR($B927&lt;Weeks!$A$6,$B927&gt;Weeks!$B$58),"date outside this workbook's year",IF(AND($D927="Advance",N($L927)&lt;0),"Warning: more than earned so far - worker now owes "&amp;ROUND(-$L927,0),"")))))))))</f>
        <v/>
      </c>
    </row>
    <row r="928" customFormat="false" ht="15" hidden="false" customHeight="false" outlineLevel="0" collapsed="false">
      <c r="A928" s="24" t="str">
        <f aca="false">IF($B928="","",ROW()-5)</f>
        <v/>
      </c>
      <c r="B928" s="25"/>
      <c r="C928" s="20"/>
      <c r="D928" s="26"/>
      <c r="E928" s="27"/>
      <c r="F928" s="20"/>
      <c r="G928" s="20"/>
      <c r="H928" s="26"/>
      <c r="I928" s="24" t="str">
        <f aca="false">IF($C928="","",IFERROR(INDEX(WorkerIDs,MATCH($C928,WorkerNames,0)),"?"))</f>
        <v/>
      </c>
      <c r="J928" s="18" t="str">
        <f aca="false">IF($B928="","",$B928-WEEKDAY($B928,2)+1)</f>
        <v/>
      </c>
      <c r="K928" s="28" t="str">
        <f aca="false">IF(OR($I928="",$I928="?",$D928&lt;&gt;"Advance",$B928=""),"",$I928&amp;"|"&amp;$J928&amp;"|"&amp;COUNTIFS($I$6:$I928,$I928,$J$6:$J928,$J928,$D$6:$D928,"Advance"))</f>
        <v/>
      </c>
      <c r="L928" s="29" t="str">
        <f aca="false">IF(OR($I928="",$I928="?",$B928=""),"",SUMPRODUCT((Weeks!$A$6:$A$58&lt;=$J928)*(Weeks!$Z$4:$AK$4=$I928)*Weeks!$Z$6:$AK$58)-SUMIFS($E$6:$E$1005,$I$6:$I$1005,$I928,$B$6:$B$1005,"&lt;="&amp;$B928))</f>
        <v/>
      </c>
      <c r="M928" s="19" t="str">
        <f aca="false">IF($B928&amp;$C928&amp;$D928&amp;$E928="","",IF($B928="","missing date",IF($C928="","missing worker",IF($I928="?","unknown worker - was the name changed on Workers?",IF($D928="","missing type",IF(N($E928)=0,"missing amount",IF(AND($E928&lt;0,$D928&lt;&gt;"Correction"),"negative amount - use a Correction to undo",IF(OR($B928&lt;Weeks!$A$6,$B928&gt;Weeks!$B$58),"date outside this workbook's year",IF(AND($D928="Advance",N($L928)&lt;0),"Warning: more than earned so far - worker now owes "&amp;ROUND(-$L928,0),"")))))))))</f>
        <v/>
      </c>
    </row>
    <row r="929" customFormat="false" ht="15" hidden="false" customHeight="false" outlineLevel="0" collapsed="false">
      <c r="A929" s="24" t="str">
        <f aca="false">IF($B929="","",ROW()-5)</f>
        <v/>
      </c>
      <c r="B929" s="25"/>
      <c r="C929" s="20"/>
      <c r="D929" s="26"/>
      <c r="E929" s="27"/>
      <c r="F929" s="20"/>
      <c r="G929" s="20"/>
      <c r="H929" s="26"/>
      <c r="I929" s="24" t="str">
        <f aca="false">IF($C929="","",IFERROR(INDEX(WorkerIDs,MATCH($C929,WorkerNames,0)),"?"))</f>
        <v/>
      </c>
      <c r="J929" s="18" t="str">
        <f aca="false">IF($B929="","",$B929-WEEKDAY($B929,2)+1)</f>
        <v/>
      </c>
      <c r="K929" s="28" t="str">
        <f aca="false">IF(OR($I929="",$I929="?",$D929&lt;&gt;"Advance",$B929=""),"",$I929&amp;"|"&amp;$J929&amp;"|"&amp;COUNTIFS($I$6:$I929,$I929,$J$6:$J929,$J929,$D$6:$D929,"Advance"))</f>
        <v/>
      </c>
      <c r="L929" s="29" t="str">
        <f aca="false">IF(OR($I929="",$I929="?",$B929=""),"",SUMPRODUCT((Weeks!$A$6:$A$58&lt;=$J929)*(Weeks!$Z$4:$AK$4=$I929)*Weeks!$Z$6:$AK$58)-SUMIFS($E$6:$E$1005,$I$6:$I$1005,$I929,$B$6:$B$1005,"&lt;="&amp;$B929))</f>
        <v/>
      </c>
      <c r="M929" s="19" t="str">
        <f aca="false">IF($B929&amp;$C929&amp;$D929&amp;$E929="","",IF($B929="","missing date",IF($C929="","missing worker",IF($I929="?","unknown worker - was the name changed on Workers?",IF($D929="","missing type",IF(N($E929)=0,"missing amount",IF(AND($E929&lt;0,$D929&lt;&gt;"Correction"),"negative amount - use a Correction to undo",IF(OR($B929&lt;Weeks!$A$6,$B929&gt;Weeks!$B$58),"date outside this workbook's year",IF(AND($D929="Advance",N($L929)&lt;0),"Warning: more than earned so far - worker now owes "&amp;ROUND(-$L929,0),"")))))))))</f>
        <v/>
      </c>
    </row>
    <row r="930" customFormat="false" ht="15" hidden="false" customHeight="false" outlineLevel="0" collapsed="false">
      <c r="A930" s="24" t="str">
        <f aca="false">IF($B930="","",ROW()-5)</f>
        <v/>
      </c>
      <c r="B930" s="25"/>
      <c r="C930" s="20"/>
      <c r="D930" s="26"/>
      <c r="E930" s="27"/>
      <c r="F930" s="20"/>
      <c r="G930" s="20"/>
      <c r="H930" s="26"/>
      <c r="I930" s="24" t="str">
        <f aca="false">IF($C930="","",IFERROR(INDEX(WorkerIDs,MATCH($C930,WorkerNames,0)),"?"))</f>
        <v/>
      </c>
      <c r="J930" s="18" t="str">
        <f aca="false">IF($B930="","",$B930-WEEKDAY($B930,2)+1)</f>
        <v/>
      </c>
      <c r="K930" s="28" t="str">
        <f aca="false">IF(OR($I930="",$I930="?",$D930&lt;&gt;"Advance",$B930=""),"",$I930&amp;"|"&amp;$J930&amp;"|"&amp;COUNTIFS($I$6:$I930,$I930,$J$6:$J930,$J930,$D$6:$D930,"Advance"))</f>
        <v/>
      </c>
      <c r="L930" s="29" t="str">
        <f aca="false">IF(OR($I930="",$I930="?",$B930=""),"",SUMPRODUCT((Weeks!$A$6:$A$58&lt;=$J930)*(Weeks!$Z$4:$AK$4=$I930)*Weeks!$Z$6:$AK$58)-SUMIFS($E$6:$E$1005,$I$6:$I$1005,$I930,$B$6:$B$1005,"&lt;="&amp;$B930))</f>
        <v/>
      </c>
      <c r="M930" s="19" t="str">
        <f aca="false">IF($B930&amp;$C930&amp;$D930&amp;$E930="","",IF($B930="","missing date",IF($C930="","missing worker",IF($I930="?","unknown worker - was the name changed on Workers?",IF($D930="","missing type",IF(N($E930)=0,"missing amount",IF(AND($E930&lt;0,$D930&lt;&gt;"Correction"),"negative amount - use a Correction to undo",IF(OR($B930&lt;Weeks!$A$6,$B930&gt;Weeks!$B$58),"date outside this workbook's year",IF(AND($D930="Advance",N($L930)&lt;0),"Warning: more than earned so far - worker now owes "&amp;ROUND(-$L930,0),"")))))))))</f>
        <v/>
      </c>
    </row>
    <row r="931" customFormat="false" ht="15" hidden="false" customHeight="false" outlineLevel="0" collapsed="false">
      <c r="A931" s="24" t="str">
        <f aca="false">IF($B931="","",ROW()-5)</f>
        <v/>
      </c>
      <c r="B931" s="25"/>
      <c r="C931" s="20"/>
      <c r="D931" s="26"/>
      <c r="E931" s="27"/>
      <c r="F931" s="20"/>
      <c r="G931" s="20"/>
      <c r="H931" s="26"/>
      <c r="I931" s="24" t="str">
        <f aca="false">IF($C931="","",IFERROR(INDEX(WorkerIDs,MATCH($C931,WorkerNames,0)),"?"))</f>
        <v/>
      </c>
      <c r="J931" s="18" t="str">
        <f aca="false">IF($B931="","",$B931-WEEKDAY($B931,2)+1)</f>
        <v/>
      </c>
      <c r="K931" s="28" t="str">
        <f aca="false">IF(OR($I931="",$I931="?",$D931&lt;&gt;"Advance",$B931=""),"",$I931&amp;"|"&amp;$J931&amp;"|"&amp;COUNTIFS($I$6:$I931,$I931,$J$6:$J931,$J931,$D$6:$D931,"Advance"))</f>
        <v/>
      </c>
      <c r="L931" s="29" t="str">
        <f aca="false">IF(OR($I931="",$I931="?",$B931=""),"",SUMPRODUCT((Weeks!$A$6:$A$58&lt;=$J931)*(Weeks!$Z$4:$AK$4=$I931)*Weeks!$Z$6:$AK$58)-SUMIFS($E$6:$E$1005,$I$6:$I$1005,$I931,$B$6:$B$1005,"&lt;="&amp;$B931))</f>
        <v/>
      </c>
      <c r="M931" s="19" t="str">
        <f aca="false">IF($B931&amp;$C931&amp;$D931&amp;$E931="","",IF($B931="","missing date",IF($C931="","missing worker",IF($I931="?","unknown worker - was the name changed on Workers?",IF($D931="","missing type",IF(N($E931)=0,"missing amount",IF(AND($E931&lt;0,$D931&lt;&gt;"Correction"),"negative amount - use a Correction to undo",IF(OR($B931&lt;Weeks!$A$6,$B931&gt;Weeks!$B$58),"date outside this workbook's year",IF(AND($D931="Advance",N($L931)&lt;0),"Warning: more than earned so far - worker now owes "&amp;ROUND(-$L931,0),"")))))))))</f>
        <v/>
      </c>
    </row>
    <row r="932" customFormat="false" ht="15" hidden="false" customHeight="false" outlineLevel="0" collapsed="false">
      <c r="A932" s="24" t="str">
        <f aca="false">IF($B932="","",ROW()-5)</f>
        <v/>
      </c>
      <c r="B932" s="25"/>
      <c r="C932" s="20"/>
      <c r="D932" s="26"/>
      <c r="E932" s="27"/>
      <c r="F932" s="20"/>
      <c r="G932" s="20"/>
      <c r="H932" s="26"/>
      <c r="I932" s="24" t="str">
        <f aca="false">IF($C932="","",IFERROR(INDEX(WorkerIDs,MATCH($C932,WorkerNames,0)),"?"))</f>
        <v/>
      </c>
      <c r="J932" s="18" t="str">
        <f aca="false">IF($B932="","",$B932-WEEKDAY($B932,2)+1)</f>
        <v/>
      </c>
      <c r="K932" s="28" t="str">
        <f aca="false">IF(OR($I932="",$I932="?",$D932&lt;&gt;"Advance",$B932=""),"",$I932&amp;"|"&amp;$J932&amp;"|"&amp;COUNTIFS($I$6:$I932,$I932,$J$6:$J932,$J932,$D$6:$D932,"Advance"))</f>
        <v/>
      </c>
      <c r="L932" s="29" t="str">
        <f aca="false">IF(OR($I932="",$I932="?",$B932=""),"",SUMPRODUCT((Weeks!$A$6:$A$58&lt;=$J932)*(Weeks!$Z$4:$AK$4=$I932)*Weeks!$Z$6:$AK$58)-SUMIFS($E$6:$E$1005,$I$6:$I$1005,$I932,$B$6:$B$1005,"&lt;="&amp;$B932))</f>
        <v/>
      </c>
      <c r="M932" s="19" t="str">
        <f aca="false">IF($B932&amp;$C932&amp;$D932&amp;$E932="","",IF($B932="","missing date",IF($C932="","missing worker",IF($I932="?","unknown worker - was the name changed on Workers?",IF($D932="","missing type",IF(N($E932)=0,"missing amount",IF(AND($E932&lt;0,$D932&lt;&gt;"Correction"),"negative amount - use a Correction to undo",IF(OR($B932&lt;Weeks!$A$6,$B932&gt;Weeks!$B$58),"date outside this workbook's year",IF(AND($D932="Advance",N($L932)&lt;0),"Warning: more than earned so far - worker now owes "&amp;ROUND(-$L932,0),"")))))))))</f>
        <v/>
      </c>
    </row>
    <row r="933" customFormat="false" ht="15" hidden="false" customHeight="false" outlineLevel="0" collapsed="false">
      <c r="A933" s="24" t="str">
        <f aca="false">IF($B933="","",ROW()-5)</f>
        <v/>
      </c>
      <c r="B933" s="25"/>
      <c r="C933" s="20"/>
      <c r="D933" s="26"/>
      <c r="E933" s="27"/>
      <c r="F933" s="20"/>
      <c r="G933" s="20"/>
      <c r="H933" s="26"/>
      <c r="I933" s="24" t="str">
        <f aca="false">IF($C933="","",IFERROR(INDEX(WorkerIDs,MATCH($C933,WorkerNames,0)),"?"))</f>
        <v/>
      </c>
      <c r="J933" s="18" t="str">
        <f aca="false">IF($B933="","",$B933-WEEKDAY($B933,2)+1)</f>
        <v/>
      </c>
      <c r="K933" s="28" t="str">
        <f aca="false">IF(OR($I933="",$I933="?",$D933&lt;&gt;"Advance",$B933=""),"",$I933&amp;"|"&amp;$J933&amp;"|"&amp;COUNTIFS($I$6:$I933,$I933,$J$6:$J933,$J933,$D$6:$D933,"Advance"))</f>
        <v/>
      </c>
      <c r="L933" s="29" t="str">
        <f aca="false">IF(OR($I933="",$I933="?",$B933=""),"",SUMPRODUCT((Weeks!$A$6:$A$58&lt;=$J933)*(Weeks!$Z$4:$AK$4=$I933)*Weeks!$Z$6:$AK$58)-SUMIFS($E$6:$E$1005,$I$6:$I$1005,$I933,$B$6:$B$1005,"&lt;="&amp;$B933))</f>
        <v/>
      </c>
      <c r="M933" s="19" t="str">
        <f aca="false">IF($B933&amp;$C933&amp;$D933&amp;$E933="","",IF($B933="","missing date",IF($C933="","missing worker",IF($I933="?","unknown worker - was the name changed on Workers?",IF($D933="","missing type",IF(N($E933)=0,"missing amount",IF(AND($E933&lt;0,$D933&lt;&gt;"Correction"),"negative amount - use a Correction to undo",IF(OR($B933&lt;Weeks!$A$6,$B933&gt;Weeks!$B$58),"date outside this workbook's year",IF(AND($D933="Advance",N($L933)&lt;0),"Warning: more than earned so far - worker now owes "&amp;ROUND(-$L933,0),"")))))))))</f>
        <v/>
      </c>
    </row>
    <row r="934" customFormat="false" ht="15" hidden="false" customHeight="false" outlineLevel="0" collapsed="false">
      <c r="A934" s="24" t="str">
        <f aca="false">IF($B934="","",ROW()-5)</f>
        <v/>
      </c>
      <c r="B934" s="25"/>
      <c r="C934" s="20"/>
      <c r="D934" s="26"/>
      <c r="E934" s="27"/>
      <c r="F934" s="20"/>
      <c r="G934" s="20"/>
      <c r="H934" s="26"/>
      <c r="I934" s="24" t="str">
        <f aca="false">IF($C934="","",IFERROR(INDEX(WorkerIDs,MATCH($C934,WorkerNames,0)),"?"))</f>
        <v/>
      </c>
      <c r="J934" s="18" t="str">
        <f aca="false">IF($B934="","",$B934-WEEKDAY($B934,2)+1)</f>
        <v/>
      </c>
      <c r="K934" s="28" t="str">
        <f aca="false">IF(OR($I934="",$I934="?",$D934&lt;&gt;"Advance",$B934=""),"",$I934&amp;"|"&amp;$J934&amp;"|"&amp;COUNTIFS($I$6:$I934,$I934,$J$6:$J934,$J934,$D$6:$D934,"Advance"))</f>
        <v/>
      </c>
      <c r="L934" s="29" t="str">
        <f aca="false">IF(OR($I934="",$I934="?",$B934=""),"",SUMPRODUCT((Weeks!$A$6:$A$58&lt;=$J934)*(Weeks!$Z$4:$AK$4=$I934)*Weeks!$Z$6:$AK$58)-SUMIFS($E$6:$E$1005,$I$6:$I$1005,$I934,$B$6:$B$1005,"&lt;="&amp;$B934))</f>
        <v/>
      </c>
      <c r="M934" s="19" t="str">
        <f aca="false">IF($B934&amp;$C934&amp;$D934&amp;$E934="","",IF($B934="","missing date",IF($C934="","missing worker",IF($I934="?","unknown worker - was the name changed on Workers?",IF($D934="","missing type",IF(N($E934)=0,"missing amount",IF(AND($E934&lt;0,$D934&lt;&gt;"Correction"),"negative amount - use a Correction to undo",IF(OR($B934&lt;Weeks!$A$6,$B934&gt;Weeks!$B$58),"date outside this workbook's year",IF(AND($D934="Advance",N($L934)&lt;0),"Warning: more than earned so far - worker now owes "&amp;ROUND(-$L934,0),"")))))))))</f>
        <v/>
      </c>
    </row>
    <row r="935" customFormat="false" ht="15" hidden="false" customHeight="false" outlineLevel="0" collapsed="false">
      <c r="A935" s="24" t="str">
        <f aca="false">IF($B935="","",ROW()-5)</f>
        <v/>
      </c>
      <c r="B935" s="25"/>
      <c r="C935" s="20"/>
      <c r="D935" s="26"/>
      <c r="E935" s="27"/>
      <c r="F935" s="20"/>
      <c r="G935" s="20"/>
      <c r="H935" s="26"/>
      <c r="I935" s="24" t="str">
        <f aca="false">IF($C935="","",IFERROR(INDEX(WorkerIDs,MATCH($C935,WorkerNames,0)),"?"))</f>
        <v/>
      </c>
      <c r="J935" s="18" t="str">
        <f aca="false">IF($B935="","",$B935-WEEKDAY($B935,2)+1)</f>
        <v/>
      </c>
      <c r="K935" s="28" t="str">
        <f aca="false">IF(OR($I935="",$I935="?",$D935&lt;&gt;"Advance",$B935=""),"",$I935&amp;"|"&amp;$J935&amp;"|"&amp;COUNTIFS($I$6:$I935,$I935,$J$6:$J935,$J935,$D$6:$D935,"Advance"))</f>
        <v/>
      </c>
      <c r="L935" s="29" t="str">
        <f aca="false">IF(OR($I935="",$I935="?",$B935=""),"",SUMPRODUCT((Weeks!$A$6:$A$58&lt;=$J935)*(Weeks!$Z$4:$AK$4=$I935)*Weeks!$Z$6:$AK$58)-SUMIFS($E$6:$E$1005,$I$6:$I$1005,$I935,$B$6:$B$1005,"&lt;="&amp;$B935))</f>
        <v/>
      </c>
      <c r="M935" s="19" t="str">
        <f aca="false">IF($B935&amp;$C935&amp;$D935&amp;$E935="","",IF($B935="","missing date",IF($C935="","missing worker",IF($I935="?","unknown worker - was the name changed on Workers?",IF($D935="","missing type",IF(N($E935)=0,"missing amount",IF(AND($E935&lt;0,$D935&lt;&gt;"Correction"),"negative amount - use a Correction to undo",IF(OR($B935&lt;Weeks!$A$6,$B935&gt;Weeks!$B$58),"date outside this workbook's year",IF(AND($D935="Advance",N($L935)&lt;0),"Warning: more than earned so far - worker now owes "&amp;ROUND(-$L935,0),"")))))))))</f>
        <v/>
      </c>
    </row>
    <row r="936" customFormat="false" ht="15" hidden="false" customHeight="false" outlineLevel="0" collapsed="false">
      <c r="A936" s="24" t="str">
        <f aca="false">IF($B936="","",ROW()-5)</f>
        <v/>
      </c>
      <c r="B936" s="25"/>
      <c r="C936" s="20"/>
      <c r="D936" s="26"/>
      <c r="E936" s="27"/>
      <c r="F936" s="20"/>
      <c r="G936" s="20"/>
      <c r="H936" s="26"/>
      <c r="I936" s="24" t="str">
        <f aca="false">IF($C936="","",IFERROR(INDEX(WorkerIDs,MATCH($C936,WorkerNames,0)),"?"))</f>
        <v/>
      </c>
      <c r="J936" s="18" t="str">
        <f aca="false">IF($B936="","",$B936-WEEKDAY($B936,2)+1)</f>
        <v/>
      </c>
      <c r="K936" s="28" t="str">
        <f aca="false">IF(OR($I936="",$I936="?",$D936&lt;&gt;"Advance",$B936=""),"",$I936&amp;"|"&amp;$J936&amp;"|"&amp;COUNTIFS($I$6:$I936,$I936,$J$6:$J936,$J936,$D$6:$D936,"Advance"))</f>
        <v/>
      </c>
      <c r="L936" s="29" t="str">
        <f aca="false">IF(OR($I936="",$I936="?",$B936=""),"",SUMPRODUCT((Weeks!$A$6:$A$58&lt;=$J936)*(Weeks!$Z$4:$AK$4=$I936)*Weeks!$Z$6:$AK$58)-SUMIFS($E$6:$E$1005,$I$6:$I$1005,$I936,$B$6:$B$1005,"&lt;="&amp;$B936))</f>
        <v/>
      </c>
      <c r="M936" s="19" t="str">
        <f aca="false">IF($B936&amp;$C936&amp;$D936&amp;$E936="","",IF($B936="","missing date",IF($C936="","missing worker",IF($I936="?","unknown worker - was the name changed on Workers?",IF($D936="","missing type",IF(N($E936)=0,"missing amount",IF(AND($E936&lt;0,$D936&lt;&gt;"Correction"),"negative amount - use a Correction to undo",IF(OR($B936&lt;Weeks!$A$6,$B936&gt;Weeks!$B$58),"date outside this workbook's year",IF(AND($D936="Advance",N($L936)&lt;0),"Warning: more than earned so far - worker now owes "&amp;ROUND(-$L936,0),"")))))))))</f>
        <v/>
      </c>
    </row>
    <row r="937" customFormat="false" ht="15" hidden="false" customHeight="false" outlineLevel="0" collapsed="false">
      <c r="A937" s="24" t="str">
        <f aca="false">IF($B937="","",ROW()-5)</f>
        <v/>
      </c>
      <c r="B937" s="25"/>
      <c r="C937" s="20"/>
      <c r="D937" s="26"/>
      <c r="E937" s="27"/>
      <c r="F937" s="20"/>
      <c r="G937" s="20"/>
      <c r="H937" s="26"/>
      <c r="I937" s="24" t="str">
        <f aca="false">IF($C937="","",IFERROR(INDEX(WorkerIDs,MATCH($C937,WorkerNames,0)),"?"))</f>
        <v/>
      </c>
      <c r="J937" s="18" t="str">
        <f aca="false">IF($B937="","",$B937-WEEKDAY($B937,2)+1)</f>
        <v/>
      </c>
      <c r="K937" s="28" t="str">
        <f aca="false">IF(OR($I937="",$I937="?",$D937&lt;&gt;"Advance",$B937=""),"",$I937&amp;"|"&amp;$J937&amp;"|"&amp;COUNTIFS($I$6:$I937,$I937,$J$6:$J937,$J937,$D$6:$D937,"Advance"))</f>
        <v/>
      </c>
      <c r="L937" s="29" t="str">
        <f aca="false">IF(OR($I937="",$I937="?",$B937=""),"",SUMPRODUCT((Weeks!$A$6:$A$58&lt;=$J937)*(Weeks!$Z$4:$AK$4=$I937)*Weeks!$Z$6:$AK$58)-SUMIFS($E$6:$E$1005,$I$6:$I$1005,$I937,$B$6:$B$1005,"&lt;="&amp;$B937))</f>
        <v/>
      </c>
      <c r="M937" s="19" t="str">
        <f aca="false">IF($B937&amp;$C937&amp;$D937&amp;$E937="","",IF($B937="","missing date",IF($C937="","missing worker",IF($I937="?","unknown worker - was the name changed on Workers?",IF($D937="","missing type",IF(N($E937)=0,"missing amount",IF(AND($E937&lt;0,$D937&lt;&gt;"Correction"),"negative amount - use a Correction to undo",IF(OR($B937&lt;Weeks!$A$6,$B937&gt;Weeks!$B$58),"date outside this workbook's year",IF(AND($D937="Advance",N($L937)&lt;0),"Warning: more than earned so far - worker now owes "&amp;ROUND(-$L937,0),"")))))))))</f>
        <v/>
      </c>
    </row>
    <row r="938" customFormat="false" ht="15" hidden="false" customHeight="false" outlineLevel="0" collapsed="false">
      <c r="A938" s="24" t="str">
        <f aca="false">IF($B938="","",ROW()-5)</f>
        <v/>
      </c>
      <c r="B938" s="25"/>
      <c r="C938" s="20"/>
      <c r="D938" s="26"/>
      <c r="E938" s="27"/>
      <c r="F938" s="20"/>
      <c r="G938" s="20"/>
      <c r="H938" s="26"/>
      <c r="I938" s="24" t="str">
        <f aca="false">IF($C938="","",IFERROR(INDEX(WorkerIDs,MATCH($C938,WorkerNames,0)),"?"))</f>
        <v/>
      </c>
      <c r="J938" s="18" t="str">
        <f aca="false">IF($B938="","",$B938-WEEKDAY($B938,2)+1)</f>
        <v/>
      </c>
      <c r="K938" s="28" t="str">
        <f aca="false">IF(OR($I938="",$I938="?",$D938&lt;&gt;"Advance",$B938=""),"",$I938&amp;"|"&amp;$J938&amp;"|"&amp;COUNTIFS($I$6:$I938,$I938,$J$6:$J938,$J938,$D$6:$D938,"Advance"))</f>
        <v/>
      </c>
      <c r="L938" s="29" t="str">
        <f aca="false">IF(OR($I938="",$I938="?",$B938=""),"",SUMPRODUCT((Weeks!$A$6:$A$58&lt;=$J938)*(Weeks!$Z$4:$AK$4=$I938)*Weeks!$Z$6:$AK$58)-SUMIFS($E$6:$E$1005,$I$6:$I$1005,$I938,$B$6:$B$1005,"&lt;="&amp;$B938))</f>
        <v/>
      </c>
      <c r="M938" s="19" t="str">
        <f aca="false">IF($B938&amp;$C938&amp;$D938&amp;$E938="","",IF($B938="","missing date",IF($C938="","missing worker",IF($I938="?","unknown worker - was the name changed on Workers?",IF($D938="","missing type",IF(N($E938)=0,"missing amount",IF(AND($E938&lt;0,$D938&lt;&gt;"Correction"),"negative amount - use a Correction to undo",IF(OR($B938&lt;Weeks!$A$6,$B938&gt;Weeks!$B$58),"date outside this workbook's year",IF(AND($D938="Advance",N($L938)&lt;0),"Warning: more than earned so far - worker now owes "&amp;ROUND(-$L938,0),"")))))))))</f>
        <v/>
      </c>
    </row>
    <row r="939" customFormat="false" ht="15" hidden="false" customHeight="false" outlineLevel="0" collapsed="false">
      <c r="A939" s="24" t="str">
        <f aca="false">IF($B939="","",ROW()-5)</f>
        <v/>
      </c>
      <c r="B939" s="25"/>
      <c r="C939" s="20"/>
      <c r="D939" s="26"/>
      <c r="E939" s="27"/>
      <c r="F939" s="20"/>
      <c r="G939" s="20"/>
      <c r="H939" s="26"/>
      <c r="I939" s="24" t="str">
        <f aca="false">IF($C939="","",IFERROR(INDEX(WorkerIDs,MATCH($C939,WorkerNames,0)),"?"))</f>
        <v/>
      </c>
      <c r="J939" s="18" t="str">
        <f aca="false">IF($B939="","",$B939-WEEKDAY($B939,2)+1)</f>
        <v/>
      </c>
      <c r="K939" s="28" t="str">
        <f aca="false">IF(OR($I939="",$I939="?",$D939&lt;&gt;"Advance",$B939=""),"",$I939&amp;"|"&amp;$J939&amp;"|"&amp;COUNTIFS($I$6:$I939,$I939,$J$6:$J939,$J939,$D$6:$D939,"Advance"))</f>
        <v/>
      </c>
      <c r="L939" s="29" t="str">
        <f aca="false">IF(OR($I939="",$I939="?",$B939=""),"",SUMPRODUCT((Weeks!$A$6:$A$58&lt;=$J939)*(Weeks!$Z$4:$AK$4=$I939)*Weeks!$Z$6:$AK$58)-SUMIFS($E$6:$E$1005,$I$6:$I$1005,$I939,$B$6:$B$1005,"&lt;="&amp;$B939))</f>
        <v/>
      </c>
      <c r="M939" s="19" t="str">
        <f aca="false">IF($B939&amp;$C939&amp;$D939&amp;$E939="","",IF($B939="","missing date",IF($C939="","missing worker",IF($I939="?","unknown worker - was the name changed on Workers?",IF($D939="","missing type",IF(N($E939)=0,"missing amount",IF(AND($E939&lt;0,$D939&lt;&gt;"Correction"),"negative amount - use a Correction to undo",IF(OR($B939&lt;Weeks!$A$6,$B939&gt;Weeks!$B$58),"date outside this workbook's year",IF(AND($D939="Advance",N($L939)&lt;0),"Warning: more than earned so far - worker now owes "&amp;ROUND(-$L939,0),"")))))))))</f>
        <v/>
      </c>
    </row>
    <row r="940" customFormat="false" ht="15" hidden="false" customHeight="false" outlineLevel="0" collapsed="false">
      <c r="A940" s="24" t="str">
        <f aca="false">IF($B940="","",ROW()-5)</f>
        <v/>
      </c>
      <c r="B940" s="25"/>
      <c r="C940" s="20"/>
      <c r="D940" s="26"/>
      <c r="E940" s="27"/>
      <c r="F940" s="20"/>
      <c r="G940" s="20"/>
      <c r="H940" s="26"/>
      <c r="I940" s="24" t="str">
        <f aca="false">IF($C940="","",IFERROR(INDEX(WorkerIDs,MATCH($C940,WorkerNames,0)),"?"))</f>
        <v/>
      </c>
      <c r="J940" s="18" t="str">
        <f aca="false">IF($B940="","",$B940-WEEKDAY($B940,2)+1)</f>
        <v/>
      </c>
      <c r="K940" s="28" t="str">
        <f aca="false">IF(OR($I940="",$I940="?",$D940&lt;&gt;"Advance",$B940=""),"",$I940&amp;"|"&amp;$J940&amp;"|"&amp;COUNTIFS($I$6:$I940,$I940,$J$6:$J940,$J940,$D$6:$D940,"Advance"))</f>
        <v/>
      </c>
      <c r="L940" s="29" t="str">
        <f aca="false">IF(OR($I940="",$I940="?",$B940=""),"",SUMPRODUCT((Weeks!$A$6:$A$58&lt;=$J940)*(Weeks!$Z$4:$AK$4=$I940)*Weeks!$Z$6:$AK$58)-SUMIFS($E$6:$E$1005,$I$6:$I$1005,$I940,$B$6:$B$1005,"&lt;="&amp;$B940))</f>
        <v/>
      </c>
      <c r="M940" s="19" t="str">
        <f aca="false">IF($B940&amp;$C940&amp;$D940&amp;$E940="","",IF($B940="","missing date",IF($C940="","missing worker",IF($I940="?","unknown worker - was the name changed on Workers?",IF($D940="","missing type",IF(N($E940)=0,"missing amount",IF(AND($E940&lt;0,$D940&lt;&gt;"Correction"),"negative amount - use a Correction to undo",IF(OR($B940&lt;Weeks!$A$6,$B940&gt;Weeks!$B$58),"date outside this workbook's year",IF(AND($D940="Advance",N($L940)&lt;0),"Warning: more than earned so far - worker now owes "&amp;ROUND(-$L940,0),"")))))))))</f>
        <v/>
      </c>
    </row>
    <row r="941" customFormat="false" ht="15" hidden="false" customHeight="false" outlineLevel="0" collapsed="false">
      <c r="A941" s="24" t="str">
        <f aca="false">IF($B941="","",ROW()-5)</f>
        <v/>
      </c>
      <c r="B941" s="25"/>
      <c r="C941" s="20"/>
      <c r="D941" s="26"/>
      <c r="E941" s="27"/>
      <c r="F941" s="20"/>
      <c r="G941" s="20"/>
      <c r="H941" s="26"/>
      <c r="I941" s="24" t="str">
        <f aca="false">IF($C941="","",IFERROR(INDEX(WorkerIDs,MATCH($C941,WorkerNames,0)),"?"))</f>
        <v/>
      </c>
      <c r="J941" s="18" t="str">
        <f aca="false">IF($B941="","",$B941-WEEKDAY($B941,2)+1)</f>
        <v/>
      </c>
      <c r="K941" s="28" t="str">
        <f aca="false">IF(OR($I941="",$I941="?",$D941&lt;&gt;"Advance",$B941=""),"",$I941&amp;"|"&amp;$J941&amp;"|"&amp;COUNTIFS($I$6:$I941,$I941,$J$6:$J941,$J941,$D$6:$D941,"Advance"))</f>
        <v/>
      </c>
      <c r="L941" s="29" t="str">
        <f aca="false">IF(OR($I941="",$I941="?",$B941=""),"",SUMPRODUCT((Weeks!$A$6:$A$58&lt;=$J941)*(Weeks!$Z$4:$AK$4=$I941)*Weeks!$Z$6:$AK$58)-SUMIFS($E$6:$E$1005,$I$6:$I$1005,$I941,$B$6:$B$1005,"&lt;="&amp;$B941))</f>
        <v/>
      </c>
      <c r="M941" s="19" t="str">
        <f aca="false">IF($B941&amp;$C941&amp;$D941&amp;$E941="","",IF($B941="","missing date",IF($C941="","missing worker",IF($I941="?","unknown worker - was the name changed on Workers?",IF($D941="","missing type",IF(N($E941)=0,"missing amount",IF(AND($E941&lt;0,$D941&lt;&gt;"Correction"),"negative amount - use a Correction to undo",IF(OR($B941&lt;Weeks!$A$6,$B941&gt;Weeks!$B$58),"date outside this workbook's year",IF(AND($D941="Advance",N($L941)&lt;0),"Warning: more than earned so far - worker now owes "&amp;ROUND(-$L941,0),"")))))))))</f>
        <v/>
      </c>
    </row>
    <row r="942" customFormat="false" ht="15" hidden="false" customHeight="false" outlineLevel="0" collapsed="false">
      <c r="A942" s="24" t="str">
        <f aca="false">IF($B942="","",ROW()-5)</f>
        <v/>
      </c>
      <c r="B942" s="25"/>
      <c r="C942" s="20"/>
      <c r="D942" s="26"/>
      <c r="E942" s="27"/>
      <c r="F942" s="20"/>
      <c r="G942" s="20"/>
      <c r="H942" s="26"/>
      <c r="I942" s="24" t="str">
        <f aca="false">IF($C942="","",IFERROR(INDEX(WorkerIDs,MATCH($C942,WorkerNames,0)),"?"))</f>
        <v/>
      </c>
      <c r="J942" s="18" t="str">
        <f aca="false">IF($B942="","",$B942-WEEKDAY($B942,2)+1)</f>
        <v/>
      </c>
      <c r="K942" s="28" t="str">
        <f aca="false">IF(OR($I942="",$I942="?",$D942&lt;&gt;"Advance",$B942=""),"",$I942&amp;"|"&amp;$J942&amp;"|"&amp;COUNTIFS($I$6:$I942,$I942,$J$6:$J942,$J942,$D$6:$D942,"Advance"))</f>
        <v/>
      </c>
      <c r="L942" s="29" t="str">
        <f aca="false">IF(OR($I942="",$I942="?",$B942=""),"",SUMPRODUCT((Weeks!$A$6:$A$58&lt;=$J942)*(Weeks!$Z$4:$AK$4=$I942)*Weeks!$Z$6:$AK$58)-SUMIFS($E$6:$E$1005,$I$6:$I$1005,$I942,$B$6:$B$1005,"&lt;="&amp;$B942))</f>
        <v/>
      </c>
      <c r="M942" s="19" t="str">
        <f aca="false">IF($B942&amp;$C942&amp;$D942&amp;$E942="","",IF($B942="","missing date",IF($C942="","missing worker",IF($I942="?","unknown worker - was the name changed on Workers?",IF($D942="","missing type",IF(N($E942)=0,"missing amount",IF(AND($E942&lt;0,$D942&lt;&gt;"Correction"),"negative amount - use a Correction to undo",IF(OR($B942&lt;Weeks!$A$6,$B942&gt;Weeks!$B$58),"date outside this workbook's year",IF(AND($D942="Advance",N($L942)&lt;0),"Warning: more than earned so far - worker now owes "&amp;ROUND(-$L942,0),"")))))))))</f>
        <v/>
      </c>
    </row>
    <row r="943" customFormat="false" ht="15" hidden="false" customHeight="false" outlineLevel="0" collapsed="false">
      <c r="A943" s="24" t="str">
        <f aca="false">IF($B943="","",ROW()-5)</f>
        <v/>
      </c>
      <c r="B943" s="25"/>
      <c r="C943" s="20"/>
      <c r="D943" s="26"/>
      <c r="E943" s="27"/>
      <c r="F943" s="20"/>
      <c r="G943" s="20"/>
      <c r="H943" s="26"/>
      <c r="I943" s="24" t="str">
        <f aca="false">IF($C943="","",IFERROR(INDEX(WorkerIDs,MATCH($C943,WorkerNames,0)),"?"))</f>
        <v/>
      </c>
      <c r="J943" s="18" t="str">
        <f aca="false">IF($B943="","",$B943-WEEKDAY($B943,2)+1)</f>
        <v/>
      </c>
      <c r="K943" s="28" t="str">
        <f aca="false">IF(OR($I943="",$I943="?",$D943&lt;&gt;"Advance",$B943=""),"",$I943&amp;"|"&amp;$J943&amp;"|"&amp;COUNTIFS($I$6:$I943,$I943,$J$6:$J943,$J943,$D$6:$D943,"Advance"))</f>
        <v/>
      </c>
      <c r="L943" s="29" t="str">
        <f aca="false">IF(OR($I943="",$I943="?",$B943=""),"",SUMPRODUCT((Weeks!$A$6:$A$58&lt;=$J943)*(Weeks!$Z$4:$AK$4=$I943)*Weeks!$Z$6:$AK$58)-SUMIFS($E$6:$E$1005,$I$6:$I$1005,$I943,$B$6:$B$1005,"&lt;="&amp;$B943))</f>
        <v/>
      </c>
      <c r="M943" s="19" t="str">
        <f aca="false">IF($B943&amp;$C943&amp;$D943&amp;$E943="","",IF($B943="","missing date",IF($C943="","missing worker",IF($I943="?","unknown worker - was the name changed on Workers?",IF($D943="","missing type",IF(N($E943)=0,"missing amount",IF(AND($E943&lt;0,$D943&lt;&gt;"Correction"),"negative amount - use a Correction to undo",IF(OR($B943&lt;Weeks!$A$6,$B943&gt;Weeks!$B$58),"date outside this workbook's year",IF(AND($D943="Advance",N($L943)&lt;0),"Warning: more than earned so far - worker now owes "&amp;ROUND(-$L943,0),"")))))))))</f>
        <v/>
      </c>
    </row>
    <row r="944" customFormat="false" ht="15" hidden="false" customHeight="false" outlineLevel="0" collapsed="false">
      <c r="A944" s="24" t="str">
        <f aca="false">IF($B944="","",ROW()-5)</f>
        <v/>
      </c>
      <c r="B944" s="25"/>
      <c r="C944" s="20"/>
      <c r="D944" s="26"/>
      <c r="E944" s="27"/>
      <c r="F944" s="20"/>
      <c r="G944" s="20"/>
      <c r="H944" s="26"/>
      <c r="I944" s="24" t="str">
        <f aca="false">IF($C944="","",IFERROR(INDEX(WorkerIDs,MATCH($C944,WorkerNames,0)),"?"))</f>
        <v/>
      </c>
      <c r="J944" s="18" t="str">
        <f aca="false">IF($B944="","",$B944-WEEKDAY($B944,2)+1)</f>
        <v/>
      </c>
      <c r="K944" s="28" t="str">
        <f aca="false">IF(OR($I944="",$I944="?",$D944&lt;&gt;"Advance",$B944=""),"",$I944&amp;"|"&amp;$J944&amp;"|"&amp;COUNTIFS($I$6:$I944,$I944,$J$6:$J944,$J944,$D$6:$D944,"Advance"))</f>
        <v/>
      </c>
      <c r="L944" s="29" t="str">
        <f aca="false">IF(OR($I944="",$I944="?",$B944=""),"",SUMPRODUCT((Weeks!$A$6:$A$58&lt;=$J944)*(Weeks!$Z$4:$AK$4=$I944)*Weeks!$Z$6:$AK$58)-SUMIFS($E$6:$E$1005,$I$6:$I$1005,$I944,$B$6:$B$1005,"&lt;="&amp;$B944))</f>
        <v/>
      </c>
      <c r="M944" s="19" t="str">
        <f aca="false">IF($B944&amp;$C944&amp;$D944&amp;$E944="","",IF($B944="","missing date",IF($C944="","missing worker",IF($I944="?","unknown worker - was the name changed on Workers?",IF($D944="","missing type",IF(N($E944)=0,"missing amount",IF(AND($E944&lt;0,$D944&lt;&gt;"Correction"),"negative amount - use a Correction to undo",IF(OR($B944&lt;Weeks!$A$6,$B944&gt;Weeks!$B$58),"date outside this workbook's year",IF(AND($D944="Advance",N($L944)&lt;0),"Warning: more than earned so far - worker now owes "&amp;ROUND(-$L944,0),"")))))))))</f>
        <v/>
      </c>
    </row>
    <row r="945" customFormat="false" ht="15" hidden="false" customHeight="false" outlineLevel="0" collapsed="false">
      <c r="A945" s="24" t="str">
        <f aca="false">IF($B945="","",ROW()-5)</f>
        <v/>
      </c>
      <c r="B945" s="25"/>
      <c r="C945" s="20"/>
      <c r="D945" s="26"/>
      <c r="E945" s="27"/>
      <c r="F945" s="20"/>
      <c r="G945" s="20"/>
      <c r="H945" s="26"/>
      <c r="I945" s="24" t="str">
        <f aca="false">IF($C945="","",IFERROR(INDEX(WorkerIDs,MATCH($C945,WorkerNames,0)),"?"))</f>
        <v/>
      </c>
      <c r="J945" s="18" t="str">
        <f aca="false">IF($B945="","",$B945-WEEKDAY($B945,2)+1)</f>
        <v/>
      </c>
      <c r="K945" s="28" t="str">
        <f aca="false">IF(OR($I945="",$I945="?",$D945&lt;&gt;"Advance",$B945=""),"",$I945&amp;"|"&amp;$J945&amp;"|"&amp;COUNTIFS($I$6:$I945,$I945,$J$6:$J945,$J945,$D$6:$D945,"Advance"))</f>
        <v/>
      </c>
      <c r="L945" s="29" t="str">
        <f aca="false">IF(OR($I945="",$I945="?",$B945=""),"",SUMPRODUCT((Weeks!$A$6:$A$58&lt;=$J945)*(Weeks!$Z$4:$AK$4=$I945)*Weeks!$Z$6:$AK$58)-SUMIFS($E$6:$E$1005,$I$6:$I$1005,$I945,$B$6:$B$1005,"&lt;="&amp;$B945))</f>
        <v/>
      </c>
      <c r="M945" s="19" t="str">
        <f aca="false">IF($B945&amp;$C945&amp;$D945&amp;$E945="","",IF($B945="","missing date",IF($C945="","missing worker",IF($I945="?","unknown worker - was the name changed on Workers?",IF($D945="","missing type",IF(N($E945)=0,"missing amount",IF(AND($E945&lt;0,$D945&lt;&gt;"Correction"),"negative amount - use a Correction to undo",IF(OR($B945&lt;Weeks!$A$6,$B945&gt;Weeks!$B$58),"date outside this workbook's year",IF(AND($D945="Advance",N($L945)&lt;0),"Warning: more than earned so far - worker now owes "&amp;ROUND(-$L945,0),"")))))))))</f>
        <v/>
      </c>
    </row>
    <row r="946" customFormat="false" ht="15" hidden="false" customHeight="false" outlineLevel="0" collapsed="false">
      <c r="A946" s="24" t="str">
        <f aca="false">IF($B946="","",ROW()-5)</f>
        <v/>
      </c>
      <c r="B946" s="25"/>
      <c r="C946" s="20"/>
      <c r="D946" s="26"/>
      <c r="E946" s="27"/>
      <c r="F946" s="20"/>
      <c r="G946" s="20"/>
      <c r="H946" s="26"/>
      <c r="I946" s="24" t="str">
        <f aca="false">IF($C946="","",IFERROR(INDEX(WorkerIDs,MATCH($C946,WorkerNames,0)),"?"))</f>
        <v/>
      </c>
      <c r="J946" s="18" t="str">
        <f aca="false">IF($B946="","",$B946-WEEKDAY($B946,2)+1)</f>
        <v/>
      </c>
      <c r="K946" s="28" t="str">
        <f aca="false">IF(OR($I946="",$I946="?",$D946&lt;&gt;"Advance",$B946=""),"",$I946&amp;"|"&amp;$J946&amp;"|"&amp;COUNTIFS($I$6:$I946,$I946,$J$6:$J946,$J946,$D$6:$D946,"Advance"))</f>
        <v/>
      </c>
      <c r="L946" s="29" t="str">
        <f aca="false">IF(OR($I946="",$I946="?",$B946=""),"",SUMPRODUCT((Weeks!$A$6:$A$58&lt;=$J946)*(Weeks!$Z$4:$AK$4=$I946)*Weeks!$Z$6:$AK$58)-SUMIFS($E$6:$E$1005,$I$6:$I$1005,$I946,$B$6:$B$1005,"&lt;="&amp;$B946))</f>
        <v/>
      </c>
      <c r="M946" s="19" t="str">
        <f aca="false">IF($B946&amp;$C946&amp;$D946&amp;$E946="","",IF($B946="","missing date",IF($C946="","missing worker",IF($I946="?","unknown worker - was the name changed on Workers?",IF($D946="","missing type",IF(N($E946)=0,"missing amount",IF(AND($E946&lt;0,$D946&lt;&gt;"Correction"),"negative amount - use a Correction to undo",IF(OR($B946&lt;Weeks!$A$6,$B946&gt;Weeks!$B$58),"date outside this workbook's year",IF(AND($D946="Advance",N($L946)&lt;0),"Warning: more than earned so far - worker now owes "&amp;ROUND(-$L946,0),"")))))))))</f>
        <v/>
      </c>
    </row>
    <row r="947" customFormat="false" ht="15" hidden="false" customHeight="false" outlineLevel="0" collapsed="false">
      <c r="A947" s="24" t="str">
        <f aca="false">IF($B947="","",ROW()-5)</f>
        <v/>
      </c>
      <c r="B947" s="25"/>
      <c r="C947" s="20"/>
      <c r="D947" s="26"/>
      <c r="E947" s="27"/>
      <c r="F947" s="20"/>
      <c r="G947" s="20"/>
      <c r="H947" s="26"/>
      <c r="I947" s="24" t="str">
        <f aca="false">IF($C947="","",IFERROR(INDEX(WorkerIDs,MATCH($C947,WorkerNames,0)),"?"))</f>
        <v/>
      </c>
      <c r="J947" s="18" t="str">
        <f aca="false">IF($B947="","",$B947-WEEKDAY($B947,2)+1)</f>
        <v/>
      </c>
      <c r="K947" s="28" t="str">
        <f aca="false">IF(OR($I947="",$I947="?",$D947&lt;&gt;"Advance",$B947=""),"",$I947&amp;"|"&amp;$J947&amp;"|"&amp;COUNTIFS($I$6:$I947,$I947,$J$6:$J947,$J947,$D$6:$D947,"Advance"))</f>
        <v/>
      </c>
      <c r="L947" s="29" t="str">
        <f aca="false">IF(OR($I947="",$I947="?",$B947=""),"",SUMPRODUCT((Weeks!$A$6:$A$58&lt;=$J947)*(Weeks!$Z$4:$AK$4=$I947)*Weeks!$Z$6:$AK$58)-SUMIFS($E$6:$E$1005,$I$6:$I$1005,$I947,$B$6:$B$1005,"&lt;="&amp;$B947))</f>
        <v/>
      </c>
      <c r="M947" s="19" t="str">
        <f aca="false">IF($B947&amp;$C947&amp;$D947&amp;$E947="","",IF($B947="","missing date",IF($C947="","missing worker",IF($I947="?","unknown worker - was the name changed on Workers?",IF($D947="","missing type",IF(N($E947)=0,"missing amount",IF(AND($E947&lt;0,$D947&lt;&gt;"Correction"),"negative amount - use a Correction to undo",IF(OR($B947&lt;Weeks!$A$6,$B947&gt;Weeks!$B$58),"date outside this workbook's year",IF(AND($D947="Advance",N($L947)&lt;0),"Warning: more than earned so far - worker now owes "&amp;ROUND(-$L947,0),"")))))))))</f>
        <v/>
      </c>
    </row>
    <row r="948" customFormat="false" ht="15" hidden="false" customHeight="false" outlineLevel="0" collapsed="false">
      <c r="A948" s="24" t="str">
        <f aca="false">IF($B948="","",ROW()-5)</f>
        <v/>
      </c>
      <c r="B948" s="25"/>
      <c r="C948" s="20"/>
      <c r="D948" s="26"/>
      <c r="E948" s="27"/>
      <c r="F948" s="20"/>
      <c r="G948" s="20"/>
      <c r="H948" s="26"/>
      <c r="I948" s="24" t="str">
        <f aca="false">IF($C948="","",IFERROR(INDEX(WorkerIDs,MATCH($C948,WorkerNames,0)),"?"))</f>
        <v/>
      </c>
      <c r="J948" s="18" t="str">
        <f aca="false">IF($B948="","",$B948-WEEKDAY($B948,2)+1)</f>
        <v/>
      </c>
      <c r="K948" s="28" t="str">
        <f aca="false">IF(OR($I948="",$I948="?",$D948&lt;&gt;"Advance",$B948=""),"",$I948&amp;"|"&amp;$J948&amp;"|"&amp;COUNTIFS($I$6:$I948,$I948,$J$6:$J948,$J948,$D$6:$D948,"Advance"))</f>
        <v/>
      </c>
      <c r="L948" s="29" t="str">
        <f aca="false">IF(OR($I948="",$I948="?",$B948=""),"",SUMPRODUCT((Weeks!$A$6:$A$58&lt;=$J948)*(Weeks!$Z$4:$AK$4=$I948)*Weeks!$Z$6:$AK$58)-SUMIFS($E$6:$E$1005,$I$6:$I$1005,$I948,$B$6:$B$1005,"&lt;="&amp;$B948))</f>
        <v/>
      </c>
      <c r="M948" s="19" t="str">
        <f aca="false">IF($B948&amp;$C948&amp;$D948&amp;$E948="","",IF($B948="","missing date",IF($C948="","missing worker",IF($I948="?","unknown worker - was the name changed on Workers?",IF($D948="","missing type",IF(N($E948)=0,"missing amount",IF(AND($E948&lt;0,$D948&lt;&gt;"Correction"),"negative amount - use a Correction to undo",IF(OR($B948&lt;Weeks!$A$6,$B948&gt;Weeks!$B$58),"date outside this workbook's year",IF(AND($D948="Advance",N($L948)&lt;0),"Warning: more than earned so far - worker now owes "&amp;ROUND(-$L948,0),"")))))))))</f>
        <v/>
      </c>
    </row>
    <row r="949" customFormat="false" ht="15" hidden="false" customHeight="false" outlineLevel="0" collapsed="false">
      <c r="A949" s="24" t="str">
        <f aca="false">IF($B949="","",ROW()-5)</f>
        <v/>
      </c>
      <c r="B949" s="25"/>
      <c r="C949" s="20"/>
      <c r="D949" s="26"/>
      <c r="E949" s="27"/>
      <c r="F949" s="20"/>
      <c r="G949" s="20"/>
      <c r="H949" s="26"/>
      <c r="I949" s="24" t="str">
        <f aca="false">IF($C949="","",IFERROR(INDEX(WorkerIDs,MATCH($C949,WorkerNames,0)),"?"))</f>
        <v/>
      </c>
      <c r="J949" s="18" t="str">
        <f aca="false">IF($B949="","",$B949-WEEKDAY($B949,2)+1)</f>
        <v/>
      </c>
      <c r="K949" s="28" t="str">
        <f aca="false">IF(OR($I949="",$I949="?",$D949&lt;&gt;"Advance",$B949=""),"",$I949&amp;"|"&amp;$J949&amp;"|"&amp;COUNTIFS($I$6:$I949,$I949,$J$6:$J949,$J949,$D$6:$D949,"Advance"))</f>
        <v/>
      </c>
      <c r="L949" s="29" t="str">
        <f aca="false">IF(OR($I949="",$I949="?",$B949=""),"",SUMPRODUCT((Weeks!$A$6:$A$58&lt;=$J949)*(Weeks!$Z$4:$AK$4=$I949)*Weeks!$Z$6:$AK$58)-SUMIFS($E$6:$E$1005,$I$6:$I$1005,$I949,$B$6:$B$1005,"&lt;="&amp;$B949))</f>
        <v/>
      </c>
      <c r="M949" s="19" t="str">
        <f aca="false">IF($B949&amp;$C949&amp;$D949&amp;$E949="","",IF($B949="","missing date",IF($C949="","missing worker",IF($I949="?","unknown worker - was the name changed on Workers?",IF($D949="","missing type",IF(N($E949)=0,"missing amount",IF(AND($E949&lt;0,$D949&lt;&gt;"Correction"),"negative amount - use a Correction to undo",IF(OR($B949&lt;Weeks!$A$6,$B949&gt;Weeks!$B$58),"date outside this workbook's year",IF(AND($D949="Advance",N($L949)&lt;0),"Warning: more than earned so far - worker now owes "&amp;ROUND(-$L949,0),"")))))))))</f>
        <v/>
      </c>
    </row>
    <row r="950" customFormat="false" ht="15" hidden="false" customHeight="false" outlineLevel="0" collapsed="false">
      <c r="A950" s="24" t="str">
        <f aca="false">IF($B950="","",ROW()-5)</f>
        <v/>
      </c>
      <c r="B950" s="25"/>
      <c r="C950" s="20"/>
      <c r="D950" s="26"/>
      <c r="E950" s="27"/>
      <c r="F950" s="20"/>
      <c r="G950" s="20"/>
      <c r="H950" s="26"/>
      <c r="I950" s="24" t="str">
        <f aca="false">IF($C950="","",IFERROR(INDEX(WorkerIDs,MATCH($C950,WorkerNames,0)),"?"))</f>
        <v/>
      </c>
      <c r="J950" s="18" t="str">
        <f aca="false">IF($B950="","",$B950-WEEKDAY($B950,2)+1)</f>
        <v/>
      </c>
      <c r="K950" s="28" t="str">
        <f aca="false">IF(OR($I950="",$I950="?",$D950&lt;&gt;"Advance",$B950=""),"",$I950&amp;"|"&amp;$J950&amp;"|"&amp;COUNTIFS($I$6:$I950,$I950,$J$6:$J950,$J950,$D$6:$D950,"Advance"))</f>
        <v/>
      </c>
      <c r="L950" s="29" t="str">
        <f aca="false">IF(OR($I950="",$I950="?",$B950=""),"",SUMPRODUCT((Weeks!$A$6:$A$58&lt;=$J950)*(Weeks!$Z$4:$AK$4=$I950)*Weeks!$Z$6:$AK$58)-SUMIFS($E$6:$E$1005,$I$6:$I$1005,$I950,$B$6:$B$1005,"&lt;="&amp;$B950))</f>
        <v/>
      </c>
      <c r="M950" s="19" t="str">
        <f aca="false">IF($B950&amp;$C950&amp;$D950&amp;$E950="","",IF($B950="","missing date",IF($C950="","missing worker",IF($I950="?","unknown worker - was the name changed on Workers?",IF($D950="","missing type",IF(N($E950)=0,"missing amount",IF(AND($E950&lt;0,$D950&lt;&gt;"Correction"),"negative amount - use a Correction to undo",IF(OR($B950&lt;Weeks!$A$6,$B950&gt;Weeks!$B$58),"date outside this workbook's year",IF(AND($D950="Advance",N($L950)&lt;0),"Warning: more than earned so far - worker now owes "&amp;ROUND(-$L950,0),"")))))))))</f>
        <v/>
      </c>
    </row>
    <row r="951" customFormat="false" ht="15" hidden="false" customHeight="false" outlineLevel="0" collapsed="false">
      <c r="A951" s="24" t="str">
        <f aca="false">IF($B951="","",ROW()-5)</f>
        <v/>
      </c>
      <c r="B951" s="25"/>
      <c r="C951" s="20"/>
      <c r="D951" s="26"/>
      <c r="E951" s="27"/>
      <c r="F951" s="20"/>
      <c r="G951" s="20"/>
      <c r="H951" s="26"/>
      <c r="I951" s="24" t="str">
        <f aca="false">IF($C951="","",IFERROR(INDEX(WorkerIDs,MATCH($C951,WorkerNames,0)),"?"))</f>
        <v/>
      </c>
      <c r="J951" s="18" t="str">
        <f aca="false">IF($B951="","",$B951-WEEKDAY($B951,2)+1)</f>
        <v/>
      </c>
      <c r="K951" s="28" t="str">
        <f aca="false">IF(OR($I951="",$I951="?",$D951&lt;&gt;"Advance",$B951=""),"",$I951&amp;"|"&amp;$J951&amp;"|"&amp;COUNTIFS($I$6:$I951,$I951,$J$6:$J951,$J951,$D$6:$D951,"Advance"))</f>
        <v/>
      </c>
      <c r="L951" s="29" t="str">
        <f aca="false">IF(OR($I951="",$I951="?",$B951=""),"",SUMPRODUCT((Weeks!$A$6:$A$58&lt;=$J951)*(Weeks!$Z$4:$AK$4=$I951)*Weeks!$Z$6:$AK$58)-SUMIFS($E$6:$E$1005,$I$6:$I$1005,$I951,$B$6:$B$1005,"&lt;="&amp;$B951))</f>
        <v/>
      </c>
      <c r="M951" s="19" t="str">
        <f aca="false">IF($B951&amp;$C951&amp;$D951&amp;$E951="","",IF($B951="","missing date",IF($C951="","missing worker",IF($I951="?","unknown worker - was the name changed on Workers?",IF($D951="","missing type",IF(N($E951)=0,"missing amount",IF(AND($E951&lt;0,$D951&lt;&gt;"Correction"),"negative amount - use a Correction to undo",IF(OR($B951&lt;Weeks!$A$6,$B951&gt;Weeks!$B$58),"date outside this workbook's year",IF(AND($D951="Advance",N($L951)&lt;0),"Warning: more than earned so far - worker now owes "&amp;ROUND(-$L951,0),"")))))))))</f>
        <v/>
      </c>
    </row>
    <row r="952" customFormat="false" ht="15" hidden="false" customHeight="false" outlineLevel="0" collapsed="false">
      <c r="A952" s="24" t="str">
        <f aca="false">IF($B952="","",ROW()-5)</f>
        <v/>
      </c>
      <c r="B952" s="25"/>
      <c r="C952" s="20"/>
      <c r="D952" s="26"/>
      <c r="E952" s="27"/>
      <c r="F952" s="20"/>
      <c r="G952" s="20"/>
      <c r="H952" s="26"/>
      <c r="I952" s="24" t="str">
        <f aca="false">IF($C952="","",IFERROR(INDEX(WorkerIDs,MATCH($C952,WorkerNames,0)),"?"))</f>
        <v/>
      </c>
      <c r="J952" s="18" t="str">
        <f aca="false">IF($B952="","",$B952-WEEKDAY($B952,2)+1)</f>
        <v/>
      </c>
      <c r="K952" s="28" t="str">
        <f aca="false">IF(OR($I952="",$I952="?",$D952&lt;&gt;"Advance",$B952=""),"",$I952&amp;"|"&amp;$J952&amp;"|"&amp;COUNTIFS($I$6:$I952,$I952,$J$6:$J952,$J952,$D$6:$D952,"Advance"))</f>
        <v/>
      </c>
      <c r="L952" s="29" t="str">
        <f aca="false">IF(OR($I952="",$I952="?",$B952=""),"",SUMPRODUCT((Weeks!$A$6:$A$58&lt;=$J952)*(Weeks!$Z$4:$AK$4=$I952)*Weeks!$Z$6:$AK$58)-SUMIFS($E$6:$E$1005,$I$6:$I$1005,$I952,$B$6:$B$1005,"&lt;="&amp;$B952))</f>
        <v/>
      </c>
      <c r="M952" s="19" t="str">
        <f aca="false">IF($B952&amp;$C952&amp;$D952&amp;$E952="","",IF($B952="","missing date",IF($C952="","missing worker",IF($I952="?","unknown worker - was the name changed on Workers?",IF($D952="","missing type",IF(N($E952)=0,"missing amount",IF(AND($E952&lt;0,$D952&lt;&gt;"Correction"),"negative amount - use a Correction to undo",IF(OR($B952&lt;Weeks!$A$6,$B952&gt;Weeks!$B$58),"date outside this workbook's year",IF(AND($D952="Advance",N($L952)&lt;0),"Warning: more than earned so far - worker now owes "&amp;ROUND(-$L952,0),"")))))))))</f>
        <v/>
      </c>
    </row>
    <row r="953" customFormat="false" ht="15" hidden="false" customHeight="false" outlineLevel="0" collapsed="false">
      <c r="A953" s="24" t="str">
        <f aca="false">IF($B953="","",ROW()-5)</f>
        <v/>
      </c>
      <c r="B953" s="25"/>
      <c r="C953" s="20"/>
      <c r="D953" s="26"/>
      <c r="E953" s="27"/>
      <c r="F953" s="20"/>
      <c r="G953" s="20"/>
      <c r="H953" s="26"/>
      <c r="I953" s="24" t="str">
        <f aca="false">IF($C953="","",IFERROR(INDEX(WorkerIDs,MATCH($C953,WorkerNames,0)),"?"))</f>
        <v/>
      </c>
      <c r="J953" s="18" t="str">
        <f aca="false">IF($B953="","",$B953-WEEKDAY($B953,2)+1)</f>
        <v/>
      </c>
      <c r="K953" s="28" t="str">
        <f aca="false">IF(OR($I953="",$I953="?",$D953&lt;&gt;"Advance",$B953=""),"",$I953&amp;"|"&amp;$J953&amp;"|"&amp;COUNTIFS($I$6:$I953,$I953,$J$6:$J953,$J953,$D$6:$D953,"Advance"))</f>
        <v/>
      </c>
      <c r="L953" s="29" t="str">
        <f aca="false">IF(OR($I953="",$I953="?",$B953=""),"",SUMPRODUCT((Weeks!$A$6:$A$58&lt;=$J953)*(Weeks!$Z$4:$AK$4=$I953)*Weeks!$Z$6:$AK$58)-SUMIFS($E$6:$E$1005,$I$6:$I$1005,$I953,$B$6:$B$1005,"&lt;="&amp;$B953))</f>
        <v/>
      </c>
      <c r="M953" s="19" t="str">
        <f aca="false">IF($B953&amp;$C953&amp;$D953&amp;$E953="","",IF($B953="","missing date",IF($C953="","missing worker",IF($I953="?","unknown worker - was the name changed on Workers?",IF($D953="","missing type",IF(N($E953)=0,"missing amount",IF(AND($E953&lt;0,$D953&lt;&gt;"Correction"),"negative amount - use a Correction to undo",IF(OR($B953&lt;Weeks!$A$6,$B953&gt;Weeks!$B$58),"date outside this workbook's year",IF(AND($D953="Advance",N($L953)&lt;0),"Warning: more than earned so far - worker now owes "&amp;ROUND(-$L953,0),"")))))))))</f>
        <v/>
      </c>
    </row>
    <row r="954" customFormat="false" ht="15" hidden="false" customHeight="false" outlineLevel="0" collapsed="false">
      <c r="A954" s="24" t="str">
        <f aca="false">IF($B954="","",ROW()-5)</f>
        <v/>
      </c>
      <c r="B954" s="25"/>
      <c r="C954" s="20"/>
      <c r="D954" s="26"/>
      <c r="E954" s="27"/>
      <c r="F954" s="20"/>
      <c r="G954" s="20"/>
      <c r="H954" s="26"/>
      <c r="I954" s="24" t="str">
        <f aca="false">IF($C954="","",IFERROR(INDEX(WorkerIDs,MATCH($C954,WorkerNames,0)),"?"))</f>
        <v/>
      </c>
      <c r="J954" s="18" t="str">
        <f aca="false">IF($B954="","",$B954-WEEKDAY($B954,2)+1)</f>
        <v/>
      </c>
      <c r="K954" s="28" t="str">
        <f aca="false">IF(OR($I954="",$I954="?",$D954&lt;&gt;"Advance",$B954=""),"",$I954&amp;"|"&amp;$J954&amp;"|"&amp;COUNTIFS($I$6:$I954,$I954,$J$6:$J954,$J954,$D$6:$D954,"Advance"))</f>
        <v/>
      </c>
      <c r="L954" s="29" t="str">
        <f aca="false">IF(OR($I954="",$I954="?",$B954=""),"",SUMPRODUCT((Weeks!$A$6:$A$58&lt;=$J954)*(Weeks!$Z$4:$AK$4=$I954)*Weeks!$Z$6:$AK$58)-SUMIFS($E$6:$E$1005,$I$6:$I$1005,$I954,$B$6:$B$1005,"&lt;="&amp;$B954))</f>
        <v/>
      </c>
      <c r="M954" s="19" t="str">
        <f aca="false">IF($B954&amp;$C954&amp;$D954&amp;$E954="","",IF($B954="","missing date",IF($C954="","missing worker",IF($I954="?","unknown worker - was the name changed on Workers?",IF($D954="","missing type",IF(N($E954)=0,"missing amount",IF(AND($E954&lt;0,$D954&lt;&gt;"Correction"),"negative amount - use a Correction to undo",IF(OR($B954&lt;Weeks!$A$6,$B954&gt;Weeks!$B$58),"date outside this workbook's year",IF(AND($D954="Advance",N($L954)&lt;0),"Warning: more than earned so far - worker now owes "&amp;ROUND(-$L954,0),"")))))))))</f>
        <v/>
      </c>
    </row>
    <row r="955" customFormat="false" ht="15" hidden="false" customHeight="false" outlineLevel="0" collapsed="false">
      <c r="A955" s="24" t="str">
        <f aca="false">IF($B955="","",ROW()-5)</f>
        <v/>
      </c>
      <c r="B955" s="25"/>
      <c r="C955" s="20"/>
      <c r="D955" s="26"/>
      <c r="E955" s="27"/>
      <c r="F955" s="20"/>
      <c r="G955" s="20"/>
      <c r="H955" s="26"/>
      <c r="I955" s="24" t="str">
        <f aca="false">IF($C955="","",IFERROR(INDEX(WorkerIDs,MATCH($C955,WorkerNames,0)),"?"))</f>
        <v/>
      </c>
      <c r="J955" s="18" t="str">
        <f aca="false">IF($B955="","",$B955-WEEKDAY($B955,2)+1)</f>
        <v/>
      </c>
      <c r="K955" s="28" t="str">
        <f aca="false">IF(OR($I955="",$I955="?",$D955&lt;&gt;"Advance",$B955=""),"",$I955&amp;"|"&amp;$J955&amp;"|"&amp;COUNTIFS($I$6:$I955,$I955,$J$6:$J955,$J955,$D$6:$D955,"Advance"))</f>
        <v/>
      </c>
      <c r="L955" s="29" t="str">
        <f aca="false">IF(OR($I955="",$I955="?",$B955=""),"",SUMPRODUCT((Weeks!$A$6:$A$58&lt;=$J955)*(Weeks!$Z$4:$AK$4=$I955)*Weeks!$Z$6:$AK$58)-SUMIFS($E$6:$E$1005,$I$6:$I$1005,$I955,$B$6:$B$1005,"&lt;="&amp;$B955))</f>
        <v/>
      </c>
      <c r="M955" s="19" t="str">
        <f aca="false">IF($B955&amp;$C955&amp;$D955&amp;$E955="","",IF($B955="","missing date",IF($C955="","missing worker",IF($I955="?","unknown worker - was the name changed on Workers?",IF($D955="","missing type",IF(N($E955)=0,"missing amount",IF(AND($E955&lt;0,$D955&lt;&gt;"Correction"),"negative amount - use a Correction to undo",IF(OR($B955&lt;Weeks!$A$6,$B955&gt;Weeks!$B$58),"date outside this workbook's year",IF(AND($D955="Advance",N($L955)&lt;0),"Warning: more than earned so far - worker now owes "&amp;ROUND(-$L955,0),"")))))))))</f>
        <v/>
      </c>
    </row>
    <row r="956" customFormat="false" ht="15" hidden="false" customHeight="false" outlineLevel="0" collapsed="false">
      <c r="A956" s="24" t="str">
        <f aca="false">IF($B956="","",ROW()-5)</f>
        <v/>
      </c>
      <c r="B956" s="25"/>
      <c r="C956" s="20"/>
      <c r="D956" s="26"/>
      <c r="E956" s="27"/>
      <c r="F956" s="20"/>
      <c r="G956" s="20"/>
      <c r="H956" s="26"/>
      <c r="I956" s="24" t="str">
        <f aca="false">IF($C956="","",IFERROR(INDEX(WorkerIDs,MATCH($C956,WorkerNames,0)),"?"))</f>
        <v/>
      </c>
      <c r="J956" s="18" t="str">
        <f aca="false">IF($B956="","",$B956-WEEKDAY($B956,2)+1)</f>
        <v/>
      </c>
      <c r="K956" s="28" t="str">
        <f aca="false">IF(OR($I956="",$I956="?",$D956&lt;&gt;"Advance",$B956=""),"",$I956&amp;"|"&amp;$J956&amp;"|"&amp;COUNTIFS($I$6:$I956,$I956,$J$6:$J956,$J956,$D$6:$D956,"Advance"))</f>
        <v/>
      </c>
      <c r="L956" s="29" t="str">
        <f aca="false">IF(OR($I956="",$I956="?",$B956=""),"",SUMPRODUCT((Weeks!$A$6:$A$58&lt;=$J956)*(Weeks!$Z$4:$AK$4=$I956)*Weeks!$Z$6:$AK$58)-SUMIFS($E$6:$E$1005,$I$6:$I$1005,$I956,$B$6:$B$1005,"&lt;="&amp;$B956))</f>
        <v/>
      </c>
      <c r="M956" s="19" t="str">
        <f aca="false">IF($B956&amp;$C956&amp;$D956&amp;$E956="","",IF($B956="","missing date",IF($C956="","missing worker",IF($I956="?","unknown worker - was the name changed on Workers?",IF($D956="","missing type",IF(N($E956)=0,"missing amount",IF(AND($E956&lt;0,$D956&lt;&gt;"Correction"),"negative amount - use a Correction to undo",IF(OR($B956&lt;Weeks!$A$6,$B956&gt;Weeks!$B$58),"date outside this workbook's year",IF(AND($D956="Advance",N($L956)&lt;0),"Warning: more than earned so far - worker now owes "&amp;ROUND(-$L956,0),"")))))))))</f>
        <v/>
      </c>
    </row>
    <row r="957" customFormat="false" ht="15" hidden="false" customHeight="false" outlineLevel="0" collapsed="false">
      <c r="A957" s="24" t="str">
        <f aca="false">IF($B957="","",ROW()-5)</f>
        <v/>
      </c>
      <c r="B957" s="25"/>
      <c r="C957" s="20"/>
      <c r="D957" s="26"/>
      <c r="E957" s="27"/>
      <c r="F957" s="20"/>
      <c r="G957" s="20"/>
      <c r="H957" s="26"/>
      <c r="I957" s="24" t="str">
        <f aca="false">IF($C957="","",IFERROR(INDEX(WorkerIDs,MATCH($C957,WorkerNames,0)),"?"))</f>
        <v/>
      </c>
      <c r="J957" s="18" t="str">
        <f aca="false">IF($B957="","",$B957-WEEKDAY($B957,2)+1)</f>
        <v/>
      </c>
      <c r="K957" s="28" t="str">
        <f aca="false">IF(OR($I957="",$I957="?",$D957&lt;&gt;"Advance",$B957=""),"",$I957&amp;"|"&amp;$J957&amp;"|"&amp;COUNTIFS($I$6:$I957,$I957,$J$6:$J957,$J957,$D$6:$D957,"Advance"))</f>
        <v/>
      </c>
      <c r="L957" s="29" t="str">
        <f aca="false">IF(OR($I957="",$I957="?",$B957=""),"",SUMPRODUCT((Weeks!$A$6:$A$58&lt;=$J957)*(Weeks!$Z$4:$AK$4=$I957)*Weeks!$Z$6:$AK$58)-SUMIFS($E$6:$E$1005,$I$6:$I$1005,$I957,$B$6:$B$1005,"&lt;="&amp;$B957))</f>
        <v/>
      </c>
      <c r="M957" s="19" t="str">
        <f aca="false">IF($B957&amp;$C957&amp;$D957&amp;$E957="","",IF($B957="","missing date",IF($C957="","missing worker",IF($I957="?","unknown worker - was the name changed on Workers?",IF($D957="","missing type",IF(N($E957)=0,"missing amount",IF(AND($E957&lt;0,$D957&lt;&gt;"Correction"),"negative amount - use a Correction to undo",IF(OR($B957&lt;Weeks!$A$6,$B957&gt;Weeks!$B$58),"date outside this workbook's year",IF(AND($D957="Advance",N($L957)&lt;0),"Warning: more than earned so far - worker now owes "&amp;ROUND(-$L957,0),"")))))))))</f>
        <v/>
      </c>
    </row>
    <row r="958" customFormat="false" ht="15" hidden="false" customHeight="false" outlineLevel="0" collapsed="false">
      <c r="A958" s="24" t="str">
        <f aca="false">IF($B958="","",ROW()-5)</f>
        <v/>
      </c>
      <c r="B958" s="25"/>
      <c r="C958" s="20"/>
      <c r="D958" s="26"/>
      <c r="E958" s="27"/>
      <c r="F958" s="20"/>
      <c r="G958" s="20"/>
      <c r="H958" s="26"/>
      <c r="I958" s="24" t="str">
        <f aca="false">IF($C958="","",IFERROR(INDEX(WorkerIDs,MATCH($C958,WorkerNames,0)),"?"))</f>
        <v/>
      </c>
      <c r="J958" s="18" t="str">
        <f aca="false">IF($B958="","",$B958-WEEKDAY($B958,2)+1)</f>
        <v/>
      </c>
      <c r="K958" s="28" t="str">
        <f aca="false">IF(OR($I958="",$I958="?",$D958&lt;&gt;"Advance",$B958=""),"",$I958&amp;"|"&amp;$J958&amp;"|"&amp;COUNTIFS($I$6:$I958,$I958,$J$6:$J958,$J958,$D$6:$D958,"Advance"))</f>
        <v/>
      </c>
      <c r="L958" s="29" t="str">
        <f aca="false">IF(OR($I958="",$I958="?",$B958=""),"",SUMPRODUCT((Weeks!$A$6:$A$58&lt;=$J958)*(Weeks!$Z$4:$AK$4=$I958)*Weeks!$Z$6:$AK$58)-SUMIFS($E$6:$E$1005,$I$6:$I$1005,$I958,$B$6:$B$1005,"&lt;="&amp;$B958))</f>
        <v/>
      </c>
      <c r="M958" s="19" t="str">
        <f aca="false">IF($B958&amp;$C958&amp;$D958&amp;$E958="","",IF($B958="","missing date",IF($C958="","missing worker",IF($I958="?","unknown worker - was the name changed on Workers?",IF($D958="","missing type",IF(N($E958)=0,"missing amount",IF(AND($E958&lt;0,$D958&lt;&gt;"Correction"),"negative amount - use a Correction to undo",IF(OR($B958&lt;Weeks!$A$6,$B958&gt;Weeks!$B$58),"date outside this workbook's year",IF(AND($D958="Advance",N($L958)&lt;0),"Warning: more than earned so far - worker now owes "&amp;ROUND(-$L958,0),"")))))))))</f>
        <v/>
      </c>
    </row>
    <row r="959" customFormat="false" ht="15" hidden="false" customHeight="false" outlineLevel="0" collapsed="false">
      <c r="A959" s="24" t="str">
        <f aca="false">IF($B959="","",ROW()-5)</f>
        <v/>
      </c>
      <c r="B959" s="25"/>
      <c r="C959" s="20"/>
      <c r="D959" s="26"/>
      <c r="E959" s="27"/>
      <c r="F959" s="20"/>
      <c r="G959" s="20"/>
      <c r="H959" s="26"/>
      <c r="I959" s="24" t="str">
        <f aca="false">IF($C959="","",IFERROR(INDEX(WorkerIDs,MATCH($C959,WorkerNames,0)),"?"))</f>
        <v/>
      </c>
      <c r="J959" s="18" t="str">
        <f aca="false">IF($B959="","",$B959-WEEKDAY($B959,2)+1)</f>
        <v/>
      </c>
      <c r="K959" s="28" t="str">
        <f aca="false">IF(OR($I959="",$I959="?",$D959&lt;&gt;"Advance",$B959=""),"",$I959&amp;"|"&amp;$J959&amp;"|"&amp;COUNTIFS($I$6:$I959,$I959,$J$6:$J959,$J959,$D$6:$D959,"Advance"))</f>
        <v/>
      </c>
      <c r="L959" s="29" t="str">
        <f aca="false">IF(OR($I959="",$I959="?",$B959=""),"",SUMPRODUCT((Weeks!$A$6:$A$58&lt;=$J959)*(Weeks!$Z$4:$AK$4=$I959)*Weeks!$Z$6:$AK$58)-SUMIFS($E$6:$E$1005,$I$6:$I$1005,$I959,$B$6:$B$1005,"&lt;="&amp;$B959))</f>
        <v/>
      </c>
      <c r="M959" s="19" t="str">
        <f aca="false">IF($B959&amp;$C959&amp;$D959&amp;$E959="","",IF($B959="","missing date",IF($C959="","missing worker",IF($I959="?","unknown worker - was the name changed on Workers?",IF($D959="","missing type",IF(N($E959)=0,"missing amount",IF(AND($E959&lt;0,$D959&lt;&gt;"Correction"),"negative amount - use a Correction to undo",IF(OR($B959&lt;Weeks!$A$6,$B959&gt;Weeks!$B$58),"date outside this workbook's year",IF(AND($D959="Advance",N($L959)&lt;0),"Warning: more than earned so far - worker now owes "&amp;ROUND(-$L959,0),"")))))))))</f>
        <v/>
      </c>
    </row>
    <row r="960" customFormat="false" ht="15" hidden="false" customHeight="false" outlineLevel="0" collapsed="false">
      <c r="A960" s="24" t="str">
        <f aca="false">IF($B960="","",ROW()-5)</f>
        <v/>
      </c>
      <c r="B960" s="25"/>
      <c r="C960" s="20"/>
      <c r="D960" s="26"/>
      <c r="E960" s="27"/>
      <c r="F960" s="20"/>
      <c r="G960" s="20"/>
      <c r="H960" s="26"/>
      <c r="I960" s="24" t="str">
        <f aca="false">IF($C960="","",IFERROR(INDEX(WorkerIDs,MATCH($C960,WorkerNames,0)),"?"))</f>
        <v/>
      </c>
      <c r="J960" s="18" t="str">
        <f aca="false">IF($B960="","",$B960-WEEKDAY($B960,2)+1)</f>
        <v/>
      </c>
      <c r="K960" s="28" t="str">
        <f aca="false">IF(OR($I960="",$I960="?",$D960&lt;&gt;"Advance",$B960=""),"",$I960&amp;"|"&amp;$J960&amp;"|"&amp;COUNTIFS($I$6:$I960,$I960,$J$6:$J960,$J960,$D$6:$D960,"Advance"))</f>
        <v/>
      </c>
      <c r="L960" s="29" t="str">
        <f aca="false">IF(OR($I960="",$I960="?",$B960=""),"",SUMPRODUCT((Weeks!$A$6:$A$58&lt;=$J960)*(Weeks!$Z$4:$AK$4=$I960)*Weeks!$Z$6:$AK$58)-SUMIFS($E$6:$E$1005,$I$6:$I$1005,$I960,$B$6:$B$1005,"&lt;="&amp;$B960))</f>
        <v/>
      </c>
      <c r="M960" s="19" t="str">
        <f aca="false">IF($B960&amp;$C960&amp;$D960&amp;$E960="","",IF($B960="","missing date",IF($C960="","missing worker",IF($I960="?","unknown worker - was the name changed on Workers?",IF($D960="","missing type",IF(N($E960)=0,"missing amount",IF(AND($E960&lt;0,$D960&lt;&gt;"Correction"),"negative amount - use a Correction to undo",IF(OR($B960&lt;Weeks!$A$6,$B960&gt;Weeks!$B$58),"date outside this workbook's year",IF(AND($D960="Advance",N($L960)&lt;0),"Warning: more than earned so far - worker now owes "&amp;ROUND(-$L960,0),"")))))))))</f>
        <v/>
      </c>
    </row>
    <row r="961" customFormat="false" ht="15" hidden="false" customHeight="false" outlineLevel="0" collapsed="false">
      <c r="A961" s="24" t="str">
        <f aca="false">IF($B961="","",ROW()-5)</f>
        <v/>
      </c>
      <c r="B961" s="25"/>
      <c r="C961" s="20"/>
      <c r="D961" s="26"/>
      <c r="E961" s="27"/>
      <c r="F961" s="20"/>
      <c r="G961" s="20"/>
      <c r="H961" s="26"/>
      <c r="I961" s="24" t="str">
        <f aca="false">IF($C961="","",IFERROR(INDEX(WorkerIDs,MATCH($C961,WorkerNames,0)),"?"))</f>
        <v/>
      </c>
      <c r="J961" s="18" t="str">
        <f aca="false">IF($B961="","",$B961-WEEKDAY($B961,2)+1)</f>
        <v/>
      </c>
      <c r="K961" s="28" t="str">
        <f aca="false">IF(OR($I961="",$I961="?",$D961&lt;&gt;"Advance",$B961=""),"",$I961&amp;"|"&amp;$J961&amp;"|"&amp;COUNTIFS($I$6:$I961,$I961,$J$6:$J961,$J961,$D$6:$D961,"Advance"))</f>
        <v/>
      </c>
      <c r="L961" s="29" t="str">
        <f aca="false">IF(OR($I961="",$I961="?",$B961=""),"",SUMPRODUCT((Weeks!$A$6:$A$58&lt;=$J961)*(Weeks!$Z$4:$AK$4=$I961)*Weeks!$Z$6:$AK$58)-SUMIFS($E$6:$E$1005,$I$6:$I$1005,$I961,$B$6:$B$1005,"&lt;="&amp;$B961))</f>
        <v/>
      </c>
      <c r="M961" s="19" t="str">
        <f aca="false">IF($B961&amp;$C961&amp;$D961&amp;$E961="","",IF($B961="","missing date",IF($C961="","missing worker",IF($I961="?","unknown worker - was the name changed on Workers?",IF($D961="","missing type",IF(N($E961)=0,"missing amount",IF(AND($E961&lt;0,$D961&lt;&gt;"Correction"),"negative amount - use a Correction to undo",IF(OR($B961&lt;Weeks!$A$6,$B961&gt;Weeks!$B$58),"date outside this workbook's year",IF(AND($D961="Advance",N($L961)&lt;0),"Warning: more than earned so far - worker now owes "&amp;ROUND(-$L961,0),"")))))))))</f>
        <v/>
      </c>
    </row>
    <row r="962" customFormat="false" ht="15" hidden="false" customHeight="false" outlineLevel="0" collapsed="false">
      <c r="A962" s="24" t="str">
        <f aca="false">IF($B962="","",ROW()-5)</f>
        <v/>
      </c>
      <c r="B962" s="25"/>
      <c r="C962" s="20"/>
      <c r="D962" s="26"/>
      <c r="E962" s="27"/>
      <c r="F962" s="20"/>
      <c r="G962" s="20"/>
      <c r="H962" s="26"/>
      <c r="I962" s="24" t="str">
        <f aca="false">IF($C962="","",IFERROR(INDEX(WorkerIDs,MATCH($C962,WorkerNames,0)),"?"))</f>
        <v/>
      </c>
      <c r="J962" s="18" t="str">
        <f aca="false">IF($B962="","",$B962-WEEKDAY($B962,2)+1)</f>
        <v/>
      </c>
      <c r="K962" s="28" t="str">
        <f aca="false">IF(OR($I962="",$I962="?",$D962&lt;&gt;"Advance",$B962=""),"",$I962&amp;"|"&amp;$J962&amp;"|"&amp;COUNTIFS($I$6:$I962,$I962,$J$6:$J962,$J962,$D$6:$D962,"Advance"))</f>
        <v/>
      </c>
      <c r="L962" s="29" t="str">
        <f aca="false">IF(OR($I962="",$I962="?",$B962=""),"",SUMPRODUCT((Weeks!$A$6:$A$58&lt;=$J962)*(Weeks!$Z$4:$AK$4=$I962)*Weeks!$Z$6:$AK$58)-SUMIFS($E$6:$E$1005,$I$6:$I$1005,$I962,$B$6:$B$1005,"&lt;="&amp;$B962))</f>
        <v/>
      </c>
      <c r="M962" s="19" t="str">
        <f aca="false">IF($B962&amp;$C962&amp;$D962&amp;$E962="","",IF($B962="","missing date",IF($C962="","missing worker",IF($I962="?","unknown worker - was the name changed on Workers?",IF($D962="","missing type",IF(N($E962)=0,"missing amount",IF(AND($E962&lt;0,$D962&lt;&gt;"Correction"),"negative amount - use a Correction to undo",IF(OR($B962&lt;Weeks!$A$6,$B962&gt;Weeks!$B$58),"date outside this workbook's year",IF(AND($D962="Advance",N($L962)&lt;0),"Warning: more than earned so far - worker now owes "&amp;ROUND(-$L962,0),"")))))))))</f>
        <v/>
      </c>
    </row>
    <row r="963" customFormat="false" ht="15" hidden="false" customHeight="false" outlineLevel="0" collapsed="false">
      <c r="A963" s="24" t="str">
        <f aca="false">IF($B963="","",ROW()-5)</f>
        <v/>
      </c>
      <c r="B963" s="25"/>
      <c r="C963" s="20"/>
      <c r="D963" s="26"/>
      <c r="E963" s="27"/>
      <c r="F963" s="20"/>
      <c r="G963" s="20"/>
      <c r="H963" s="26"/>
      <c r="I963" s="24" t="str">
        <f aca="false">IF($C963="","",IFERROR(INDEX(WorkerIDs,MATCH($C963,WorkerNames,0)),"?"))</f>
        <v/>
      </c>
      <c r="J963" s="18" t="str">
        <f aca="false">IF($B963="","",$B963-WEEKDAY($B963,2)+1)</f>
        <v/>
      </c>
      <c r="K963" s="28" t="str">
        <f aca="false">IF(OR($I963="",$I963="?",$D963&lt;&gt;"Advance",$B963=""),"",$I963&amp;"|"&amp;$J963&amp;"|"&amp;COUNTIFS($I$6:$I963,$I963,$J$6:$J963,$J963,$D$6:$D963,"Advance"))</f>
        <v/>
      </c>
      <c r="L963" s="29" t="str">
        <f aca="false">IF(OR($I963="",$I963="?",$B963=""),"",SUMPRODUCT((Weeks!$A$6:$A$58&lt;=$J963)*(Weeks!$Z$4:$AK$4=$I963)*Weeks!$Z$6:$AK$58)-SUMIFS($E$6:$E$1005,$I$6:$I$1005,$I963,$B$6:$B$1005,"&lt;="&amp;$B963))</f>
        <v/>
      </c>
      <c r="M963" s="19" t="str">
        <f aca="false">IF($B963&amp;$C963&amp;$D963&amp;$E963="","",IF($B963="","missing date",IF($C963="","missing worker",IF($I963="?","unknown worker - was the name changed on Workers?",IF($D963="","missing type",IF(N($E963)=0,"missing amount",IF(AND($E963&lt;0,$D963&lt;&gt;"Correction"),"negative amount - use a Correction to undo",IF(OR($B963&lt;Weeks!$A$6,$B963&gt;Weeks!$B$58),"date outside this workbook's year",IF(AND($D963="Advance",N($L963)&lt;0),"Warning: more than earned so far - worker now owes "&amp;ROUND(-$L963,0),"")))))))))</f>
        <v/>
      </c>
    </row>
    <row r="964" customFormat="false" ht="15" hidden="false" customHeight="false" outlineLevel="0" collapsed="false">
      <c r="A964" s="24" t="str">
        <f aca="false">IF($B964="","",ROW()-5)</f>
        <v/>
      </c>
      <c r="B964" s="25"/>
      <c r="C964" s="20"/>
      <c r="D964" s="26"/>
      <c r="E964" s="27"/>
      <c r="F964" s="20"/>
      <c r="G964" s="20"/>
      <c r="H964" s="26"/>
      <c r="I964" s="24" t="str">
        <f aca="false">IF($C964="","",IFERROR(INDEX(WorkerIDs,MATCH($C964,WorkerNames,0)),"?"))</f>
        <v/>
      </c>
      <c r="J964" s="18" t="str">
        <f aca="false">IF($B964="","",$B964-WEEKDAY($B964,2)+1)</f>
        <v/>
      </c>
      <c r="K964" s="28" t="str">
        <f aca="false">IF(OR($I964="",$I964="?",$D964&lt;&gt;"Advance",$B964=""),"",$I964&amp;"|"&amp;$J964&amp;"|"&amp;COUNTIFS($I$6:$I964,$I964,$J$6:$J964,$J964,$D$6:$D964,"Advance"))</f>
        <v/>
      </c>
      <c r="L964" s="29" t="str">
        <f aca="false">IF(OR($I964="",$I964="?",$B964=""),"",SUMPRODUCT((Weeks!$A$6:$A$58&lt;=$J964)*(Weeks!$Z$4:$AK$4=$I964)*Weeks!$Z$6:$AK$58)-SUMIFS($E$6:$E$1005,$I$6:$I$1005,$I964,$B$6:$B$1005,"&lt;="&amp;$B964))</f>
        <v/>
      </c>
      <c r="M964" s="19" t="str">
        <f aca="false">IF($B964&amp;$C964&amp;$D964&amp;$E964="","",IF($B964="","missing date",IF($C964="","missing worker",IF($I964="?","unknown worker - was the name changed on Workers?",IF($D964="","missing type",IF(N($E964)=0,"missing amount",IF(AND($E964&lt;0,$D964&lt;&gt;"Correction"),"negative amount - use a Correction to undo",IF(OR($B964&lt;Weeks!$A$6,$B964&gt;Weeks!$B$58),"date outside this workbook's year",IF(AND($D964="Advance",N($L964)&lt;0),"Warning: more than earned so far - worker now owes "&amp;ROUND(-$L964,0),"")))))))))</f>
        <v/>
      </c>
    </row>
    <row r="965" customFormat="false" ht="15" hidden="false" customHeight="false" outlineLevel="0" collapsed="false">
      <c r="A965" s="24" t="str">
        <f aca="false">IF($B965="","",ROW()-5)</f>
        <v/>
      </c>
      <c r="B965" s="25"/>
      <c r="C965" s="20"/>
      <c r="D965" s="26"/>
      <c r="E965" s="27"/>
      <c r="F965" s="20"/>
      <c r="G965" s="20"/>
      <c r="H965" s="26"/>
      <c r="I965" s="24" t="str">
        <f aca="false">IF($C965="","",IFERROR(INDEX(WorkerIDs,MATCH($C965,WorkerNames,0)),"?"))</f>
        <v/>
      </c>
      <c r="J965" s="18" t="str">
        <f aca="false">IF($B965="","",$B965-WEEKDAY($B965,2)+1)</f>
        <v/>
      </c>
      <c r="K965" s="28" t="str">
        <f aca="false">IF(OR($I965="",$I965="?",$D965&lt;&gt;"Advance",$B965=""),"",$I965&amp;"|"&amp;$J965&amp;"|"&amp;COUNTIFS($I$6:$I965,$I965,$J$6:$J965,$J965,$D$6:$D965,"Advance"))</f>
        <v/>
      </c>
      <c r="L965" s="29" t="str">
        <f aca="false">IF(OR($I965="",$I965="?",$B965=""),"",SUMPRODUCT((Weeks!$A$6:$A$58&lt;=$J965)*(Weeks!$Z$4:$AK$4=$I965)*Weeks!$Z$6:$AK$58)-SUMIFS($E$6:$E$1005,$I$6:$I$1005,$I965,$B$6:$B$1005,"&lt;="&amp;$B965))</f>
        <v/>
      </c>
      <c r="M965" s="19" t="str">
        <f aca="false">IF($B965&amp;$C965&amp;$D965&amp;$E965="","",IF($B965="","missing date",IF($C965="","missing worker",IF($I965="?","unknown worker - was the name changed on Workers?",IF($D965="","missing type",IF(N($E965)=0,"missing amount",IF(AND($E965&lt;0,$D965&lt;&gt;"Correction"),"negative amount - use a Correction to undo",IF(OR($B965&lt;Weeks!$A$6,$B965&gt;Weeks!$B$58),"date outside this workbook's year",IF(AND($D965="Advance",N($L965)&lt;0),"Warning: more than earned so far - worker now owes "&amp;ROUND(-$L965,0),"")))))))))</f>
        <v/>
      </c>
    </row>
    <row r="966" customFormat="false" ht="15" hidden="false" customHeight="false" outlineLevel="0" collapsed="false">
      <c r="A966" s="24" t="str">
        <f aca="false">IF($B966="","",ROW()-5)</f>
        <v/>
      </c>
      <c r="B966" s="25"/>
      <c r="C966" s="20"/>
      <c r="D966" s="26"/>
      <c r="E966" s="27"/>
      <c r="F966" s="20"/>
      <c r="G966" s="20"/>
      <c r="H966" s="26"/>
      <c r="I966" s="24" t="str">
        <f aca="false">IF($C966="","",IFERROR(INDEX(WorkerIDs,MATCH($C966,WorkerNames,0)),"?"))</f>
        <v/>
      </c>
      <c r="J966" s="18" t="str">
        <f aca="false">IF($B966="","",$B966-WEEKDAY($B966,2)+1)</f>
        <v/>
      </c>
      <c r="K966" s="28" t="str">
        <f aca="false">IF(OR($I966="",$I966="?",$D966&lt;&gt;"Advance",$B966=""),"",$I966&amp;"|"&amp;$J966&amp;"|"&amp;COUNTIFS($I$6:$I966,$I966,$J$6:$J966,$J966,$D$6:$D966,"Advance"))</f>
        <v/>
      </c>
      <c r="L966" s="29" t="str">
        <f aca="false">IF(OR($I966="",$I966="?",$B966=""),"",SUMPRODUCT((Weeks!$A$6:$A$58&lt;=$J966)*(Weeks!$Z$4:$AK$4=$I966)*Weeks!$Z$6:$AK$58)-SUMIFS($E$6:$E$1005,$I$6:$I$1005,$I966,$B$6:$B$1005,"&lt;="&amp;$B966))</f>
        <v/>
      </c>
      <c r="M966" s="19" t="str">
        <f aca="false">IF($B966&amp;$C966&amp;$D966&amp;$E966="","",IF($B966="","missing date",IF($C966="","missing worker",IF($I966="?","unknown worker - was the name changed on Workers?",IF($D966="","missing type",IF(N($E966)=0,"missing amount",IF(AND($E966&lt;0,$D966&lt;&gt;"Correction"),"negative amount - use a Correction to undo",IF(OR($B966&lt;Weeks!$A$6,$B966&gt;Weeks!$B$58),"date outside this workbook's year",IF(AND($D966="Advance",N($L966)&lt;0),"Warning: more than earned so far - worker now owes "&amp;ROUND(-$L966,0),"")))))))))</f>
        <v/>
      </c>
    </row>
    <row r="967" customFormat="false" ht="15" hidden="false" customHeight="false" outlineLevel="0" collapsed="false">
      <c r="A967" s="24" t="str">
        <f aca="false">IF($B967="","",ROW()-5)</f>
        <v/>
      </c>
      <c r="B967" s="25"/>
      <c r="C967" s="20"/>
      <c r="D967" s="26"/>
      <c r="E967" s="27"/>
      <c r="F967" s="20"/>
      <c r="G967" s="20"/>
      <c r="H967" s="26"/>
      <c r="I967" s="24" t="str">
        <f aca="false">IF($C967="","",IFERROR(INDEX(WorkerIDs,MATCH($C967,WorkerNames,0)),"?"))</f>
        <v/>
      </c>
      <c r="J967" s="18" t="str">
        <f aca="false">IF($B967="","",$B967-WEEKDAY($B967,2)+1)</f>
        <v/>
      </c>
      <c r="K967" s="28" t="str">
        <f aca="false">IF(OR($I967="",$I967="?",$D967&lt;&gt;"Advance",$B967=""),"",$I967&amp;"|"&amp;$J967&amp;"|"&amp;COUNTIFS($I$6:$I967,$I967,$J$6:$J967,$J967,$D$6:$D967,"Advance"))</f>
        <v/>
      </c>
      <c r="L967" s="29" t="str">
        <f aca="false">IF(OR($I967="",$I967="?",$B967=""),"",SUMPRODUCT((Weeks!$A$6:$A$58&lt;=$J967)*(Weeks!$Z$4:$AK$4=$I967)*Weeks!$Z$6:$AK$58)-SUMIFS($E$6:$E$1005,$I$6:$I$1005,$I967,$B$6:$B$1005,"&lt;="&amp;$B967))</f>
        <v/>
      </c>
      <c r="M967" s="19" t="str">
        <f aca="false">IF($B967&amp;$C967&amp;$D967&amp;$E967="","",IF($B967="","missing date",IF($C967="","missing worker",IF($I967="?","unknown worker - was the name changed on Workers?",IF($D967="","missing type",IF(N($E967)=0,"missing amount",IF(AND($E967&lt;0,$D967&lt;&gt;"Correction"),"negative amount - use a Correction to undo",IF(OR($B967&lt;Weeks!$A$6,$B967&gt;Weeks!$B$58),"date outside this workbook's year",IF(AND($D967="Advance",N($L967)&lt;0),"Warning: more than earned so far - worker now owes "&amp;ROUND(-$L967,0),"")))))))))</f>
        <v/>
      </c>
    </row>
    <row r="968" customFormat="false" ht="15" hidden="false" customHeight="false" outlineLevel="0" collapsed="false">
      <c r="A968" s="24" t="str">
        <f aca="false">IF($B968="","",ROW()-5)</f>
        <v/>
      </c>
      <c r="B968" s="25"/>
      <c r="C968" s="20"/>
      <c r="D968" s="26"/>
      <c r="E968" s="27"/>
      <c r="F968" s="20"/>
      <c r="G968" s="20"/>
      <c r="H968" s="26"/>
      <c r="I968" s="24" t="str">
        <f aca="false">IF($C968="","",IFERROR(INDEX(WorkerIDs,MATCH($C968,WorkerNames,0)),"?"))</f>
        <v/>
      </c>
      <c r="J968" s="18" t="str">
        <f aca="false">IF($B968="","",$B968-WEEKDAY($B968,2)+1)</f>
        <v/>
      </c>
      <c r="K968" s="28" t="str">
        <f aca="false">IF(OR($I968="",$I968="?",$D968&lt;&gt;"Advance",$B968=""),"",$I968&amp;"|"&amp;$J968&amp;"|"&amp;COUNTIFS($I$6:$I968,$I968,$J$6:$J968,$J968,$D$6:$D968,"Advance"))</f>
        <v/>
      </c>
      <c r="L968" s="29" t="str">
        <f aca="false">IF(OR($I968="",$I968="?",$B968=""),"",SUMPRODUCT((Weeks!$A$6:$A$58&lt;=$J968)*(Weeks!$Z$4:$AK$4=$I968)*Weeks!$Z$6:$AK$58)-SUMIFS($E$6:$E$1005,$I$6:$I$1005,$I968,$B$6:$B$1005,"&lt;="&amp;$B968))</f>
        <v/>
      </c>
      <c r="M968" s="19" t="str">
        <f aca="false">IF($B968&amp;$C968&amp;$D968&amp;$E968="","",IF($B968="","missing date",IF($C968="","missing worker",IF($I968="?","unknown worker - was the name changed on Workers?",IF($D968="","missing type",IF(N($E968)=0,"missing amount",IF(AND($E968&lt;0,$D968&lt;&gt;"Correction"),"negative amount - use a Correction to undo",IF(OR($B968&lt;Weeks!$A$6,$B968&gt;Weeks!$B$58),"date outside this workbook's year",IF(AND($D968="Advance",N($L968)&lt;0),"Warning: more than earned so far - worker now owes "&amp;ROUND(-$L968,0),"")))))))))</f>
        <v/>
      </c>
    </row>
    <row r="969" customFormat="false" ht="15" hidden="false" customHeight="false" outlineLevel="0" collapsed="false">
      <c r="A969" s="24" t="str">
        <f aca="false">IF($B969="","",ROW()-5)</f>
        <v/>
      </c>
      <c r="B969" s="25"/>
      <c r="C969" s="20"/>
      <c r="D969" s="26"/>
      <c r="E969" s="27"/>
      <c r="F969" s="20"/>
      <c r="G969" s="20"/>
      <c r="H969" s="26"/>
      <c r="I969" s="24" t="str">
        <f aca="false">IF($C969="","",IFERROR(INDEX(WorkerIDs,MATCH($C969,WorkerNames,0)),"?"))</f>
        <v/>
      </c>
      <c r="J969" s="18" t="str">
        <f aca="false">IF($B969="","",$B969-WEEKDAY($B969,2)+1)</f>
        <v/>
      </c>
      <c r="K969" s="28" t="str">
        <f aca="false">IF(OR($I969="",$I969="?",$D969&lt;&gt;"Advance",$B969=""),"",$I969&amp;"|"&amp;$J969&amp;"|"&amp;COUNTIFS($I$6:$I969,$I969,$J$6:$J969,$J969,$D$6:$D969,"Advance"))</f>
        <v/>
      </c>
      <c r="L969" s="29" t="str">
        <f aca="false">IF(OR($I969="",$I969="?",$B969=""),"",SUMPRODUCT((Weeks!$A$6:$A$58&lt;=$J969)*(Weeks!$Z$4:$AK$4=$I969)*Weeks!$Z$6:$AK$58)-SUMIFS($E$6:$E$1005,$I$6:$I$1005,$I969,$B$6:$B$1005,"&lt;="&amp;$B969))</f>
        <v/>
      </c>
      <c r="M969" s="19" t="str">
        <f aca="false">IF($B969&amp;$C969&amp;$D969&amp;$E969="","",IF($B969="","missing date",IF($C969="","missing worker",IF($I969="?","unknown worker - was the name changed on Workers?",IF($D969="","missing type",IF(N($E969)=0,"missing amount",IF(AND($E969&lt;0,$D969&lt;&gt;"Correction"),"negative amount - use a Correction to undo",IF(OR($B969&lt;Weeks!$A$6,$B969&gt;Weeks!$B$58),"date outside this workbook's year",IF(AND($D969="Advance",N($L969)&lt;0),"Warning: more than earned so far - worker now owes "&amp;ROUND(-$L969,0),"")))))))))</f>
        <v/>
      </c>
    </row>
    <row r="970" customFormat="false" ht="15" hidden="false" customHeight="false" outlineLevel="0" collapsed="false">
      <c r="A970" s="24" t="str">
        <f aca="false">IF($B970="","",ROW()-5)</f>
        <v/>
      </c>
      <c r="B970" s="25"/>
      <c r="C970" s="20"/>
      <c r="D970" s="26"/>
      <c r="E970" s="27"/>
      <c r="F970" s="20"/>
      <c r="G970" s="20"/>
      <c r="H970" s="26"/>
      <c r="I970" s="24" t="str">
        <f aca="false">IF($C970="","",IFERROR(INDEX(WorkerIDs,MATCH($C970,WorkerNames,0)),"?"))</f>
        <v/>
      </c>
      <c r="J970" s="18" t="str">
        <f aca="false">IF($B970="","",$B970-WEEKDAY($B970,2)+1)</f>
        <v/>
      </c>
      <c r="K970" s="28" t="str">
        <f aca="false">IF(OR($I970="",$I970="?",$D970&lt;&gt;"Advance",$B970=""),"",$I970&amp;"|"&amp;$J970&amp;"|"&amp;COUNTIFS($I$6:$I970,$I970,$J$6:$J970,$J970,$D$6:$D970,"Advance"))</f>
        <v/>
      </c>
      <c r="L970" s="29" t="str">
        <f aca="false">IF(OR($I970="",$I970="?",$B970=""),"",SUMPRODUCT((Weeks!$A$6:$A$58&lt;=$J970)*(Weeks!$Z$4:$AK$4=$I970)*Weeks!$Z$6:$AK$58)-SUMIFS($E$6:$E$1005,$I$6:$I$1005,$I970,$B$6:$B$1005,"&lt;="&amp;$B970))</f>
        <v/>
      </c>
      <c r="M970" s="19" t="str">
        <f aca="false">IF($B970&amp;$C970&amp;$D970&amp;$E970="","",IF($B970="","missing date",IF($C970="","missing worker",IF($I970="?","unknown worker - was the name changed on Workers?",IF($D970="","missing type",IF(N($E970)=0,"missing amount",IF(AND($E970&lt;0,$D970&lt;&gt;"Correction"),"negative amount - use a Correction to undo",IF(OR($B970&lt;Weeks!$A$6,$B970&gt;Weeks!$B$58),"date outside this workbook's year",IF(AND($D970="Advance",N($L970)&lt;0),"Warning: more than earned so far - worker now owes "&amp;ROUND(-$L970,0),"")))))))))</f>
        <v/>
      </c>
    </row>
    <row r="971" customFormat="false" ht="15" hidden="false" customHeight="false" outlineLevel="0" collapsed="false">
      <c r="A971" s="24" t="str">
        <f aca="false">IF($B971="","",ROW()-5)</f>
        <v/>
      </c>
      <c r="B971" s="25"/>
      <c r="C971" s="20"/>
      <c r="D971" s="26"/>
      <c r="E971" s="27"/>
      <c r="F971" s="20"/>
      <c r="G971" s="20"/>
      <c r="H971" s="26"/>
      <c r="I971" s="24" t="str">
        <f aca="false">IF($C971="","",IFERROR(INDEX(WorkerIDs,MATCH($C971,WorkerNames,0)),"?"))</f>
        <v/>
      </c>
      <c r="J971" s="18" t="str">
        <f aca="false">IF($B971="","",$B971-WEEKDAY($B971,2)+1)</f>
        <v/>
      </c>
      <c r="K971" s="28" t="str">
        <f aca="false">IF(OR($I971="",$I971="?",$D971&lt;&gt;"Advance",$B971=""),"",$I971&amp;"|"&amp;$J971&amp;"|"&amp;COUNTIFS($I$6:$I971,$I971,$J$6:$J971,$J971,$D$6:$D971,"Advance"))</f>
        <v/>
      </c>
      <c r="L971" s="29" t="str">
        <f aca="false">IF(OR($I971="",$I971="?",$B971=""),"",SUMPRODUCT((Weeks!$A$6:$A$58&lt;=$J971)*(Weeks!$Z$4:$AK$4=$I971)*Weeks!$Z$6:$AK$58)-SUMIFS($E$6:$E$1005,$I$6:$I$1005,$I971,$B$6:$B$1005,"&lt;="&amp;$B971))</f>
        <v/>
      </c>
      <c r="M971" s="19" t="str">
        <f aca="false">IF($B971&amp;$C971&amp;$D971&amp;$E971="","",IF($B971="","missing date",IF($C971="","missing worker",IF($I971="?","unknown worker - was the name changed on Workers?",IF($D971="","missing type",IF(N($E971)=0,"missing amount",IF(AND($E971&lt;0,$D971&lt;&gt;"Correction"),"negative amount - use a Correction to undo",IF(OR($B971&lt;Weeks!$A$6,$B971&gt;Weeks!$B$58),"date outside this workbook's year",IF(AND($D971="Advance",N($L971)&lt;0),"Warning: more than earned so far - worker now owes "&amp;ROUND(-$L971,0),"")))))))))</f>
        <v/>
      </c>
    </row>
    <row r="972" customFormat="false" ht="15" hidden="false" customHeight="false" outlineLevel="0" collapsed="false">
      <c r="A972" s="24" t="str">
        <f aca="false">IF($B972="","",ROW()-5)</f>
        <v/>
      </c>
      <c r="B972" s="25"/>
      <c r="C972" s="20"/>
      <c r="D972" s="26"/>
      <c r="E972" s="27"/>
      <c r="F972" s="20"/>
      <c r="G972" s="20"/>
      <c r="H972" s="26"/>
      <c r="I972" s="24" t="str">
        <f aca="false">IF($C972="","",IFERROR(INDEX(WorkerIDs,MATCH($C972,WorkerNames,0)),"?"))</f>
        <v/>
      </c>
      <c r="J972" s="18" t="str">
        <f aca="false">IF($B972="","",$B972-WEEKDAY($B972,2)+1)</f>
        <v/>
      </c>
      <c r="K972" s="28" t="str">
        <f aca="false">IF(OR($I972="",$I972="?",$D972&lt;&gt;"Advance",$B972=""),"",$I972&amp;"|"&amp;$J972&amp;"|"&amp;COUNTIFS($I$6:$I972,$I972,$J$6:$J972,$J972,$D$6:$D972,"Advance"))</f>
        <v/>
      </c>
      <c r="L972" s="29" t="str">
        <f aca="false">IF(OR($I972="",$I972="?",$B972=""),"",SUMPRODUCT((Weeks!$A$6:$A$58&lt;=$J972)*(Weeks!$Z$4:$AK$4=$I972)*Weeks!$Z$6:$AK$58)-SUMIFS($E$6:$E$1005,$I$6:$I$1005,$I972,$B$6:$B$1005,"&lt;="&amp;$B972))</f>
        <v/>
      </c>
      <c r="M972" s="19" t="str">
        <f aca="false">IF($B972&amp;$C972&amp;$D972&amp;$E972="","",IF($B972="","missing date",IF($C972="","missing worker",IF($I972="?","unknown worker - was the name changed on Workers?",IF($D972="","missing type",IF(N($E972)=0,"missing amount",IF(AND($E972&lt;0,$D972&lt;&gt;"Correction"),"negative amount - use a Correction to undo",IF(OR($B972&lt;Weeks!$A$6,$B972&gt;Weeks!$B$58),"date outside this workbook's year",IF(AND($D972="Advance",N($L972)&lt;0),"Warning: more than earned so far - worker now owes "&amp;ROUND(-$L972,0),"")))))))))</f>
        <v/>
      </c>
    </row>
    <row r="973" customFormat="false" ht="15" hidden="false" customHeight="false" outlineLevel="0" collapsed="false">
      <c r="A973" s="24" t="str">
        <f aca="false">IF($B973="","",ROW()-5)</f>
        <v/>
      </c>
      <c r="B973" s="25"/>
      <c r="C973" s="20"/>
      <c r="D973" s="26"/>
      <c r="E973" s="27"/>
      <c r="F973" s="20"/>
      <c r="G973" s="20"/>
      <c r="H973" s="26"/>
      <c r="I973" s="24" t="str">
        <f aca="false">IF($C973="","",IFERROR(INDEX(WorkerIDs,MATCH($C973,WorkerNames,0)),"?"))</f>
        <v/>
      </c>
      <c r="J973" s="18" t="str">
        <f aca="false">IF($B973="","",$B973-WEEKDAY($B973,2)+1)</f>
        <v/>
      </c>
      <c r="K973" s="28" t="str">
        <f aca="false">IF(OR($I973="",$I973="?",$D973&lt;&gt;"Advance",$B973=""),"",$I973&amp;"|"&amp;$J973&amp;"|"&amp;COUNTIFS($I$6:$I973,$I973,$J$6:$J973,$J973,$D$6:$D973,"Advance"))</f>
        <v/>
      </c>
      <c r="L973" s="29" t="str">
        <f aca="false">IF(OR($I973="",$I973="?",$B973=""),"",SUMPRODUCT((Weeks!$A$6:$A$58&lt;=$J973)*(Weeks!$Z$4:$AK$4=$I973)*Weeks!$Z$6:$AK$58)-SUMIFS($E$6:$E$1005,$I$6:$I$1005,$I973,$B$6:$B$1005,"&lt;="&amp;$B973))</f>
        <v/>
      </c>
      <c r="M973" s="19" t="str">
        <f aca="false">IF($B973&amp;$C973&amp;$D973&amp;$E973="","",IF($B973="","missing date",IF($C973="","missing worker",IF($I973="?","unknown worker - was the name changed on Workers?",IF($D973="","missing type",IF(N($E973)=0,"missing amount",IF(AND($E973&lt;0,$D973&lt;&gt;"Correction"),"negative amount - use a Correction to undo",IF(OR($B973&lt;Weeks!$A$6,$B973&gt;Weeks!$B$58),"date outside this workbook's year",IF(AND($D973="Advance",N($L973)&lt;0),"Warning: more than earned so far - worker now owes "&amp;ROUND(-$L973,0),"")))))))))</f>
        <v/>
      </c>
    </row>
    <row r="974" customFormat="false" ht="15" hidden="false" customHeight="false" outlineLevel="0" collapsed="false">
      <c r="A974" s="24" t="str">
        <f aca="false">IF($B974="","",ROW()-5)</f>
        <v/>
      </c>
      <c r="B974" s="25"/>
      <c r="C974" s="20"/>
      <c r="D974" s="26"/>
      <c r="E974" s="27"/>
      <c r="F974" s="20"/>
      <c r="G974" s="20"/>
      <c r="H974" s="26"/>
      <c r="I974" s="24" t="str">
        <f aca="false">IF($C974="","",IFERROR(INDEX(WorkerIDs,MATCH($C974,WorkerNames,0)),"?"))</f>
        <v/>
      </c>
      <c r="J974" s="18" t="str">
        <f aca="false">IF($B974="","",$B974-WEEKDAY($B974,2)+1)</f>
        <v/>
      </c>
      <c r="K974" s="28" t="str">
        <f aca="false">IF(OR($I974="",$I974="?",$D974&lt;&gt;"Advance",$B974=""),"",$I974&amp;"|"&amp;$J974&amp;"|"&amp;COUNTIFS($I$6:$I974,$I974,$J$6:$J974,$J974,$D$6:$D974,"Advance"))</f>
        <v/>
      </c>
      <c r="L974" s="29" t="str">
        <f aca="false">IF(OR($I974="",$I974="?",$B974=""),"",SUMPRODUCT((Weeks!$A$6:$A$58&lt;=$J974)*(Weeks!$Z$4:$AK$4=$I974)*Weeks!$Z$6:$AK$58)-SUMIFS($E$6:$E$1005,$I$6:$I$1005,$I974,$B$6:$B$1005,"&lt;="&amp;$B974))</f>
        <v/>
      </c>
      <c r="M974" s="19" t="str">
        <f aca="false">IF($B974&amp;$C974&amp;$D974&amp;$E974="","",IF($B974="","missing date",IF($C974="","missing worker",IF($I974="?","unknown worker - was the name changed on Workers?",IF($D974="","missing type",IF(N($E974)=0,"missing amount",IF(AND($E974&lt;0,$D974&lt;&gt;"Correction"),"negative amount - use a Correction to undo",IF(OR($B974&lt;Weeks!$A$6,$B974&gt;Weeks!$B$58),"date outside this workbook's year",IF(AND($D974="Advance",N($L974)&lt;0),"Warning: more than earned so far - worker now owes "&amp;ROUND(-$L974,0),"")))))))))</f>
        <v/>
      </c>
    </row>
    <row r="975" customFormat="false" ht="15" hidden="false" customHeight="false" outlineLevel="0" collapsed="false">
      <c r="A975" s="24" t="str">
        <f aca="false">IF($B975="","",ROW()-5)</f>
        <v/>
      </c>
      <c r="B975" s="25"/>
      <c r="C975" s="20"/>
      <c r="D975" s="26"/>
      <c r="E975" s="27"/>
      <c r="F975" s="20"/>
      <c r="G975" s="20"/>
      <c r="H975" s="26"/>
      <c r="I975" s="24" t="str">
        <f aca="false">IF($C975="","",IFERROR(INDEX(WorkerIDs,MATCH($C975,WorkerNames,0)),"?"))</f>
        <v/>
      </c>
      <c r="J975" s="18" t="str">
        <f aca="false">IF($B975="","",$B975-WEEKDAY($B975,2)+1)</f>
        <v/>
      </c>
      <c r="K975" s="28" t="str">
        <f aca="false">IF(OR($I975="",$I975="?",$D975&lt;&gt;"Advance",$B975=""),"",$I975&amp;"|"&amp;$J975&amp;"|"&amp;COUNTIFS($I$6:$I975,$I975,$J$6:$J975,$J975,$D$6:$D975,"Advance"))</f>
        <v/>
      </c>
      <c r="L975" s="29" t="str">
        <f aca="false">IF(OR($I975="",$I975="?",$B975=""),"",SUMPRODUCT((Weeks!$A$6:$A$58&lt;=$J975)*(Weeks!$Z$4:$AK$4=$I975)*Weeks!$Z$6:$AK$58)-SUMIFS($E$6:$E$1005,$I$6:$I$1005,$I975,$B$6:$B$1005,"&lt;="&amp;$B975))</f>
        <v/>
      </c>
      <c r="M975" s="19" t="str">
        <f aca="false">IF($B975&amp;$C975&amp;$D975&amp;$E975="","",IF($B975="","missing date",IF($C975="","missing worker",IF($I975="?","unknown worker - was the name changed on Workers?",IF($D975="","missing type",IF(N($E975)=0,"missing amount",IF(AND($E975&lt;0,$D975&lt;&gt;"Correction"),"negative amount - use a Correction to undo",IF(OR($B975&lt;Weeks!$A$6,$B975&gt;Weeks!$B$58),"date outside this workbook's year",IF(AND($D975="Advance",N($L975)&lt;0),"Warning: more than earned so far - worker now owes "&amp;ROUND(-$L975,0),"")))))))))</f>
        <v/>
      </c>
    </row>
    <row r="976" customFormat="false" ht="15" hidden="false" customHeight="false" outlineLevel="0" collapsed="false">
      <c r="A976" s="24" t="str">
        <f aca="false">IF($B976="","",ROW()-5)</f>
        <v/>
      </c>
      <c r="B976" s="25"/>
      <c r="C976" s="20"/>
      <c r="D976" s="26"/>
      <c r="E976" s="27"/>
      <c r="F976" s="20"/>
      <c r="G976" s="20"/>
      <c r="H976" s="26"/>
      <c r="I976" s="24" t="str">
        <f aca="false">IF($C976="","",IFERROR(INDEX(WorkerIDs,MATCH($C976,WorkerNames,0)),"?"))</f>
        <v/>
      </c>
      <c r="J976" s="18" t="str">
        <f aca="false">IF($B976="","",$B976-WEEKDAY($B976,2)+1)</f>
        <v/>
      </c>
      <c r="K976" s="28" t="str">
        <f aca="false">IF(OR($I976="",$I976="?",$D976&lt;&gt;"Advance",$B976=""),"",$I976&amp;"|"&amp;$J976&amp;"|"&amp;COUNTIFS($I$6:$I976,$I976,$J$6:$J976,$J976,$D$6:$D976,"Advance"))</f>
        <v/>
      </c>
      <c r="L976" s="29" t="str">
        <f aca="false">IF(OR($I976="",$I976="?",$B976=""),"",SUMPRODUCT((Weeks!$A$6:$A$58&lt;=$J976)*(Weeks!$Z$4:$AK$4=$I976)*Weeks!$Z$6:$AK$58)-SUMIFS($E$6:$E$1005,$I$6:$I$1005,$I976,$B$6:$B$1005,"&lt;="&amp;$B976))</f>
        <v/>
      </c>
      <c r="M976" s="19" t="str">
        <f aca="false">IF($B976&amp;$C976&amp;$D976&amp;$E976="","",IF($B976="","missing date",IF($C976="","missing worker",IF($I976="?","unknown worker - was the name changed on Workers?",IF($D976="","missing type",IF(N($E976)=0,"missing amount",IF(AND($E976&lt;0,$D976&lt;&gt;"Correction"),"negative amount - use a Correction to undo",IF(OR($B976&lt;Weeks!$A$6,$B976&gt;Weeks!$B$58),"date outside this workbook's year",IF(AND($D976="Advance",N($L976)&lt;0),"Warning: more than earned so far - worker now owes "&amp;ROUND(-$L976,0),"")))))))))</f>
        <v/>
      </c>
    </row>
    <row r="977" customFormat="false" ht="15" hidden="false" customHeight="false" outlineLevel="0" collapsed="false">
      <c r="A977" s="24" t="str">
        <f aca="false">IF($B977="","",ROW()-5)</f>
        <v/>
      </c>
      <c r="B977" s="25"/>
      <c r="C977" s="20"/>
      <c r="D977" s="26"/>
      <c r="E977" s="27"/>
      <c r="F977" s="20"/>
      <c r="G977" s="20"/>
      <c r="H977" s="26"/>
      <c r="I977" s="24" t="str">
        <f aca="false">IF($C977="","",IFERROR(INDEX(WorkerIDs,MATCH($C977,WorkerNames,0)),"?"))</f>
        <v/>
      </c>
      <c r="J977" s="18" t="str">
        <f aca="false">IF($B977="","",$B977-WEEKDAY($B977,2)+1)</f>
        <v/>
      </c>
      <c r="K977" s="28" t="str">
        <f aca="false">IF(OR($I977="",$I977="?",$D977&lt;&gt;"Advance",$B977=""),"",$I977&amp;"|"&amp;$J977&amp;"|"&amp;COUNTIFS($I$6:$I977,$I977,$J$6:$J977,$J977,$D$6:$D977,"Advance"))</f>
        <v/>
      </c>
      <c r="L977" s="29" t="str">
        <f aca="false">IF(OR($I977="",$I977="?",$B977=""),"",SUMPRODUCT((Weeks!$A$6:$A$58&lt;=$J977)*(Weeks!$Z$4:$AK$4=$I977)*Weeks!$Z$6:$AK$58)-SUMIFS($E$6:$E$1005,$I$6:$I$1005,$I977,$B$6:$B$1005,"&lt;="&amp;$B977))</f>
        <v/>
      </c>
      <c r="M977" s="19" t="str">
        <f aca="false">IF($B977&amp;$C977&amp;$D977&amp;$E977="","",IF($B977="","missing date",IF($C977="","missing worker",IF($I977="?","unknown worker - was the name changed on Workers?",IF($D977="","missing type",IF(N($E977)=0,"missing amount",IF(AND($E977&lt;0,$D977&lt;&gt;"Correction"),"negative amount - use a Correction to undo",IF(OR($B977&lt;Weeks!$A$6,$B977&gt;Weeks!$B$58),"date outside this workbook's year",IF(AND($D977="Advance",N($L977)&lt;0),"Warning: more than earned so far - worker now owes "&amp;ROUND(-$L977,0),"")))))))))</f>
        <v/>
      </c>
    </row>
    <row r="978" customFormat="false" ht="15" hidden="false" customHeight="false" outlineLevel="0" collapsed="false">
      <c r="A978" s="24" t="str">
        <f aca="false">IF($B978="","",ROW()-5)</f>
        <v/>
      </c>
      <c r="B978" s="25"/>
      <c r="C978" s="20"/>
      <c r="D978" s="26"/>
      <c r="E978" s="27"/>
      <c r="F978" s="20"/>
      <c r="G978" s="20"/>
      <c r="H978" s="26"/>
      <c r="I978" s="24" t="str">
        <f aca="false">IF($C978="","",IFERROR(INDEX(WorkerIDs,MATCH($C978,WorkerNames,0)),"?"))</f>
        <v/>
      </c>
      <c r="J978" s="18" t="str">
        <f aca="false">IF($B978="","",$B978-WEEKDAY($B978,2)+1)</f>
        <v/>
      </c>
      <c r="K978" s="28" t="str">
        <f aca="false">IF(OR($I978="",$I978="?",$D978&lt;&gt;"Advance",$B978=""),"",$I978&amp;"|"&amp;$J978&amp;"|"&amp;COUNTIFS($I$6:$I978,$I978,$J$6:$J978,$J978,$D$6:$D978,"Advance"))</f>
        <v/>
      </c>
      <c r="L978" s="29" t="str">
        <f aca="false">IF(OR($I978="",$I978="?",$B978=""),"",SUMPRODUCT((Weeks!$A$6:$A$58&lt;=$J978)*(Weeks!$Z$4:$AK$4=$I978)*Weeks!$Z$6:$AK$58)-SUMIFS($E$6:$E$1005,$I$6:$I$1005,$I978,$B$6:$B$1005,"&lt;="&amp;$B978))</f>
        <v/>
      </c>
      <c r="M978" s="19" t="str">
        <f aca="false">IF($B978&amp;$C978&amp;$D978&amp;$E978="","",IF($B978="","missing date",IF($C978="","missing worker",IF($I978="?","unknown worker - was the name changed on Workers?",IF($D978="","missing type",IF(N($E978)=0,"missing amount",IF(AND($E978&lt;0,$D978&lt;&gt;"Correction"),"negative amount - use a Correction to undo",IF(OR($B978&lt;Weeks!$A$6,$B978&gt;Weeks!$B$58),"date outside this workbook's year",IF(AND($D978="Advance",N($L978)&lt;0),"Warning: more than earned so far - worker now owes "&amp;ROUND(-$L978,0),"")))))))))</f>
        <v/>
      </c>
    </row>
    <row r="979" customFormat="false" ht="15" hidden="false" customHeight="false" outlineLevel="0" collapsed="false">
      <c r="A979" s="24" t="str">
        <f aca="false">IF($B979="","",ROW()-5)</f>
        <v/>
      </c>
      <c r="B979" s="25"/>
      <c r="C979" s="20"/>
      <c r="D979" s="26"/>
      <c r="E979" s="27"/>
      <c r="F979" s="20"/>
      <c r="G979" s="20"/>
      <c r="H979" s="26"/>
      <c r="I979" s="24" t="str">
        <f aca="false">IF($C979="","",IFERROR(INDEX(WorkerIDs,MATCH($C979,WorkerNames,0)),"?"))</f>
        <v/>
      </c>
      <c r="J979" s="18" t="str">
        <f aca="false">IF($B979="","",$B979-WEEKDAY($B979,2)+1)</f>
        <v/>
      </c>
      <c r="K979" s="28" t="str">
        <f aca="false">IF(OR($I979="",$I979="?",$D979&lt;&gt;"Advance",$B979=""),"",$I979&amp;"|"&amp;$J979&amp;"|"&amp;COUNTIFS($I$6:$I979,$I979,$J$6:$J979,$J979,$D$6:$D979,"Advance"))</f>
        <v/>
      </c>
      <c r="L979" s="29" t="str">
        <f aca="false">IF(OR($I979="",$I979="?",$B979=""),"",SUMPRODUCT((Weeks!$A$6:$A$58&lt;=$J979)*(Weeks!$Z$4:$AK$4=$I979)*Weeks!$Z$6:$AK$58)-SUMIFS($E$6:$E$1005,$I$6:$I$1005,$I979,$B$6:$B$1005,"&lt;="&amp;$B979))</f>
        <v/>
      </c>
      <c r="M979" s="19" t="str">
        <f aca="false">IF($B979&amp;$C979&amp;$D979&amp;$E979="","",IF($B979="","missing date",IF($C979="","missing worker",IF($I979="?","unknown worker - was the name changed on Workers?",IF($D979="","missing type",IF(N($E979)=0,"missing amount",IF(AND($E979&lt;0,$D979&lt;&gt;"Correction"),"negative amount - use a Correction to undo",IF(OR($B979&lt;Weeks!$A$6,$B979&gt;Weeks!$B$58),"date outside this workbook's year",IF(AND($D979="Advance",N($L979)&lt;0),"Warning: more than earned so far - worker now owes "&amp;ROUND(-$L979,0),"")))))))))</f>
        <v/>
      </c>
    </row>
    <row r="980" customFormat="false" ht="15" hidden="false" customHeight="false" outlineLevel="0" collapsed="false">
      <c r="A980" s="24" t="str">
        <f aca="false">IF($B980="","",ROW()-5)</f>
        <v/>
      </c>
      <c r="B980" s="25"/>
      <c r="C980" s="20"/>
      <c r="D980" s="26"/>
      <c r="E980" s="27"/>
      <c r="F980" s="20"/>
      <c r="G980" s="20"/>
      <c r="H980" s="26"/>
      <c r="I980" s="24" t="str">
        <f aca="false">IF($C980="","",IFERROR(INDEX(WorkerIDs,MATCH($C980,WorkerNames,0)),"?"))</f>
        <v/>
      </c>
      <c r="J980" s="18" t="str">
        <f aca="false">IF($B980="","",$B980-WEEKDAY($B980,2)+1)</f>
        <v/>
      </c>
      <c r="K980" s="28" t="str">
        <f aca="false">IF(OR($I980="",$I980="?",$D980&lt;&gt;"Advance",$B980=""),"",$I980&amp;"|"&amp;$J980&amp;"|"&amp;COUNTIFS($I$6:$I980,$I980,$J$6:$J980,$J980,$D$6:$D980,"Advance"))</f>
        <v/>
      </c>
      <c r="L980" s="29" t="str">
        <f aca="false">IF(OR($I980="",$I980="?",$B980=""),"",SUMPRODUCT((Weeks!$A$6:$A$58&lt;=$J980)*(Weeks!$Z$4:$AK$4=$I980)*Weeks!$Z$6:$AK$58)-SUMIFS($E$6:$E$1005,$I$6:$I$1005,$I980,$B$6:$B$1005,"&lt;="&amp;$B980))</f>
        <v/>
      </c>
      <c r="M980" s="19" t="str">
        <f aca="false">IF($B980&amp;$C980&amp;$D980&amp;$E980="","",IF($B980="","missing date",IF($C980="","missing worker",IF($I980="?","unknown worker - was the name changed on Workers?",IF($D980="","missing type",IF(N($E980)=0,"missing amount",IF(AND($E980&lt;0,$D980&lt;&gt;"Correction"),"negative amount - use a Correction to undo",IF(OR($B980&lt;Weeks!$A$6,$B980&gt;Weeks!$B$58),"date outside this workbook's year",IF(AND($D980="Advance",N($L980)&lt;0),"Warning: more than earned so far - worker now owes "&amp;ROUND(-$L980,0),"")))))))))</f>
        <v/>
      </c>
    </row>
    <row r="981" customFormat="false" ht="15" hidden="false" customHeight="false" outlineLevel="0" collapsed="false">
      <c r="A981" s="24" t="str">
        <f aca="false">IF($B981="","",ROW()-5)</f>
        <v/>
      </c>
      <c r="B981" s="25"/>
      <c r="C981" s="20"/>
      <c r="D981" s="26"/>
      <c r="E981" s="27"/>
      <c r="F981" s="20"/>
      <c r="G981" s="20"/>
      <c r="H981" s="26"/>
      <c r="I981" s="24" t="str">
        <f aca="false">IF($C981="","",IFERROR(INDEX(WorkerIDs,MATCH($C981,WorkerNames,0)),"?"))</f>
        <v/>
      </c>
      <c r="J981" s="18" t="str">
        <f aca="false">IF($B981="","",$B981-WEEKDAY($B981,2)+1)</f>
        <v/>
      </c>
      <c r="K981" s="28" t="str">
        <f aca="false">IF(OR($I981="",$I981="?",$D981&lt;&gt;"Advance",$B981=""),"",$I981&amp;"|"&amp;$J981&amp;"|"&amp;COUNTIFS($I$6:$I981,$I981,$J$6:$J981,$J981,$D$6:$D981,"Advance"))</f>
        <v/>
      </c>
      <c r="L981" s="29" t="str">
        <f aca="false">IF(OR($I981="",$I981="?",$B981=""),"",SUMPRODUCT((Weeks!$A$6:$A$58&lt;=$J981)*(Weeks!$Z$4:$AK$4=$I981)*Weeks!$Z$6:$AK$58)-SUMIFS($E$6:$E$1005,$I$6:$I$1005,$I981,$B$6:$B$1005,"&lt;="&amp;$B981))</f>
        <v/>
      </c>
      <c r="M981" s="19" t="str">
        <f aca="false">IF($B981&amp;$C981&amp;$D981&amp;$E981="","",IF($B981="","missing date",IF($C981="","missing worker",IF($I981="?","unknown worker - was the name changed on Workers?",IF($D981="","missing type",IF(N($E981)=0,"missing amount",IF(AND($E981&lt;0,$D981&lt;&gt;"Correction"),"negative amount - use a Correction to undo",IF(OR($B981&lt;Weeks!$A$6,$B981&gt;Weeks!$B$58),"date outside this workbook's year",IF(AND($D981="Advance",N($L981)&lt;0),"Warning: more than earned so far - worker now owes "&amp;ROUND(-$L981,0),"")))))))))</f>
        <v/>
      </c>
    </row>
    <row r="982" customFormat="false" ht="15" hidden="false" customHeight="false" outlineLevel="0" collapsed="false">
      <c r="A982" s="24" t="str">
        <f aca="false">IF($B982="","",ROW()-5)</f>
        <v/>
      </c>
      <c r="B982" s="25"/>
      <c r="C982" s="20"/>
      <c r="D982" s="26"/>
      <c r="E982" s="27"/>
      <c r="F982" s="20"/>
      <c r="G982" s="20"/>
      <c r="H982" s="26"/>
      <c r="I982" s="24" t="str">
        <f aca="false">IF($C982="","",IFERROR(INDEX(WorkerIDs,MATCH($C982,WorkerNames,0)),"?"))</f>
        <v/>
      </c>
      <c r="J982" s="18" t="str">
        <f aca="false">IF($B982="","",$B982-WEEKDAY($B982,2)+1)</f>
        <v/>
      </c>
      <c r="K982" s="28" t="str">
        <f aca="false">IF(OR($I982="",$I982="?",$D982&lt;&gt;"Advance",$B982=""),"",$I982&amp;"|"&amp;$J982&amp;"|"&amp;COUNTIFS($I$6:$I982,$I982,$J$6:$J982,$J982,$D$6:$D982,"Advance"))</f>
        <v/>
      </c>
      <c r="L982" s="29" t="str">
        <f aca="false">IF(OR($I982="",$I982="?",$B982=""),"",SUMPRODUCT((Weeks!$A$6:$A$58&lt;=$J982)*(Weeks!$Z$4:$AK$4=$I982)*Weeks!$Z$6:$AK$58)-SUMIFS($E$6:$E$1005,$I$6:$I$1005,$I982,$B$6:$B$1005,"&lt;="&amp;$B982))</f>
        <v/>
      </c>
      <c r="M982" s="19" t="str">
        <f aca="false">IF($B982&amp;$C982&amp;$D982&amp;$E982="","",IF($B982="","missing date",IF($C982="","missing worker",IF($I982="?","unknown worker - was the name changed on Workers?",IF($D982="","missing type",IF(N($E982)=0,"missing amount",IF(AND($E982&lt;0,$D982&lt;&gt;"Correction"),"negative amount - use a Correction to undo",IF(OR($B982&lt;Weeks!$A$6,$B982&gt;Weeks!$B$58),"date outside this workbook's year",IF(AND($D982="Advance",N($L982)&lt;0),"Warning: more than earned so far - worker now owes "&amp;ROUND(-$L982,0),"")))))))))</f>
        <v/>
      </c>
    </row>
    <row r="983" customFormat="false" ht="15" hidden="false" customHeight="false" outlineLevel="0" collapsed="false">
      <c r="A983" s="24" t="str">
        <f aca="false">IF($B983="","",ROW()-5)</f>
        <v/>
      </c>
      <c r="B983" s="25"/>
      <c r="C983" s="20"/>
      <c r="D983" s="26"/>
      <c r="E983" s="27"/>
      <c r="F983" s="20"/>
      <c r="G983" s="20"/>
      <c r="H983" s="26"/>
      <c r="I983" s="24" t="str">
        <f aca="false">IF($C983="","",IFERROR(INDEX(WorkerIDs,MATCH($C983,WorkerNames,0)),"?"))</f>
        <v/>
      </c>
      <c r="J983" s="18" t="str">
        <f aca="false">IF($B983="","",$B983-WEEKDAY($B983,2)+1)</f>
        <v/>
      </c>
      <c r="K983" s="28" t="str">
        <f aca="false">IF(OR($I983="",$I983="?",$D983&lt;&gt;"Advance",$B983=""),"",$I983&amp;"|"&amp;$J983&amp;"|"&amp;COUNTIFS($I$6:$I983,$I983,$J$6:$J983,$J983,$D$6:$D983,"Advance"))</f>
        <v/>
      </c>
      <c r="L983" s="29" t="str">
        <f aca="false">IF(OR($I983="",$I983="?",$B983=""),"",SUMPRODUCT((Weeks!$A$6:$A$58&lt;=$J983)*(Weeks!$Z$4:$AK$4=$I983)*Weeks!$Z$6:$AK$58)-SUMIFS($E$6:$E$1005,$I$6:$I$1005,$I983,$B$6:$B$1005,"&lt;="&amp;$B983))</f>
        <v/>
      </c>
      <c r="M983" s="19" t="str">
        <f aca="false">IF($B983&amp;$C983&amp;$D983&amp;$E983="","",IF($B983="","missing date",IF($C983="","missing worker",IF($I983="?","unknown worker - was the name changed on Workers?",IF($D983="","missing type",IF(N($E983)=0,"missing amount",IF(AND($E983&lt;0,$D983&lt;&gt;"Correction"),"negative amount - use a Correction to undo",IF(OR($B983&lt;Weeks!$A$6,$B983&gt;Weeks!$B$58),"date outside this workbook's year",IF(AND($D983="Advance",N($L983)&lt;0),"Warning: more than earned so far - worker now owes "&amp;ROUND(-$L983,0),"")))))))))</f>
        <v/>
      </c>
    </row>
    <row r="984" customFormat="false" ht="15" hidden="false" customHeight="false" outlineLevel="0" collapsed="false">
      <c r="A984" s="24" t="str">
        <f aca="false">IF($B984="","",ROW()-5)</f>
        <v/>
      </c>
      <c r="B984" s="25"/>
      <c r="C984" s="20"/>
      <c r="D984" s="26"/>
      <c r="E984" s="27"/>
      <c r="F984" s="20"/>
      <c r="G984" s="20"/>
      <c r="H984" s="26"/>
      <c r="I984" s="24" t="str">
        <f aca="false">IF($C984="","",IFERROR(INDEX(WorkerIDs,MATCH($C984,WorkerNames,0)),"?"))</f>
        <v/>
      </c>
      <c r="J984" s="18" t="str">
        <f aca="false">IF($B984="","",$B984-WEEKDAY($B984,2)+1)</f>
        <v/>
      </c>
      <c r="K984" s="28" t="str">
        <f aca="false">IF(OR($I984="",$I984="?",$D984&lt;&gt;"Advance",$B984=""),"",$I984&amp;"|"&amp;$J984&amp;"|"&amp;COUNTIFS($I$6:$I984,$I984,$J$6:$J984,$J984,$D$6:$D984,"Advance"))</f>
        <v/>
      </c>
      <c r="L984" s="29" t="str">
        <f aca="false">IF(OR($I984="",$I984="?",$B984=""),"",SUMPRODUCT((Weeks!$A$6:$A$58&lt;=$J984)*(Weeks!$Z$4:$AK$4=$I984)*Weeks!$Z$6:$AK$58)-SUMIFS($E$6:$E$1005,$I$6:$I$1005,$I984,$B$6:$B$1005,"&lt;="&amp;$B984))</f>
        <v/>
      </c>
      <c r="M984" s="19" t="str">
        <f aca="false">IF($B984&amp;$C984&amp;$D984&amp;$E984="","",IF($B984="","missing date",IF($C984="","missing worker",IF($I984="?","unknown worker - was the name changed on Workers?",IF($D984="","missing type",IF(N($E984)=0,"missing amount",IF(AND($E984&lt;0,$D984&lt;&gt;"Correction"),"negative amount - use a Correction to undo",IF(OR($B984&lt;Weeks!$A$6,$B984&gt;Weeks!$B$58),"date outside this workbook's year",IF(AND($D984="Advance",N($L984)&lt;0),"Warning: more than earned so far - worker now owes "&amp;ROUND(-$L984,0),"")))))))))</f>
        <v/>
      </c>
    </row>
    <row r="985" customFormat="false" ht="15" hidden="false" customHeight="false" outlineLevel="0" collapsed="false">
      <c r="A985" s="24" t="str">
        <f aca="false">IF($B985="","",ROW()-5)</f>
        <v/>
      </c>
      <c r="B985" s="25"/>
      <c r="C985" s="20"/>
      <c r="D985" s="26"/>
      <c r="E985" s="27"/>
      <c r="F985" s="20"/>
      <c r="G985" s="20"/>
      <c r="H985" s="26"/>
      <c r="I985" s="24" t="str">
        <f aca="false">IF($C985="","",IFERROR(INDEX(WorkerIDs,MATCH($C985,WorkerNames,0)),"?"))</f>
        <v/>
      </c>
      <c r="J985" s="18" t="str">
        <f aca="false">IF($B985="","",$B985-WEEKDAY($B985,2)+1)</f>
        <v/>
      </c>
      <c r="K985" s="28" t="str">
        <f aca="false">IF(OR($I985="",$I985="?",$D985&lt;&gt;"Advance",$B985=""),"",$I985&amp;"|"&amp;$J985&amp;"|"&amp;COUNTIFS($I$6:$I985,$I985,$J$6:$J985,$J985,$D$6:$D985,"Advance"))</f>
        <v/>
      </c>
      <c r="L985" s="29" t="str">
        <f aca="false">IF(OR($I985="",$I985="?",$B985=""),"",SUMPRODUCT((Weeks!$A$6:$A$58&lt;=$J985)*(Weeks!$Z$4:$AK$4=$I985)*Weeks!$Z$6:$AK$58)-SUMIFS($E$6:$E$1005,$I$6:$I$1005,$I985,$B$6:$B$1005,"&lt;="&amp;$B985))</f>
        <v/>
      </c>
      <c r="M985" s="19" t="str">
        <f aca="false">IF($B985&amp;$C985&amp;$D985&amp;$E985="","",IF($B985="","missing date",IF($C985="","missing worker",IF($I985="?","unknown worker - was the name changed on Workers?",IF($D985="","missing type",IF(N($E985)=0,"missing amount",IF(AND($E985&lt;0,$D985&lt;&gt;"Correction"),"negative amount - use a Correction to undo",IF(OR($B985&lt;Weeks!$A$6,$B985&gt;Weeks!$B$58),"date outside this workbook's year",IF(AND($D985="Advance",N($L985)&lt;0),"Warning: more than earned so far - worker now owes "&amp;ROUND(-$L985,0),"")))))))))</f>
        <v/>
      </c>
    </row>
    <row r="986" customFormat="false" ht="15" hidden="false" customHeight="false" outlineLevel="0" collapsed="false">
      <c r="A986" s="24" t="str">
        <f aca="false">IF($B986="","",ROW()-5)</f>
        <v/>
      </c>
      <c r="B986" s="25"/>
      <c r="C986" s="20"/>
      <c r="D986" s="26"/>
      <c r="E986" s="27"/>
      <c r="F986" s="20"/>
      <c r="G986" s="20"/>
      <c r="H986" s="26"/>
      <c r="I986" s="24" t="str">
        <f aca="false">IF($C986="","",IFERROR(INDEX(WorkerIDs,MATCH($C986,WorkerNames,0)),"?"))</f>
        <v/>
      </c>
      <c r="J986" s="18" t="str">
        <f aca="false">IF($B986="","",$B986-WEEKDAY($B986,2)+1)</f>
        <v/>
      </c>
      <c r="K986" s="28" t="str">
        <f aca="false">IF(OR($I986="",$I986="?",$D986&lt;&gt;"Advance",$B986=""),"",$I986&amp;"|"&amp;$J986&amp;"|"&amp;COUNTIFS($I$6:$I986,$I986,$J$6:$J986,$J986,$D$6:$D986,"Advance"))</f>
        <v/>
      </c>
      <c r="L986" s="29" t="str">
        <f aca="false">IF(OR($I986="",$I986="?",$B986=""),"",SUMPRODUCT((Weeks!$A$6:$A$58&lt;=$J986)*(Weeks!$Z$4:$AK$4=$I986)*Weeks!$Z$6:$AK$58)-SUMIFS($E$6:$E$1005,$I$6:$I$1005,$I986,$B$6:$B$1005,"&lt;="&amp;$B986))</f>
        <v/>
      </c>
      <c r="M986" s="19" t="str">
        <f aca="false">IF($B986&amp;$C986&amp;$D986&amp;$E986="","",IF($B986="","missing date",IF($C986="","missing worker",IF($I986="?","unknown worker - was the name changed on Workers?",IF($D986="","missing type",IF(N($E986)=0,"missing amount",IF(AND($E986&lt;0,$D986&lt;&gt;"Correction"),"negative amount - use a Correction to undo",IF(OR($B986&lt;Weeks!$A$6,$B986&gt;Weeks!$B$58),"date outside this workbook's year",IF(AND($D986="Advance",N($L986)&lt;0),"Warning: more than earned so far - worker now owes "&amp;ROUND(-$L986,0),"")))))))))</f>
        <v/>
      </c>
    </row>
    <row r="987" customFormat="false" ht="15" hidden="false" customHeight="false" outlineLevel="0" collapsed="false">
      <c r="A987" s="24" t="str">
        <f aca="false">IF($B987="","",ROW()-5)</f>
        <v/>
      </c>
      <c r="B987" s="25"/>
      <c r="C987" s="20"/>
      <c r="D987" s="26"/>
      <c r="E987" s="27"/>
      <c r="F987" s="20"/>
      <c r="G987" s="20"/>
      <c r="H987" s="26"/>
      <c r="I987" s="24" t="str">
        <f aca="false">IF($C987="","",IFERROR(INDEX(WorkerIDs,MATCH($C987,WorkerNames,0)),"?"))</f>
        <v/>
      </c>
      <c r="J987" s="18" t="str">
        <f aca="false">IF($B987="","",$B987-WEEKDAY($B987,2)+1)</f>
        <v/>
      </c>
      <c r="K987" s="28" t="str">
        <f aca="false">IF(OR($I987="",$I987="?",$D987&lt;&gt;"Advance",$B987=""),"",$I987&amp;"|"&amp;$J987&amp;"|"&amp;COUNTIFS($I$6:$I987,$I987,$J$6:$J987,$J987,$D$6:$D987,"Advance"))</f>
        <v/>
      </c>
      <c r="L987" s="29" t="str">
        <f aca="false">IF(OR($I987="",$I987="?",$B987=""),"",SUMPRODUCT((Weeks!$A$6:$A$58&lt;=$J987)*(Weeks!$Z$4:$AK$4=$I987)*Weeks!$Z$6:$AK$58)-SUMIFS($E$6:$E$1005,$I$6:$I$1005,$I987,$B$6:$B$1005,"&lt;="&amp;$B987))</f>
        <v/>
      </c>
      <c r="M987" s="19" t="str">
        <f aca="false">IF($B987&amp;$C987&amp;$D987&amp;$E987="","",IF($B987="","missing date",IF($C987="","missing worker",IF($I987="?","unknown worker - was the name changed on Workers?",IF($D987="","missing type",IF(N($E987)=0,"missing amount",IF(AND($E987&lt;0,$D987&lt;&gt;"Correction"),"negative amount - use a Correction to undo",IF(OR($B987&lt;Weeks!$A$6,$B987&gt;Weeks!$B$58),"date outside this workbook's year",IF(AND($D987="Advance",N($L987)&lt;0),"Warning: more than earned so far - worker now owes "&amp;ROUND(-$L987,0),"")))))))))</f>
        <v/>
      </c>
    </row>
    <row r="988" customFormat="false" ht="15" hidden="false" customHeight="false" outlineLevel="0" collapsed="false">
      <c r="A988" s="24" t="str">
        <f aca="false">IF($B988="","",ROW()-5)</f>
        <v/>
      </c>
      <c r="B988" s="25"/>
      <c r="C988" s="20"/>
      <c r="D988" s="26"/>
      <c r="E988" s="27"/>
      <c r="F988" s="20"/>
      <c r="G988" s="20"/>
      <c r="H988" s="26"/>
      <c r="I988" s="24" t="str">
        <f aca="false">IF($C988="","",IFERROR(INDEX(WorkerIDs,MATCH($C988,WorkerNames,0)),"?"))</f>
        <v/>
      </c>
      <c r="J988" s="18" t="str">
        <f aca="false">IF($B988="","",$B988-WEEKDAY($B988,2)+1)</f>
        <v/>
      </c>
      <c r="K988" s="28" t="str">
        <f aca="false">IF(OR($I988="",$I988="?",$D988&lt;&gt;"Advance",$B988=""),"",$I988&amp;"|"&amp;$J988&amp;"|"&amp;COUNTIFS($I$6:$I988,$I988,$J$6:$J988,$J988,$D$6:$D988,"Advance"))</f>
        <v/>
      </c>
      <c r="L988" s="29" t="str">
        <f aca="false">IF(OR($I988="",$I988="?",$B988=""),"",SUMPRODUCT((Weeks!$A$6:$A$58&lt;=$J988)*(Weeks!$Z$4:$AK$4=$I988)*Weeks!$Z$6:$AK$58)-SUMIFS($E$6:$E$1005,$I$6:$I$1005,$I988,$B$6:$B$1005,"&lt;="&amp;$B988))</f>
        <v/>
      </c>
      <c r="M988" s="19" t="str">
        <f aca="false">IF($B988&amp;$C988&amp;$D988&amp;$E988="","",IF($B988="","missing date",IF($C988="","missing worker",IF($I988="?","unknown worker - was the name changed on Workers?",IF($D988="","missing type",IF(N($E988)=0,"missing amount",IF(AND($E988&lt;0,$D988&lt;&gt;"Correction"),"negative amount - use a Correction to undo",IF(OR($B988&lt;Weeks!$A$6,$B988&gt;Weeks!$B$58),"date outside this workbook's year",IF(AND($D988="Advance",N($L988)&lt;0),"Warning: more than earned so far - worker now owes "&amp;ROUND(-$L988,0),"")))))))))</f>
        <v/>
      </c>
    </row>
    <row r="989" customFormat="false" ht="15" hidden="false" customHeight="false" outlineLevel="0" collapsed="false">
      <c r="A989" s="24" t="str">
        <f aca="false">IF($B989="","",ROW()-5)</f>
        <v/>
      </c>
      <c r="B989" s="25"/>
      <c r="C989" s="20"/>
      <c r="D989" s="26"/>
      <c r="E989" s="27"/>
      <c r="F989" s="20"/>
      <c r="G989" s="20"/>
      <c r="H989" s="26"/>
      <c r="I989" s="24" t="str">
        <f aca="false">IF($C989="","",IFERROR(INDEX(WorkerIDs,MATCH($C989,WorkerNames,0)),"?"))</f>
        <v/>
      </c>
      <c r="J989" s="18" t="str">
        <f aca="false">IF($B989="","",$B989-WEEKDAY($B989,2)+1)</f>
        <v/>
      </c>
      <c r="K989" s="28" t="str">
        <f aca="false">IF(OR($I989="",$I989="?",$D989&lt;&gt;"Advance",$B989=""),"",$I989&amp;"|"&amp;$J989&amp;"|"&amp;COUNTIFS($I$6:$I989,$I989,$J$6:$J989,$J989,$D$6:$D989,"Advance"))</f>
        <v/>
      </c>
      <c r="L989" s="29" t="str">
        <f aca="false">IF(OR($I989="",$I989="?",$B989=""),"",SUMPRODUCT((Weeks!$A$6:$A$58&lt;=$J989)*(Weeks!$Z$4:$AK$4=$I989)*Weeks!$Z$6:$AK$58)-SUMIFS($E$6:$E$1005,$I$6:$I$1005,$I989,$B$6:$B$1005,"&lt;="&amp;$B989))</f>
        <v/>
      </c>
      <c r="M989" s="19" t="str">
        <f aca="false">IF($B989&amp;$C989&amp;$D989&amp;$E989="","",IF($B989="","missing date",IF($C989="","missing worker",IF($I989="?","unknown worker - was the name changed on Workers?",IF($D989="","missing type",IF(N($E989)=0,"missing amount",IF(AND($E989&lt;0,$D989&lt;&gt;"Correction"),"negative amount - use a Correction to undo",IF(OR($B989&lt;Weeks!$A$6,$B989&gt;Weeks!$B$58),"date outside this workbook's year",IF(AND($D989="Advance",N($L989)&lt;0),"Warning: more than earned so far - worker now owes "&amp;ROUND(-$L989,0),"")))))))))</f>
        <v/>
      </c>
    </row>
    <row r="990" customFormat="false" ht="15" hidden="false" customHeight="false" outlineLevel="0" collapsed="false">
      <c r="A990" s="24" t="str">
        <f aca="false">IF($B990="","",ROW()-5)</f>
        <v/>
      </c>
      <c r="B990" s="25"/>
      <c r="C990" s="20"/>
      <c r="D990" s="26"/>
      <c r="E990" s="27"/>
      <c r="F990" s="20"/>
      <c r="G990" s="20"/>
      <c r="H990" s="26"/>
      <c r="I990" s="24" t="str">
        <f aca="false">IF($C990="","",IFERROR(INDEX(WorkerIDs,MATCH($C990,WorkerNames,0)),"?"))</f>
        <v/>
      </c>
      <c r="J990" s="18" t="str">
        <f aca="false">IF($B990="","",$B990-WEEKDAY($B990,2)+1)</f>
        <v/>
      </c>
      <c r="K990" s="28" t="str">
        <f aca="false">IF(OR($I990="",$I990="?",$D990&lt;&gt;"Advance",$B990=""),"",$I990&amp;"|"&amp;$J990&amp;"|"&amp;COUNTIFS($I$6:$I990,$I990,$J$6:$J990,$J990,$D$6:$D990,"Advance"))</f>
        <v/>
      </c>
      <c r="L990" s="29" t="str">
        <f aca="false">IF(OR($I990="",$I990="?",$B990=""),"",SUMPRODUCT((Weeks!$A$6:$A$58&lt;=$J990)*(Weeks!$Z$4:$AK$4=$I990)*Weeks!$Z$6:$AK$58)-SUMIFS($E$6:$E$1005,$I$6:$I$1005,$I990,$B$6:$B$1005,"&lt;="&amp;$B990))</f>
        <v/>
      </c>
      <c r="M990" s="19" t="str">
        <f aca="false">IF($B990&amp;$C990&amp;$D990&amp;$E990="","",IF($B990="","missing date",IF($C990="","missing worker",IF($I990="?","unknown worker - was the name changed on Workers?",IF($D990="","missing type",IF(N($E990)=0,"missing amount",IF(AND($E990&lt;0,$D990&lt;&gt;"Correction"),"negative amount - use a Correction to undo",IF(OR($B990&lt;Weeks!$A$6,$B990&gt;Weeks!$B$58),"date outside this workbook's year",IF(AND($D990="Advance",N($L990)&lt;0),"Warning: more than earned so far - worker now owes "&amp;ROUND(-$L990,0),"")))))))))</f>
        <v/>
      </c>
    </row>
    <row r="991" customFormat="false" ht="15" hidden="false" customHeight="false" outlineLevel="0" collapsed="false">
      <c r="A991" s="24" t="str">
        <f aca="false">IF($B991="","",ROW()-5)</f>
        <v/>
      </c>
      <c r="B991" s="25"/>
      <c r="C991" s="20"/>
      <c r="D991" s="26"/>
      <c r="E991" s="27"/>
      <c r="F991" s="20"/>
      <c r="G991" s="20"/>
      <c r="H991" s="26"/>
      <c r="I991" s="24" t="str">
        <f aca="false">IF($C991="","",IFERROR(INDEX(WorkerIDs,MATCH($C991,WorkerNames,0)),"?"))</f>
        <v/>
      </c>
      <c r="J991" s="18" t="str">
        <f aca="false">IF($B991="","",$B991-WEEKDAY($B991,2)+1)</f>
        <v/>
      </c>
      <c r="K991" s="28" t="str">
        <f aca="false">IF(OR($I991="",$I991="?",$D991&lt;&gt;"Advance",$B991=""),"",$I991&amp;"|"&amp;$J991&amp;"|"&amp;COUNTIFS($I$6:$I991,$I991,$J$6:$J991,$J991,$D$6:$D991,"Advance"))</f>
        <v/>
      </c>
      <c r="L991" s="29" t="str">
        <f aca="false">IF(OR($I991="",$I991="?",$B991=""),"",SUMPRODUCT((Weeks!$A$6:$A$58&lt;=$J991)*(Weeks!$Z$4:$AK$4=$I991)*Weeks!$Z$6:$AK$58)-SUMIFS($E$6:$E$1005,$I$6:$I$1005,$I991,$B$6:$B$1005,"&lt;="&amp;$B991))</f>
        <v/>
      </c>
      <c r="M991" s="19" t="str">
        <f aca="false">IF($B991&amp;$C991&amp;$D991&amp;$E991="","",IF($B991="","missing date",IF($C991="","missing worker",IF($I991="?","unknown worker - was the name changed on Workers?",IF($D991="","missing type",IF(N($E991)=0,"missing amount",IF(AND($E991&lt;0,$D991&lt;&gt;"Correction"),"negative amount - use a Correction to undo",IF(OR($B991&lt;Weeks!$A$6,$B991&gt;Weeks!$B$58),"date outside this workbook's year",IF(AND($D991="Advance",N($L991)&lt;0),"Warning: more than earned so far - worker now owes "&amp;ROUND(-$L991,0),"")))))))))</f>
        <v/>
      </c>
    </row>
    <row r="992" customFormat="false" ht="15" hidden="false" customHeight="false" outlineLevel="0" collapsed="false">
      <c r="A992" s="24" t="str">
        <f aca="false">IF($B992="","",ROW()-5)</f>
        <v/>
      </c>
      <c r="B992" s="25"/>
      <c r="C992" s="20"/>
      <c r="D992" s="26"/>
      <c r="E992" s="27"/>
      <c r="F992" s="20"/>
      <c r="G992" s="20"/>
      <c r="H992" s="26"/>
      <c r="I992" s="24" t="str">
        <f aca="false">IF($C992="","",IFERROR(INDEX(WorkerIDs,MATCH($C992,WorkerNames,0)),"?"))</f>
        <v/>
      </c>
      <c r="J992" s="18" t="str">
        <f aca="false">IF($B992="","",$B992-WEEKDAY($B992,2)+1)</f>
        <v/>
      </c>
      <c r="K992" s="28" t="str">
        <f aca="false">IF(OR($I992="",$I992="?",$D992&lt;&gt;"Advance",$B992=""),"",$I992&amp;"|"&amp;$J992&amp;"|"&amp;COUNTIFS($I$6:$I992,$I992,$J$6:$J992,$J992,$D$6:$D992,"Advance"))</f>
        <v/>
      </c>
      <c r="L992" s="29" t="str">
        <f aca="false">IF(OR($I992="",$I992="?",$B992=""),"",SUMPRODUCT((Weeks!$A$6:$A$58&lt;=$J992)*(Weeks!$Z$4:$AK$4=$I992)*Weeks!$Z$6:$AK$58)-SUMIFS($E$6:$E$1005,$I$6:$I$1005,$I992,$B$6:$B$1005,"&lt;="&amp;$B992))</f>
        <v/>
      </c>
      <c r="M992" s="19" t="str">
        <f aca="false">IF($B992&amp;$C992&amp;$D992&amp;$E992="","",IF($B992="","missing date",IF($C992="","missing worker",IF($I992="?","unknown worker - was the name changed on Workers?",IF($D992="","missing type",IF(N($E992)=0,"missing amount",IF(AND($E992&lt;0,$D992&lt;&gt;"Correction"),"negative amount - use a Correction to undo",IF(OR($B992&lt;Weeks!$A$6,$B992&gt;Weeks!$B$58),"date outside this workbook's year",IF(AND($D992="Advance",N($L992)&lt;0),"Warning: more than earned so far - worker now owes "&amp;ROUND(-$L992,0),"")))))))))</f>
        <v/>
      </c>
    </row>
    <row r="993" customFormat="false" ht="15" hidden="false" customHeight="false" outlineLevel="0" collapsed="false">
      <c r="A993" s="24" t="str">
        <f aca="false">IF($B993="","",ROW()-5)</f>
        <v/>
      </c>
      <c r="B993" s="25"/>
      <c r="C993" s="20"/>
      <c r="D993" s="26"/>
      <c r="E993" s="27"/>
      <c r="F993" s="20"/>
      <c r="G993" s="20"/>
      <c r="H993" s="26"/>
      <c r="I993" s="24" t="str">
        <f aca="false">IF($C993="","",IFERROR(INDEX(WorkerIDs,MATCH($C993,WorkerNames,0)),"?"))</f>
        <v/>
      </c>
      <c r="J993" s="18" t="str">
        <f aca="false">IF($B993="","",$B993-WEEKDAY($B993,2)+1)</f>
        <v/>
      </c>
      <c r="K993" s="28" t="str">
        <f aca="false">IF(OR($I993="",$I993="?",$D993&lt;&gt;"Advance",$B993=""),"",$I993&amp;"|"&amp;$J993&amp;"|"&amp;COUNTIFS($I$6:$I993,$I993,$J$6:$J993,$J993,$D$6:$D993,"Advance"))</f>
        <v/>
      </c>
      <c r="L993" s="29" t="str">
        <f aca="false">IF(OR($I993="",$I993="?",$B993=""),"",SUMPRODUCT((Weeks!$A$6:$A$58&lt;=$J993)*(Weeks!$Z$4:$AK$4=$I993)*Weeks!$Z$6:$AK$58)-SUMIFS($E$6:$E$1005,$I$6:$I$1005,$I993,$B$6:$B$1005,"&lt;="&amp;$B993))</f>
        <v/>
      </c>
      <c r="M993" s="19" t="str">
        <f aca="false">IF($B993&amp;$C993&amp;$D993&amp;$E993="","",IF($B993="","missing date",IF($C993="","missing worker",IF($I993="?","unknown worker - was the name changed on Workers?",IF($D993="","missing type",IF(N($E993)=0,"missing amount",IF(AND($E993&lt;0,$D993&lt;&gt;"Correction"),"negative amount - use a Correction to undo",IF(OR($B993&lt;Weeks!$A$6,$B993&gt;Weeks!$B$58),"date outside this workbook's year",IF(AND($D993="Advance",N($L993)&lt;0),"Warning: more than earned so far - worker now owes "&amp;ROUND(-$L993,0),"")))))))))</f>
        <v/>
      </c>
    </row>
    <row r="994" customFormat="false" ht="15" hidden="false" customHeight="false" outlineLevel="0" collapsed="false">
      <c r="A994" s="24" t="str">
        <f aca="false">IF($B994="","",ROW()-5)</f>
        <v/>
      </c>
      <c r="B994" s="25"/>
      <c r="C994" s="20"/>
      <c r="D994" s="26"/>
      <c r="E994" s="27"/>
      <c r="F994" s="20"/>
      <c r="G994" s="20"/>
      <c r="H994" s="26"/>
      <c r="I994" s="24" t="str">
        <f aca="false">IF($C994="","",IFERROR(INDEX(WorkerIDs,MATCH($C994,WorkerNames,0)),"?"))</f>
        <v/>
      </c>
      <c r="J994" s="18" t="str">
        <f aca="false">IF($B994="","",$B994-WEEKDAY($B994,2)+1)</f>
        <v/>
      </c>
      <c r="K994" s="28" t="str">
        <f aca="false">IF(OR($I994="",$I994="?",$D994&lt;&gt;"Advance",$B994=""),"",$I994&amp;"|"&amp;$J994&amp;"|"&amp;COUNTIFS($I$6:$I994,$I994,$J$6:$J994,$J994,$D$6:$D994,"Advance"))</f>
        <v/>
      </c>
      <c r="L994" s="29" t="str">
        <f aca="false">IF(OR($I994="",$I994="?",$B994=""),"",SUMPRODUCT((Weeks!$A$6:$A$58&lt;=$J994)*(Weeks!$Z$4:$AK$4=$I994)*Weeks!$Z$6:$AK$58)-SUMIFS($E$6:$E$1005,$I$6:$I$1005,$I994,$B$6:$B$1005,"&lt;="&amp;$B994))</f>
        <v/>
      </c>
      <c r="M994" s="19" t="str">
        <f aca="false">IF($B994&amp;$C994&amp;$D994&amp;$E994="","",IF($B994="","missing date",IF($C994="","missing worker",IF($I994="?","unknown worker - was the name changed on Workers?",IF($D994="","missing type",IF(N($E994)=0,"missing amount",IF(AND($E994&lt;0,$D994&lt;&gt;"Correction"),"negative amount - use a Correction to undo",IF(OR($B994&lt;Weeks!$A$6,$B994&gt;Weeks!$B$58),"date outside this workbook's year",IF(AND($D994="Advance",N($L994)&lt;0),"Warning: more than earned so far - worker now owes "&amp;ROUND(-$L994,0),"")))))))))</f>
        <v/>
      </c>
    </row>
    <row r="995" customFormat="false" ht="15" hidden="false" customHeight="false" outlineLevel="0" collapsed="false">
      <c r="A995" s="24" t="str">
        <f aca="false">IF($B995="","",ROW()-5)</f>
        <v/>
      </c>
      <c r="B995" s="25"/>
      <c r="C995" s="20"/>
      <c r="D995" s="26"/>
      <c r="E995" s="27"/>
      <c r="F995" s="20"/>
      <c r="G995" s="20"/>
      <c r="H995" s="26"/>
      <c r="I995" s="24" t="str">
        <f aca="false">IF($C995="","",IFERROR(INDEX(WorkerIDs,MATCH($C995,WorkerNames,0)),"?"))</f>
        <v/>
      </c>
      <c r="J995" s="18" t="str">
        <f aca="false">IF($B995="","",$B995-WEEKDAY($B995,2)+1)</f>
        <v/>
      </c>
      <c r="K995" s="28" t="str">
        <f aca="false">IF(OR($I995="",$I995="?",$D995&lt;&gt;"Advance",$B995=""),"",$I995&amp;"|"&amp;$J995&amp;"|"&amp;COUNTIFS($I$6:$I995,$I995,$J$6:$J995,$J995,$D$6:$D995,"Advance"))</f>
        <v/>
      </c>
      <c r="L995" s="29" t="str">
        <f aca="false">IF(OR($I995="",$I995="?",$B995=""),"",SUMPRODUCT((Weeks!$A$6:$A$58&lt;=$J995)*(Weeks!$Z$4:$AK$4=$I995)*Weeks!$Z$6:$AK$58)-SUMIFS($E$6:$E$1005,$I$6:$I$1005,$I995,$B$6:$B$1005,"&lt;="&amp;$B995))</f>
        <v/>
      </c>
      <c r="M995" s="19" t="str">
        <f aca="false">IF($B995&amp;$C995&amp;$D995&amp;$E995="","",IF($B995="","missing date",IF($C995="","missing worker",IF($I995="?","unknown worker - was the name changed on Workers?",IF($D995="","missing type",IF(N($E995)=0,"missing amount",IF(AND($E995&lt;0,$D995&lt;&gt;"Correction"),"negative amount - use a Correction to undo",IF(OR($B995&lt;Weeks!$A$6,$B995&gt;Weeks!$B$58),"date outside this workbook's year",IF(AND($D995="Advance",N($L995)&lt;0),"Warning: more than earned so far - worker now owes "&amp;ROUND(-$L995,0),"")))))))))</f>
        <v/>
      </c>
    </row>
    <row r="996" customFormat="false" ht="15" hidden="false" customHeight="false" outlineLevel="0" collapsed="false">
      <c r="A996" s="24" t="str">
        <f aca="false">IF($B996="","",ROW()-5)</f>
        <v/>
      </c>
      <c r="B996" s="25"/>
      <c r="C996" s="20"/>
      <c r="D996" s="26"/>
      <c r="E996" s="27"/>
      <c r="F996" s="20"/>
      <c r="G996" s="20"/>
      <c r="H996" s="26"/>
      <c r="I996" s="24" t="str">
        <f aca="false">IF($C996="","",IFERROR(INDEX(WorkerIDs,MATCH($C996,WorkerNames,0)),"?"))</f>
        <v/>
      </c>
      <c r="J996" s="18" t="str">
        <f aca="false">IF($B996="","",$B996-WEEKDAY($B996,2)+1)</f>
        <v/>
      </c>
      <c r="K996" s="28" t="str">
        <f aca="false">IF(OR($I996="",$I996="?",$D996&lt;&gt;"Advance",$B996=""),"",$I996&amp;"|"&amp;$J996&amp;"|"&amp;COUNTIFS($I$6:$I996,$I996,$J$6:$J996,$J996,$D$6:$D996,"Advance"))</f>
        <v/>
      </c>
      <c r="L996" s="29" t="str">
        <f aca="false">IF(OR($I996="",$I996="?",$B996=""),"",SUMPRODUCT((Weeks!$A$6:$A$58&lt;=$J996)*(Weeks!$Z$4:$AK$4=$I996)*Weeks!$Z$6:$AK$58)-SUMIFS($E$6:$E$1005,$I$6:$I$1005,$I996,$B$6:$B$1005,"&lt;="&amp;$B996))</f>
        <v/>
      </c>
      <c r="M996" s="19" t="str">
        <f aca="false">IF($B996&amp;$C996&amp;$D996&amp;$E996="","",IF($B996="","missing date",IF($C996="","missing worker",IF($I996="?","unknown worker - was the name changed on Workers?",IF($D996="","missing type",IF(N($E996)=0,"missing amount",IF(AND($E996&lt;0,$D996&lt;&gt;"Correction"),"negative amount - use a Correction to undo",IF(OR($B996&lt;Weeks!$A$6,$B996&gt;Weeks!$B$58),"date outside this workbook's year",IF(AND($D996="Advance",N($L996)&lt;0),"Warning: more than earned so far - worker now owes "&amp;ROUND(-$L996,0),"")))))))))</f>
        <v/>
      </c>
    </row>
    <row r="997" customFormat="false" ht="15" hidden="false" customHeight="false" outlineLevel="0" collapsed="false">
      <c r="A997" s="24" t="str">
        <f aca="false">IF($B997="","",ROW()-5)</f>
        <v/>
      </c>
      <c r="B997" s="25"/>
      <c r="C997" s="20"/>
      <c r="D997" s="26"/>
      <c r="E997" s="27"/>
      <c r="F997" s="20"/>
      <c r="G997" s="20"/>
      <c r="H997" s="26"/>
      <c r="I997" s="24" t="str">
        <f aca="false">IF($C997="","",IFERROR(INDEX(WorkerIDs,MATCH($C997,WorkerNames,0)),"?"))</f>
        <v/>
      </c>
      <c r="J997" s="18" t="str">
        <f aca="false">IF($B997="","",$B997-WEEKDAY($B997,2)+1)</f>
        <v/>
      </c>
      <c r="K997" s="28" t="str">
        <f aca="false">IF(OR($I997="",$I997="?",$D997&lt;&gt;"Advance",$B997=""),"",$I997&amp;"|"&amp;$J997&amp;"|"&amp;COUNTIFS($I$6:$I997,$I997,$J$6:$J997,$J997,$D$6:$D997,"Advance"))</f>
        <v/>
      </c>
      <c r="L997" s="29" t="str">
        <f aca="false">IF(OR($I997="",$I997="?",$B997=""),"",SUMPRODUCT((Weeks!$A$6:$A$58&lt;=$J997)*(Weeks!$Z$4:$AK$4=$I997)*Weeks!$Z$6:$AK$58)-SUMIFS($E$6:$E$1005,$I$6:$I$1005,$I997,$B$6:$B$1005,"&lt;="&amp;$B997))</f>
        <v/>
      </c>
      <c r="M997" s="19" t="str">
        <f aca="false">IF($B997&amp;$C997&amp;$D997&amp;$E997="","",IF($B997="","missing date",IF($C997="","missing worker",IF($I997="?","unknown worker - was the name changed on Workers?",IF($D997="","missing type",IF(N($E997)=0,"missing amount",IF(AND($E997&lt;0,$D997&lt;&gt;"Correction"),"negative amount - use a Correction to undo",IF(OR($B997&lt;Weeks!$A$6,$B997&gt;Weeks!$B$58),"date outside this workbook's year",IF(AND($D997="Advance",N($L997)&lt;0),"Warning: more than earned so far - worker now owes "&amp;ROUND(-$L997,0),"")))))))))</f>
        <v/>
      </c>
    </row>
    <row r="998" customFormat="false" ht="15" hidden="false" customHeight="false" outlineLevel="0" collapsed="false">
      <c r="A998" s="24" t="str">
        <f aca="false">IF($B998="","",ROW()-5)</f>
        <v/>
      </c>
      <c r="B998" s="25"/>
      <c r="C998" s="20"/>
      <c r="D998" s="26"/>
      <c r="E998" s="27"/>
      <c r="F998" s="20"/>
      <c r="G998" s="20"/>
      <c r="H998" s="26"/>
      <c r="I998" s="24" t="str">
        <f aca="false">IF($C998="","",IFERROR(INDEX(WorkerIDs,MATCH($C998,WorkerNames,0)),"?"))</f>
        <v/>
      </c>
      <c r="J998" s="18" t="str">
        <f aca="false">IF($B998="","",$B998-WEEKDAY($B998,2)+1)</f>
        <v/>
      </c>
      <c r="K998" s="28" t="str">
        <f aca="false">IF(OR($I998="",$I998="?",$D998&lt;&gt;"Advance",$B998=""),"",$I998&amp;"|"&amp;$J998&amp;"|"&amp;COUNTIFS($I$6:$I998,$I998,$J$6:$J998,$J998,$D$6:$D998,"Advance"))</f>
        <v/>
      </c>
      <c r="L998" s="29" t="str">
        <f aca="false">IF(OR($I998="",$I998="?",$B998=""),"",SUMPRODUCT((Weeks!$A$6:$A$58&lt;=$J998)*(Weeks!$Z$4:$AK$4=$I998)*Weeks!$Z$6:$AK$58)-SUMIFS($E$6:$E$1005,$I$6:$I$1005,$I998,$B$6:$B$1005,"&lt;="&amp;$B998))</f>
        <v/>
      </c>
      <c r="M998" s="19" t="str">
        <f aca="false">IF($B998&amp;$C998&amp;$D998&amp;$E998="","",IF($B998="","missing date",IF($C998="","missing worker",IF($I998="?","unknown worker - was the name changed on Workers?",IF($D998="","missing type",IF(N($E998)=0,"missing amount",IF(AND($E998&lt;0,$D998&lt;&gt;"Correction"),"negative amount - use a Correction to undo",IF(OR($B998&lt;Weeks!$A$6,$B998&gt;Weeks!$B$58),"date outside this workbook's year",IF(AND($D998="Advance",N($L998)&lt;0),"Warning: more than earned so far - worker now owes "&amp;ROUND(-$L998,0),"")))))))))</f>
        <v/>
      </c>
    </row>
    <row r="999" customFormat="false" ht="15" hidden="false" customHeight="false" outlineLevel="0" collapsed="false">
      <c r="A999" s="24" t="str">
        <f aca="false">IF($B999="","",ROW()-5)</f>
        <v/>
      </c>
      <c r="B999" s="25"/>
      <c r="C999" s="20"/>
      <c r="D999" s="26"/>
      <c r="E999" s="27"/>
      <c r="F999" s="20"/>
      <c r="G999" s="20"/>
      <c r="H999" s="26"/>
      <c r="I999" s="24" t="str">
        <f aca="false">IF($C999="","",IFERROR(INDEX(WorkerIDs,MATCH($C999,WorkerNames,0)),"?"))</f>
        <v/>
      </c>
      <c r="J999" s="18" t="str">
        <f aca="false">IF($B999="","",$B999-WEEKDAY($B999,2)+1)</f>
        <v/>
      </c>
      <c r="K999" s="28" t="str">
        <f aca="false">IF(OR($I999="",$I999="?",$D999&lt;&gt;"Advance",$B999=""),"",$I999&amp;"|"&amp;$J999&amp;"|"&amp;COUNTIFS($I$6:$I999,$I999,$J$6:$J999,$J999,$D$6:$D999,"Advance"))</f>
        <v/>
      </c>
      <c r="L999" s="29" t="str">
        <f aca="false">IF(OR($I999="",$I999="?",$B999=""),"",SUMPRODUCT((Weeks!$A$6:$A$58&lt;=$J999)*(Weeks!$Z$4:$AK$4=$I999)*Weeks!$Z$6:$AK$58)-SUMIFS($E$6:$E$1005,$I$6:$I$1005,$I999,$B$6:$B$1005,"&lt;="&amp;$B999))</f>
        <v/>
      </c>
      <c r="M999" s="19" t="str">
        <f aca="false">IF($B999&amp;$C999&amp;$D999&amp;$E999="","",IF($B999="","missing date",IF($C999="","missing worker",IF($I999="?","unknown worker - was the name changed on Workers?",IF($D999="","missing type",IF(N($E999)=0,"missing amount",IF(AND($E999&lt;0,$D999&lt;&gt;"Correction"),"negative amount - use a Correction to undo",IF(OR($B999&lt;Weeks!$A$6,$B999&gt;Weeks!$B$58),"date outside this workbook's year",IF(AND($D999="Advance",N($L999)&lt;0),"Warning: more than earned so far - worker now owes "&amp;ROUND(-$L999,0),"")))))))))</f>
        <v/>
      </c>
    </row>
    <row r="1000" customFormat="false" ht="15" hidden="false" customHeight="false" outlineLevel="0" collapsed="false">
      <c r="A1000" s="24" t="str">
        <f aca="false">IF($B1000="","",ROW()-5)</f>
        <v/>
      </c>
      <c r="B1000" s="25"/>
      <c r="C1000" s="20"/>
      <c r="D1000" s="26"/>
      <c r="E1000" s="27"/>
      <c r="F1000" s="20"/>
      <c r="G1000" s="20"/>
      <c r="H1000" s="26"/>
      <c r="I1000" s="24" t="str">
        <f aca="false">IF($C1000="","",IFERROR(INDEX(WorkerIDs,MATCH($C1000,WorkerNames,0)),"?"))</f>
        <v/>
      </c>
      <c r="J1000" s="18" t="str">
        <f aca="false">IF($B1000="","",$B1000-WEEKDAY($B1000,2)+1)</f>
        <v/>
      </c>
      <c r="K1000" s="28" t="str">
        <f aca="false">IF(OR($I1000="",$I1000="?",$D1000&lt;&gt;"Advance",$B1000=""),"",$I1000&amp;"|"&amp;$J1000&amp;"|"&amp;COUNTIFS($I$6:$I1000,$I1000,$J$6:$J1000,$J1000,$D$6:$D1000,"Advance"))</f>
        <v/>
      </c>
      <c r="L1000" s="29" t="str">
        <f aca="false">IF(OR($I1000="",$I1000="?",$B1000=""),"",SUMPRODUCT((Weeks!$A$6:$A$58&lt;=$J1000)*(Weeks!$Z$4:$AK$4=$I1000)*Weeks!$Z$6:$AK$58)-SUMIFS($E$6:$E$1005,$I$6:$I$1005,$I1000,$B$6:$B$1005,"&lt;="&amp;$B1000))</f>
        <v/>
      </c>
      <c r="M1000" s="19" t="str">
        <f aca="false">IF($B1000&amp;$C1000&amp;$D1000&amp;$E1000="","",IF($B1000="","missing date",IF($C1000="","missing worker",IF($I1000="?","unknown worker - was the name changed on Workers?",IF($D1000="","missing type",IF(N($E1000)=0,"missing amount",IF(AND($E1000&lt;0,$D1000&lt;&gt;"Correction"),"negative amount - use a Correction to undo",IF(OR($B1000&lt;Weeks!$A$6,$B1000&gt;Weeks!$B$58),"date outside this workbook's year",IF(AND($D1000="Advance",N($L1000)&lt;0),"Warning: more than earned so far - worker now owes "&amp;ROUND(-$L1000,0),"")))))))))</f>
        <v/>
      </c>
    </row>
    <row r="1001" customFormat="false" ht="15" hidden="false" customHeight="false" outlineLevel="0" collapsed="false">
      <c r="A1001" s="24" t="str">
        <f aca="false">IF($B1001="","",ROW()-5)</f>
        <v/>
      </c>
      <c r="B1001" s="25"/>
      <c r="C1001" s="20"/>
      <c r="D1001" s="26"/>
      <c r="E1001" s="27"/>
      <c r="F1001" s="20"/>
      <c r="G1001" s="20"/>
      <c r="H1001" s="26"/>
      <c r="I1001" s="24" t="str">
        <f aca="false">IF($C1001="","",IFERROR(INDEX(WorkerIDs,MATCH($C1001,WorkerNames,0)),"?"))</f>
        <v/>
      </c>
      <c r="J1001" s="18" t="str">
        <f aca="false">IF($B1001="","",$B1001-WEEKDAY($B1001,2)+1)</f>
        <v/>
      </c>
      <c r="K1001" s="28" t="str">
        <f aca="false">IF(OR($I1001="",$I1001="?",$D1001&lt;&gt;"Advance",$B1001=""),"",$I1001&amp;"|"&amp;$J1001&amp;"|"&amp;COUNTIFS($I$6:$I1001,$I1001,$J$6:$J1001,$J1001,$D$6:$D1001,"Advance"))</f>
        <v/>
      </c>
      <c r="L1001" s="29" t="str">
        <f aca="false">IF(OR($I1001="",$I1001="?",$B1001=""),"",SUMPRODUCT((Weeks!$A$6:$A$58&lt;=$J1001)*(Weeks!$Z$4:$AK$4=$I1001)*Weeks!$Z$6:$AK$58)-SUMIFS($E$6:$E$1005,$I$6:$I$1005,$I1001,$B$6:$B$1005,"&lt;="&amp;$B1001))</f>
        <v/>
      </c>
      <c r="M1001" s="19" t="str">
        <f aca="false">IF($B1001&amp;$C1001&amp;$D1001&amp;$E1001="","",IF($B1001="","missing date",IF($C1001="","missing worker",IF($I1001="?","unknown worker - was the name changed on Workers?",IF($D1001="","missing type",IF(N($E1001)=0,"missing amount",IF(AND($E1001&lt;0,$D1001&lt;&gt;"Correction"),"negative amount - use a Correction to undo",IF(OR($B1001&lt;Weeks!$A$6,$B1001&gt;Weeks!$B$58),"date outside this workbook's year",IF(AND($D1001="Advance",N($L1001)&lt;0),"Warning: more than earned so far - worker now owes "&amp;ROUND(-$L1001,0),"")))))))))</f>
        <v/>
      </c>
    </row>
    <row r="1002" customFormat="false" ht="15" hidden="false" customHeight="false" outlineLevel="0" collapsed="false">
      <c r="A1002" s="24" t="str">
        <f aca="false">IF($B1002="","",ROW()-5)</f>
        <v/>
      </c>
      <c r="B1002" s="25"/>
      <c r="C1002" s="20"/>
      <c r="D1002" s="26"/>
      <c r="E1002" s="27"/>
      <c r="F1002" s="20"/>
      <c r="G1002" s="20"/>
      <c r="H1002" s="26"/>
      <c r="I1002" s="24" t="str">
        <f aca="false">IF($C1002="","",IFERROR(INDEX(WorkerIDs,MATCH($C1002,WorkerNames,0)),"?"))</f>
        <v/>
      </c>
      <c r="J1002" s="18" t="str">
        <f aca="false">IF($B1002="","",$B1002-WEEKDAY($B1002,2)+1)</f>
        <v/>
      </c>
      <c r="K1002" s="28" t="str">
        <f aca="false">IF(OR($I1002="",$I1002="?",$D1002&lt;&gt;"Advance",$B1002=""),"",$I1002&amp;"|"&amp;$J1002&amp;"|"&amp;COUNTIFS($I$6:$I1002,$I1002,$J$6:$J1002,$J1002,$D$6:$D1002,"Advance"))</f>
        <v/>
      </c>
      <c r="L1002" s="29" t="str">
        <f aca="false">IF(OR($I1002="",$I1002="?",$B1002=""),"",SUMPRODUCT((Weeks!$A$6:$A$58&lt;=$J1002)*(Weeks!$Z$4:$AK$4=$I1002)*Weeks!$Z$6:$AK$58)-SUMIFS($E$6:$E$1005,$I$6:$I$1005,$I1002,$B$6:$B$1005,"&lt;="&amp;$B1002))</f>
        <v/>
      </c>
      <c r="M1002" s="19" t="str">
        <f aca="false">IF($B1002&amp;$C1002&amp;$D1002&amp;$E1002="","",IF($B1002="","missing date",IF($C1002="","missing worker",IF($I1002="?","unknown worker - was the name changed on Workers?",IF($D1002="","missing type",IF(N($E1002)=0,"missing amount",IF(AND($E1002&lt;0,$D1002&lt;&gt;"Correction"),"negative amount - use a Correction to undo",IF(OR($B1002&lt;Weeks!$A$6,$B1002&gt;Weeks!$B$58),"date outside this workbook's year",IF(AND($D1002="Advance",N($L1002)&lt;0),"Warning: more than earned so far - worker now owes "&amp;ROUND(-$L1002,0),"")))))))))</f>
        <v/>
      </c>
    </row>
    <row r="1003" customFormat="false" ht="15" hidden="false" customHeight="false" outlineLevel="0" collapsed="false">
      <c r="A1003" s="24" t="str">
        <f aca="false">IF($B1003="","",ROW()-5)</f>
        <v/>
      </c>
      <c r="B1003" s="25"/>
      <c r="C1003" s="20"/>
      <c r="D1003" s="26"/>
      <c r="E1003" s="27"/>
      <c r="F1003" s="20"/>
      <c r="G1003" s="20"/>
      <c r="H1003" s="26"/>
      <c r="I1003" s="24" t="str">
        <f aca="false">IF($C1003="","",IFERROR(INDEX(WorkerIDs,MATCH($C1003,WorkerNames,0)),"?"))</f>
        <v/>
      </c>
      <c r="J1003" s="18" t="str">
        <f aca="false">IF($B1003="","",$B1003-WEEKDAY($B1003,2)+1)</f>
        <v/>
      </c>
      <c r="K1003" s="28" t="str">
        <f aca="false">IF(OR($I1003="",$I1003="?",$D1003&lt;&gt;"Advance",$B1003=""),"",$I1003&amp;"|"&amp;$J1003&amp;"|"&amp;COUNTIFS($I$6:$I1003,$I1003,$J$6:$J1003,$J1003,$D$6:$D1003,"Advance"))</f>
        <v/>
      </c>
      <c r="L1003" s="29" t="str">
        <f aca="false">IF(OR($I1003="",$I1003="?",$B1003=""),"",SUMPRODUCT((Weeks!$A$6:$A$58&lt;=$J1003)*(Weeks!$Z$4:$AK$4=$I1003)*Weeks!$Z$6:$AK$58)-SUMIFS($E$6:$E$1005,$I$6:$I$1005,$I1003,$B$6:$B$1005,"&lt;="&amp;$B1003))</f>
        <v/>
      </c>
      <c r="M1003" s="19" t="str">
        <f aca="false">IF($B1003&amp;$C1003&amp;$D1003&amp;$E1003="","",IF($B1003="","missing date",IF($C1003="","missing worker",IF($I1003="?","unknown worker - was the name changed on Workers?",IF($D1003="","missing type",IF(N($E1003)=0,"missing amount",IF(AND($E1003&lt;0,$D1003&lt;&gt;"Correction"),"negative amount - use a Correction to undo",IF(OR($B1003&lt;Weeks!$A$6,$B1003&gt;Weeks!$B$58),"date outside this workbook's year",IF(AND($D1003="Advance",N($L1003)&lt;0),"Warning: more than earned so far - worker now owes "&amp;ROUND(-$L1003,0),"")))))))))</f>
        <v/>
      </c>
    </row>
    <row r="1004" customFormat="false" ht="15" hidden="false" customHeight="false" outlineLevel="0" collapsed="false">
      <c r="A1004" s="24" t="str">
        <f aca="false">IF($B1004="","",ROW()-5)</f>
        <v/>
      </c>
      <c r="B1004" s="25"/>
      <c r="C1004" s="20"/>
      <c r="D1004" s="26"/>
      <c r="E1004" s="27"/>
      <c r="F1004" s="20"/>
      <c r="G1004" s="20"/>
      <c r="H1004" s="26"/>
      <c r="I1004" s="24" t="str">
        <f aca="false">IF($C1004="","",IFERROR(INDEX(WorkerIDs,MATCH($C1004,WorkerNames,0)),"?"))</f>
        <v/>
      </c>
      <c r="J1004" s="18" t="str">
        <f aca="false">IF($B1004="","",$B1004-WEEKDAY($B1004,2)+1)</f>
        <v/>
      </c>
      <c r="K1004" s="28" t="str">
        <f aca="false">IF(OR($I1004="",$I1004="?",$D1004&lt;&gt;"Advance",$B1004=""),"",$I1004&amp;"|"&amp;$J1004&amp;"|"&amp;COUNTIFS($I$6:$I1004,$I1004,$J$6:$J1004,$J1004,$D$6:$D1004,"Advance"))</f>
        <v/>
      </c>
      <c r="L1004" s="29" t="str">
        <f aca="false">IF(OR($I1004="",$I1004="?",$B1004=""),"",SUMPRODUCT((Weeks!$A$6:$A$58&lt;=$J1004)*(Weeks!$Z$4:$AK$4=$I1004)*Weeks!$Z$6:$AK$58)-SUMIFS($E$6:$E$1005,$I$6:$I$1005,$I1004,$B$6:$B$1005,"&lt;="&amp;$B1004))</f>
        <v/>
      </c>
      <c r="M1004" s="19" t="str">
        <f aca="false">IF($B1004&amp;$C1004&amp;$D1004&amp;$E1004="","",IF($B1004="","missing date",IF($C1004="","missing worker",IF($I1004="?","unknown worker - was the name changed on Workers?",IF($D1004="","missing type",IF(N($E1004)=0,"missing amount",IF(AND($E1004&lt;0,$D1004&lt;&gt;"Correction"),"negative amount - use a Correction to undo",IF(OR($B1004&lt;Weeks!$A$6,$B1004&gt;Weeks!$B$58),"date outside this workbook's year",IF(AND($D1004="Advance",N($L1004)&lt;0),"Warning: more than earned so far - worker now owes "&amp;ROUND(-$L1004,0),"")))))))))</f>
        <v/>
      </c>
    </row>
    <row r="1005" customFormat="false" ht="15" hidden="false" customHeight="false" outlineLevel="0" collapsed="false">
      <c r="A1005" s="24" t="str">
        <f aca="false">IF($B1005="","",ROW()-5)</f>
        <v/>
      </c>
      <c r="B1005" s="25"/>
      <c r="C1005" s="20"/>
      <c r="D1005" s="26"/>
      <c r="E1005" s="27"/>
      <c r="F1005" s="20"/>
      <c r="G1005" s="20"/>
      <c r="H1005" s="26"/>
      <c r="I1005" s="24" t="str">
        <f aca="false">IF($C1005="","",IFERROR(INDEX(WorkerIDs,MATCH($C1005,WorkerNames,0)),"?"))</f>
        <v/>
      </c>
      <c r="J1005" s="18" t="str">
        <f aca="false">IF($B1005="","",$B1005-WEEKDAY($B1005,2)+1)</f>
        <v/>
      </c>
      <c r="K1005" s="28" t="str">
        <f aca="false">IF(OR($I1005="",$I1005="?",$D1005&lt;&gt;"Advance",$B1005=""),"",$I1005&amp;"|"&amp;$J1005&amp;"|"&amp;COUNTIFS($I$6:$I1005,$I1005,$J$6:$J1005,$J1005,$D$6:$D1005,"Advance"))</f>
        <v/>
      </c>
      <c r="L1005" s="29" t="str">
        <f aca="false">IF(OR($I1005="",$I1005="?",$B1005=""),"",SUMPRODUCT((Weeks!$A$6:$A$58&lt;=$J1005)*(Weeks!$Z$4:$AK$4=$I1005)*Weeks!$Z$6:$AK$58)-SUMIFS($E$6:$E$1005,$I$6:$I$1005,$I1005,$B$6:$B$1005,"&lt;="&amp;$B1005))</f>
        <v/>
      </c>
      <c r="M1005" s="19" t="str">
        <f aca="false">IF($B1005&amp;$C1005&amp;$D1005&amp;$E1005="","",IF($B1005="","missing date",IF($C1005="","missing worker",IF($I1005="?","unknown worker - was the name changed on Workers?",IF($D1005="","missing type",IF(N($E1005)=0,"missing amount",IF(AND($E1005&lt;0,$D1005&lt;&gt;"Correction"),"negative amount - use a Correction to undo",IF(OR($B1005&lt;Weeks!$A$6,$B1005&gt;Weeks!$B$58),"date outside this workbook's year",IF(AND($D1005="Advance",N($L1005)&lt;0),"Warning: more than earned so far - worker now owes "&amp;ROUND(-$L1005,0),"")))))))))</f>
        <v/>
      </c>
    </row>
  </sheetData>
  <autoFilter ref="A5:M1005"/>
  <conditionalFormatting sqref="M6:M1005">
    <cfRule type="expression" priority="2" aboveAverage="0" equalAverage="0" bottom="0" percent="0" rank="0" text="" dxfId="1">
      <formula>LEN(M6)&gt;0</formula>
    </cfRule>
  </conditionalFormatting>
  <dataValidations count="4">
    <dataValidation allowBlank="true" error="Type a date, e.g. 2026-09-23." errorStyle="stop" operator="greaterThan" showDropDown="false" showErrorMessage="true" showInputMessage="false" sqref="B6:B1005" type="date">
      <formula1>36526</formula1>
      <formula2>0</formula2>
    </dataValidation>
    <dataValidation allowBlank="true" error="Pick a value from the list." errorStyle="stop" operator="between" showDropDown="false" showErrorMessage="true" showInputMessage="false" sqref="C6:C1005" type="list">
      <formula1>WorkerNames</formula1>
      <formula2>0</formula2>
    </dataValidation>
    <dataValidation allowBlank="true" error="Pick a value from the list." errorStyle="stop" operator="between" prompt="Advance: money before payday. Weekly pay: payday cash. Correction: undo a mistake (may be negative)." showDropDown="false" showErrorMessage="true" showInputMessage="true" sqref="D6:D1005" type="list">
      <formula1>EntryTypes</formula1>
      <formula2>0</formula2>
    </dataValidation>
    <dataValidation allowBlank="true" error="Pick a value from the list." errorStyle="stop" operator="between" showDropDown="false" showErrorMessage="true" showInputMessage="false" sqref="H6:H1005" type="list">
      <formula1>YesNo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5" min="15" style="0" width="26"/>
  </cols>
  <sheetData>
    <row r="1" customFormat="false" ht="24" hidden="false" customHeight="tru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15" hidden="false" customHeight="false" outlineLevel="0" collapsed="false">
      <c r="B4" s="30" t="s">
        <v>73</v>
      </c>
      <c r="C4" s="31" t="n">
        <v>46286</v>
      </c>
      <c r="D4" s="32" t="n">
        <f aca="false">$C$4+6</f>
        <v>46292</v>
      </c>
    </row>
    <row r="6" customFormat="false" ht="15" hidden="false" customHeight="false" outlineLevel="0" collapsed="false">
      <c r="B6" s="33" t="s">
        <v>74</v>
      </c>
      <c r="C6" s="33"/>
      <c r="D6" s="33" t="s">
        <v>48</v>
      </c>
      <c r="E6" s="33"/>
      <c r="F6" s="33" t="s">
        <v>75</v>
      </c>
      <c r="G6" s="33"/>
      <c r="H6" s="33" t="s">
        <v>50</v>
      </c>
      <c r="I6" s="33"/>
      <c r="J6" s="33" t="s">
        <v>76</v>
      </c>
      <c r="K6" s="33"/>
      <c r="L6" s="33" t="s">
        <v>77</v>
      </c>
      <c r="M6" s="33"/>
      <c r="N6" s="33"/>
    </row>
    <row r="7" customFormat="false" ht="16.15" hidden="false" customHeight="false" outlineLevel="0" collapsed="false">
      <c r="B7" s="34" t="n">
        <f aca="false">IFERROR(INDEX(Weeks!$E$6:$E$58,MATCH($C$4,Weeks!$A$6:$A$58,0)),0)</f>
        <v>0</v>
      </c>
      <c r="C7" s="34"/>
      <c r="D7" s="34" t="n">
        <f aca="false">IFERROR(INDEX(Weeks!$F$6:$F$58,MATCH($C$4,Weeks!$A$6:$A$58,0)),0)</f>
        <v>0</v>
      </c>
      <c r="E7" s="34"/>
      <c r="F7" s="35" t="n">
        <f aca="false">IFERROR(INDEX(Weeks!$G$6:$G$58,MATCH($C$4,Weeks!$A$6:$A$58,0)),0)</f>
        <v>0</v>
      </c>
      <c r="G7" s="35"/>
      <c r="H7" s="36" t="n">
        <f aca="false">IFERROR(INDEX(Weeks!$H$6:$H$58,MATCH($C$4,Weeks!$A$6:$A$58,0)),0)</f>
        <v>0</v>
      </c>
      <c r="I7" s="36"/>
      <c r="J7" s="37" t="str">
        <f aca="false">IFERROR(INDEX(Weeks!$I$6:$I$58,MATCH($C$4,Weeks!$A$6:$A$58,0)),0)</f>
        <v/>
      </c>
      <c r="K7" s="37"/>
      <c r="L7" s="38" t="str">
        <f aca="false">Checks!$C$4</f>
        <v>1 check(s) need attention</v>
      </c>
      <c r="M7" s="38"/>
      <c r="N7" s="38"/>
    </row>
    <row r="10" customFormat="false" ht="36" hidden="false" customHeight="true" outlineLevel="0" collapsed="false">
      <c r="A10" s="9" t="s">
        <v>68</v>
      </c>
      <c r="B10" s="9" t="s">
        <v>62</v>
      </c>
      <c r="C10" s="9" t="s">
        <v>78</v>
      </c>
      <c r="D10" s="9" t="s">
        <v>79</v>
      </c>
      <c r="E10" s="9" t="s">
        <v>80</v>
      </c>
      <c r="F10" s="9" t="s">
        <v>81</v>
      </c>
      <c r="G10" s="9" t="s">
        <v>82</v>
      </c>
      <c r="H10" s="9" t="s">
        <v>58</v>
      </c>
      <c r="I10" s="9" t="s">
        <v>60</v>
      </c>
      <c r="J10" s="9" t="s">
        <v>83</v>
      </c>
      <c r="K10" s="39" t="s">
        <v>84</v>
      </c>
      <c r="L10" s="9" t="s">
        <v>85</v>
      </c>
      <c r="M10" s="9" t="s">
        <v>86</v>
      </c>
      <c r="N10" s="9" t="s">
        <v>87</v>
      </c>
      <c r="O10" s="9" t="s">
        <v>88</v>
      </c>
    </row>
    <row r="11" customFormat="false" ht="15" hidden="false" customHeight="false" outlineLevel="0" collapsed="false">
      <c r="A11" s="40" t="str">
        <f aca="false">Workers!$A$5</f>
        <v>W01</v>
      </c>
      <c r="B11" s="41" t="str">
        <f aca="false">IF(Workers!$B$5="","",Workers!$B$5)</f>
        <v>Worker 1</v>
      </c>
      <c r="C11" s="42" t="str">
        <f aca="false">IF($B11="","",Workers!$C$5)</f>
        <v>Active</v>
      </c>
      <c r="D11" s="15" t="n">
        <f aca="false">IF($B11="","",IFERROR(INDEX(Weeks!$N$6:$Y$58,MATCH($C$4,Weeks!$A$6:$A$58,0),MATCH($A11,Weeks!$N$4:$Y$4,0)),0))</f>
        <v>0</v>
      </c>
      <c r="E11" s="43" t="str">
        <f aca="false">IF(OR($B11="",N($H$7)=0),"",$D11/$H$7)</f>
        <v/>
      </c>
      <c r="F11" s="17" t="n">
        <f aca="false">IF($B11="","",IFERROR(INDEX(Weeks!$Z$6:$AK$58,MATCH($C$4,Weeks!$A$6:$A$58,0),MATCH($A11,Weeks!$Z$4:$AK$4,0)),0))</f>
        <v>0</v>
      </c>
      <c r="G11" s="29" t="n">
        <f aca="false">IF($B11="","",SUMPRODUCT((Weeks!$A$6:$A$58&lt;$C$4)*(Weeks!$Z$4:$AK$4=$A11)*Weeks!$Z$6:$AK$58)-SUMIFS('Cash Ledger'!$E$6:$E$1005,'Cash Ledger'!$I$6:$I$1005,$A11,'Cash Ledger'!$B$6:$B$1005,"&lt;"&amp;$C$4))</f>
        <v>0</v>
      </c>
      <c r="H11" s="17" t="n">
        <f aca="false">IF($B11="","",SUMIFS('Cash Ledger'!$E$6:$E$1005,'Cash Ledger'!$I$6:$I$1005,$A11,'Cash Ledger'!$D$6:$D$1005,"Advance",'Cash Ledger'!$B$6:$B$1005,"&gt;="&amp;$C$4,'Cash Ledger'!$B$6:$B$1005,"&lt;="&amp;($C$4+6)))</f>
        <v>0</v>
      </c>
      <c r="I11" s="29" t="n">
        <f aca="false">IF($B11="","",SUMIFS('Cash Ledger'!$E$6:$E$1005,'Cash Ledger'!$I$6:$I$1005,$A11,'Cash Ledger'!$D$6:$D$1005,"Correction",'Cash Ledger'!$B$6:$B$1005,"&gt;="&amp;$C$4,'Cash Ledger'!$B$6:$B$1005,"&lt;="&amp;($C$4+6)))</f>
        <v>0</v>
      </c>
      <c r="J11" s="29" t="n">
        <f aca="false">IF($B11="","",$G11+$F11-$H11-$I11)</f>
        <v>0</v>
      </c>
      <c r="K11" s="44" t="n">
        <f aca="false">IF($B11="","",ROUND(MAX(0,IF($G11&gt;=0,$J11,$F11-$H11-$I11-MIN(-$G11,DebtCap*$F11))),0))</f>
        <v>0</v>
      </c>
      <c r="L11" s="17" t="n">
        <f aca="false">IF($B11="","",SUMIFS('Cash Ledger'!$E$6:$E$1005,'Cash Ledger'!$I$6:$I$1005,$A11,'Cash Ledger'!$D$6:$D$1005,"Weekly pay",'Cash Ledger'!$B$6:$B$1005,"&gt;="&amp;$C$4,'Cash Ledger'!$B$6:$B$1005,"&lt;="&amp;($C$4+6)))</f>
        <v>0</v>
      </c>
      <c r="M11" s="17" t="n">
        <f aca="false">IF($B11="","",MAX(0,$K11-$L11))</f>
        <v>0</v>
      </c>
      <c r="N11" s="29" t="n">
        <f aca="false">IF($B11="","",$J11-$L11)</f>
        <v>0</v>
      </c>
      <c r="O11" s="19" t="str">
        <f aca="false">IF($B11="","",IF(ROUND($N11,0)&lt;0,"owes you "&amp;ROUND(-$N11,0),IF(AND(ROUND($N11,0)&gt;0,$M11&gt;0),"not yet paid",IF(ROUND($N11,0)&gt;0,"you owe "&amp;ROUND($N11,0),"settled"))))</f>
        <v>settled</v>
      </c>
    </row>
    <row r="12" customFormat="false" ht="15" hidden="false" customHeight="false" outlineLevel="0" collapsed="false">
      <c r="A12" s="40" t="str">
        <f aca="false">Workers!$A$6</f>
        <v>W02</v>
      </c>
      <c r="B12" s="41" t="str">
        <f aca="false">IF(Workers!$B$6="","",Workers!$B$6)</f>
        <v>Worker 2</v>
      </c>
      <c r="C12" s="42" t="str">
        <f aca="false">IF($B12="","",Workers!$C$6)</f>
        <v>Active</v>
      </c>
      <c r="D12" s="15" t="n">
        <f aca="false">IF($B12="","",IFERROR(INDEX(Weeks!$N$6:$Y$58,MATCH($C$4,Weeks!$A$6:$A$58,0),MATCH($A12,Weeks!$N$4:$Y$4,0)),0))</f>
        <v>0</v>
      </c>
      <c r="E12" s="43" t="str">
        <f aca="false">IF(OR($B12="",N($H$7)=0),"",$D12/$H$7)</f>
        <v/>
      </c>
      <c r="F12" s="17" t="n">
        <f aca="false">IF($B12="","",IFERROR(INDEX(Weeks!$Z$6:$AK$58,MATCH($C$4,Weeks!$A$6:$A$58,0),MATCH($A12,Weeks!$Z$4:$AK$4,0)),0))</f>
        <v>0</v>
      </c>
      <c r="G12" s="29" t="n">
        <f aca="false">IF($B12="","",SUMPRODUCT((Weeks!$A$6:$A$58&lt;$C$4)*(Weeks!$Z$4:$AK$4=$A12)*Weeks!$Z$6:$AK$58)-SUMIFS('Cash Ledger'!$E$6:$E$1005,'Cash Ledger'!$I$6:$I$1005,$A12,'Cash Ledger'!$B$6:$B$1005,"&lt;"&amp;$C$4))</f>
        <v>0</v>
      </c>
      <c r="H12" s="17" t="n">
        <f aca="false">IF($B12="","",SUMIFS('Cash Ledger'!$E$6:$E$1005,'Cash Ledger'!$I$6:$I$1005,$A12,'Cash Ledger'!$D$6:$D$1005,"Advance",'Cash Ledger'!$B$6:$B$1005,"&gt;="&amp;$C$4,'Cash Ledger'!$B$6:$B$1005,"&lt;="&amp;($C$4+6)))</f>
        <v>0</v>
      </c>
      <c r="I12" s="29" t="n">
        <f aca="false">IF($B12="","",SUMIFS('Cash Ledger'!$E$6:$E$1005,'Cash Ledger'!$I$6:$I$1005,$A12,'Cash Ledger'!$D$6:$D$1005,"Correction",'Cash Ledger'!$B$6:$B$1005,"&gt;="&amp;$C$4,'Cash Ledger'!$B$6:$B$1005,"&lt;="&amp;($C$4+6)))</f>
        <v>0</v>
      </c>
      <c r="J12" s="29" t="n">
        <f aca="false">IF($B12="","",$G12+$F12-$H12-$I12)</f>
        <v>0</v>
      </c>
      <c r="K12" s="44" t="n">
        <f aca="false">IF($B12="","",ROUND(MAX(0,IF($G12&gt;=0,$J12,$F12-$H12-$I12-MIN(-$G12,DebtCap*$F12))),0))</f>
        <v>0</v>
      </c>
      <c r="L12" s="17" t="n">
        <f aca="false">IF($B12="","",SUMIFS('Cash Ledger'!$E$6:$E$1005,'Cash Ledger'!$I$6:$I$1005,$A12,'Cash Ledger'!$D$6:$D$1005,"Weekly pay",'Cash Ledger'!$B$6:$B$1005,"&gt;="&amp;$C$4,'Cash Ledger'!$B$6:$B$1005,"&lt;="&amp;($C$4+6)))</f>
        <v>0</v>
      </c>
      <c r="M12" s="17" t="n">
        <f aca="false">IF($B12="","",MAX(0,$K12-$L12))</f>
        <v>0</v>
      </c>
      <c r="N12" s="29" t="n">
        <f aca="false">IF($B12="","",$J12-$L12)</f>
        <v>0</v>
      </c>
      <c r="O12" s="19" t="str">
        <f aca="false">IF($B12="","",IF(ROUND($N12,0)&lt;0,"owes you "&amp;ROUND(-$N12,0),IF(AND(ROUND($N12,0)&gt;0,$M12&gt;0),"not yet paid",IF(ROUND($N12,0)&gt;0,"you owe "&amp;ROUND($N12,0),"settled"))))</f>
        <v>settled</v>
      </c>
    </row>
    <row r="13" customFormat="false" ht="15" hidden="false" customHeight="false" outlineLevel="0" collapsed="false">
      <c r="A13" s="40" t="str">
        <f aca="false">Workers!$A$7</f>
        <v>W03</v>
      </c>
      <c r="B13" s="41" t="str">
        <f aca="false">IF(Workers!$B$7="","",Workers!$B$7)</f>
        <v>Worker 3</v>
      </c>
      <c r="C13" s="42" t="str">
        <f aca="false">IF($B13="","",Workers!$C$7)</f>
        <v>Active</v>
      </c>
      <c r="D13" s="15" t="n">
        <f aca="false">IF($B13="","",IFERROR(INDEX(Weeks!$N$6:$Y$58,MATCH($C$4,Weeks!$A$6:$A$58,0),MATCH($A13,Weeks!$N$4:$Y$4,0)),0))</f>
        <v>0</v>
      </c>
      <c r="E13" s="43" t="str">
        <f aca="false">IF(OR($B13="",N($H$7)=0),"",$D13/$H$7)</f>
        <v/>
      </c>
      <c r="F13" s="17" t="n">
        <f aca="false">IF($B13="","",IFERROR(INDEX(Weeks!$Z$6:$AK$58,MATCH($C$4,Weeks!$A$6:$A$58,0),MATCH($A13,Weeks!$Z$4:$AK$4,0)),0))</f>
        <v>0</v>
      </c>
      <c r="G13" s="29" t="n">
        <f aca="false">IF($B13="","",SUMPRODUCT((Weeks!$A$6:$A$58&lt;$C$4)*(Weeks!$Z$4:$AK$4=$A13)*Weeks!$Z$6:$AK$58)-SUMIFS('Cash Ledger'!$E$6:$E$1005,'Cash Ledger'!$I$6:$I$1005,$A13,'Cash Ledger'!$B$6:$B$1005,"&lt;"&amp;$C$4))</f>
        <v>0</v>
      </c>
      <c r="H13" s="17" t="n">
        <f aca="false">IF($B13="","",SUMIFS('Cash Ledger'!$E$6:$E$1005,'Cash Ledger'!$I$6:$I$1005,$A13,'Cash Ledger'!$D$6:$D$1005,"Advance",'Cash Ledger'!$B$6:$B$1005,"&gt;="&amp;$C$4,'Cash Ledger'!$B$6:$B$1005,"&lt;="&amp;($C$4+6)))</f>
        <v>0</v>
      </c>
      <c r="I13" s="29" t="n">
        <f aca="false">IF($B13="","",SUMIFS('Cash Ledger'!$E$6:$E$1005,'Cash Ledger'!$I$6:$I$1005,$A13,'Cash Ledger'!$D$6:$D$1005,"Correction",'Cash Ledger'!$B$6:$B$1005,"&gt;="&amp;$C$4,'Cash Ledger'!$B$6:$B$1005,"&lt;="&amp;($C$4+6)))</f>
        <v>0</v>
      </c>
      <c r="J13" s="29" t="n">
        <f aca="false">IF($B13="","",$G13+$F13-$H13-$I13)</f>
        <v>0</v>
      </c>
      <c r="K13" s="44" t="n">
        <f aca="false">IF($B13="","",ROUND(MAX(0,IF($G13&gt;=0,$J13,$F13-$H13-$I13-MIN(-$G13,DebtCap*$F13))),0))</f>
        <v>0</v>
      </c>
      <c r="L13" s="17" t="n">
        <f aca="false">IF($B13="","",SUMIFS('Cash Ledger'!$E$6:$E$1005,'Cash Ledger'!$I$6:$I$1005,$A13,'Cash Ledger'!$D$6:$D$1005,"Weekly pay",'Cash Ledger'!$B$6:$B$1005,"&gt;="&amp;$C$4,'Cash Ledger'!$B$6:$B$1005,"&lt;="&amp;($C$4+6)))</f>
        <v>0</v>
      </c>
      <c r="M13" s="17" t="n">
        <f aca="false">IF($B13="","",MAX(0,$K13-$L13))</f>
        <v>0</v>
      </c>
      <c r="N13" s="29" t="n">
        <f aca="false">IF($B13="","",$J13-$L13)</f>
        <v>0</v>
      </c>
      <c r="O13" s="19" t="str">
        <f aca="false">IF($B13="","",IF(ROUND($N13,0)&lt;0,"owes you "&amp;ROUND(-$N13,0),IF(AND(ROUND($N13,0)&gt;0,$M13&gt;0),"not yet paid",IF(ROUND($N13,0)&gt;0,"you owe "&amp;ROUND($N13,0),"settled"))))</f>
        <v>settled</v>
      </c>
    </row>
    <row r="14" customFormat="false" ht="15" hidden="false" customHeight="false" outlineLevel="0" collapsed="false">
      <c r="A14" s="40" t="str">
        <f aca="false">Workers!$A$8</f>
        <v>W04</v>
      </c>
      <c r="B14" s="41" t="str">
        <f aca="false">IF(Workers!$B$8="","",Workers!$B$8)</f>
        <v>Worker 4</v>
      </c>
      <c r="C14" s="42" t="str">
        <f aca="false">IF($B14="","",Workers!$C$8)</f>
        <v>Active</v>
      </c>
      <c r="D14" s="15" t="n">
        <f aca="false">IF($B14="","",IFERROR(INDEX(Weeks!$N$6:$Y$58,MATCH($C$4,Weeks!$A$6:$A$58,0),MATCH($A14,Weeks!$N$4:$Y$4,0)),0))</f>
        <v>0</v>
      </c>
      <c r="E14" s="43" t="str">
        <f aca="false">IF(OR($B14="",N($H$7)=0),"",$D14/$H$7)</f>
        <v/>
      </c>
      <c r="F14" s="17" t="n">
        <f aca="false">IF($B14="","",IFERROR(INDEX(Weeks!$Z$6:$AK$58,MATCH($C$4,Weeks!$A$6:$A$58,0),MATCH($A14,Weeks!$Z$4:$AK$4,0)),0))</f>
        <v>0</v>
      </c>
      <c r="G14" s="29" t="n">
        <f aca="false">IF($B14="","",SUMPRODUCT((Weeks!$A$6:$A$58&lt;$C$4)*(Weeks!$Z$4:$AK$4=$A14)*Weeks!$Z$6:$AK$58)-SUMIFS('Cash Ledger'!$E$6:$E$1005,'Cash Ledger'!$I$6:$I$1005,$A14,'Cash Ledger'!$B$6:$B$1005,"&lt;"&amp;$C$4))</f>
        <v>0</v>
      </c>
      <c r="H14" s="17" t="n">
        <f aca="false">IF($B14="","",SUMIFS('Cash Ledger'!$E$6:$E$1005,'Cash Ledger'!$I$6:$I$1005,$A14,'Cash Ledger'!$D$6:$D$1005,"Advance",'Cash Ledger'!$B$6:$B$1005,"&gt;="&amp;$C$4,'Cash Ledger'!$B$6:$B$1005,"&lt;="&amp;($C$4+6)))</f>
        <v>0</v>
      </c>
      <c r="I14" s="29" t="n">
        <f aca="false">IF($B14="","",SUMIFS('Cash Ledger'!$E$6:$E$1005,'Cash Ledger'!$I$6:$I$1005,$A14,'Cash Ledger'!$D$6:$D$1005,"Correction",'Cash Ledger'!$B$6:$B$1005,"&gt;="&amp;$C$4,'Cash Ledger'!$B$6:$B$1005,"&lt;="&amp;($C$4+6)))</f>
        <v>0</v>
      </c>
      <c r="J14" s="29" t="n">
        <f aca="false">IF($B14="","",$G14+$F14-$H14-$I14)</f>
        <v>0</v>
      </c>
      <c r="K14" s="44" t="n">
        <f aca="false">IF($B14="","",ROUND(MAX(0,IF($G14&gt;=0,$J14,$F14-$H14-$I14-MIN(-$G14,DebtCap*$F14))),0))</f>
        <v>0</v>
      </c>
      <c r="L14" s="17" t="n">
        <f aca="false">IF($B14="","",SUMIFS('Cash Ledger'!$E$6:$E$1005,'Cash Ledger'!$I$6:$I$1005,$A14,'Cash Ledger'!$D$6:$D$1005,"Weekly pay",'Cash Ledger'!$B$6:$B$1005,"&gt;="&amp;$C$4,'Cash Ledger'!$B$6:$B$1005,"&lt;="&amp;($C$4+6)))</f>
        <v>0</v>
      </c>
      <c r="M14" s="17" t="n">
        <f aca="false">IF($B14="","",MAX(0,$K14-$L14))</f>
        <v>0</v>
      </c>
      <c r="N14" s="29" t="n">
        <f aca="false">IF($B14="","",$J14-$L14)</f>
        <v>0</v>
      </c>
      <c r="O14" s="19" t="str">
        <f aca="false">IF($B14="","",IF(ROUND($N14,0)&lt;0,"owes you "&amp;ROUND(-$N14,0),IF(AND(ROUND($N14,0)&gt;0,$M14&gt;0),"not yet paid",IF(ROUND($N14,0)&gt;0,"you owe "&amp;ROUND($N14,0),"settled"))))</f>
        <v>settled</v>
      </c>
    </row>
    <row r="15" customFormat="false" ht="15" hidden="false" customHeight="false" outlineLevel="0" collapsed="false">
      <c r="A15" s="40" t="str">
        <f aca="false">Workers!$A$9</f>
        <v>W05</v>
      </c>
      <c r="B15" s="41" t="str">
        <f aca="false">IF(Workers!$B$9="","",Workers!$B$9)</f>
        <v/>
      </c>
      <c r="C15" s="42" t="str">
        <f aca="false">IF($B15="","",Workers!$C$9)</f>
        <v/>
      </c>
      <c r="D15" s="15" t="str">
        <f aca="false">IF($B15="","",IFERROR(INDEX(Weeks!$N$6:$Y$58,MATCH($C$4,Weeks!$A$6:$A$58,0),MATCH($A15,Weeks!$N$4:$Y$4,0)),0))</f>
        <v/>
      </c>
      <c r="E15" s="43" t="str">
        <f aca="false">IF(OR($B15="",N($H$7)=0),"",$D15/$H$7)</f>
        <v/>
      </c>
      <c r="F15" s="17" t="str">
        <f aca="false">IF($B15="","",IFERROR(INDEX(Weeks!$Z$6:$AK$58,MATCH($C$4,Weeks!$A$6:$A$58,0),MATCH($A15,Weeks!$Z$4:$AK$4,0)),0))</f>
        <v/>
      </c>
      <c r="G15" s="29" t="str">
        <f aca="false">IF($B15="","",SUMPRODUCT((Weeks!$A$6:$A$58&lt;$C$4)*(Weeks!$Z$4:$AK$4=$A15)*Weeks!$Z$6:$AK$58)-SUMIFS('Cash Ledger'!$E$6:$E$1005,'Cash Ledger'!$I$6:$I$1005,$A15,'Cash Ledger'!$B$6:$B$1005,"&lt;"&amp;$C$4))</f>
        <v/>
      </c>
      <c r="H15" s="17" t="str">
        <f aca="false">IF($B15="","",SUMIFS('Cash Ledger'!$E$6:$E$1005,'Cash Ledger'!$I$6:$I$1005,$A15,'Cash Ledger'!$D$6:$D$1005,"Advance",'Cash Ledger'!$B$6:$B$1005,"&gt;="&amp;$C$4,'Cash Ledger'!$B$6:$B$1005,"&lt;="&amp;($C$4+6)))</f>
        <v/>
      </c>
      <c r="I15" s="29" t="str">
        <f aca="false">IF($B15="","",SUMIFS('Cash Ledger'!$E$6:$E$1005,'Cash Ledger'!$I$6:$I$1005,$A15,'Cash Ledger'!$D$6:$D$1005,"Correction",'Cash Ledger'!$B$6:$B$1005,"&gt;="&amp;$C$4,'Cash Ledger'!$B$6:$B$1005,"&lt;="&amp;($C$4+6)))</f>
        <v/>
      </c>
      <c r="J15" s="29" t="str">
        <f aca="false">IF($B15="","",$G15+$F15-$H15-$I15)</f>
        <v/>
      </c>
      <c r="K15" s="44" t="str">
        <f aca="false">IF($B15="","",ROUND(MAX(0,IF($G15&gt;=0,$J15,$F15-$H15-$I15-MIN(-$G15,DebtCap*$F15))),0))</f>
        <v/>
      </c>
      <c r="L15" s="17" t="str">
        <f aca="false">IF($B15="","",SUMIFS('Cash Ledger'!$E$6:$E$1005,'Cash Ledger'!$I$6:$I$1005,$A15,'Cash Ledger'!$D$6:$D$1005,"Weekly pay",'Cash Ledger'!$B$6:$B$1005,"&gt;="&amp;$C$4,'Cash Ledger'!$B$6:$B$1005,"&lt;="&amp;($C$4+6)))</f>
        <v/>
      </c>
      <c r="M15" s="17" t="str">
        <f aca="false">IF($B15="","",MAX(0,$K15-$L15))</f>
        <v/>
      </c>
      <c r="N15" s="29" t="str">
        <f aca="false">IF($B15="","",$J15-$L15)</f>
        <v/>
      </c>
      <c r="O15" s="19" t="str">
        <f aca="false">IF($B15="","",IF(ROUND($N15,0)&lt;0,"owes you "&amp;ROUND(-$N15,0),IF(AND(ROUND($N15,0)&gt;0,$M15&gt;0),"not yet paid",IF(ROUND($N15,0)&gt;0,"you owe "&amp;ROUND($N15,0),"settled"))))</f>
        <v/>
      </c>
    </row>
    <row r="16" customFormat="false" ht="15" hidden="false" customHeight="false" outlineLevel="0" collapsed="false">
      <c r="A16" s="40" t="str">
        <f aca="false">Workers!$A$10</f>
        <v>W06</v>
      </c>
      <c r="B16" s="41" t="str">
        <f aca="false">IF(Workers!$B$10="","",Workers!$B$10)</f>
        <v/>
      </c>
      <c r="C16" s="42" t="str">
        <f aca="false">IF($B16="","",Workers!$C$10)</f>
        <v/>
      </c>
      <c r="D16" s="15" t="str">
        <f aca="false">IF($B16="","",IFERROR(INDEX(Weeks!$N$6:$Y$58,MATCH($C$4,Weeks!$A$6:$A$58,0),MATCH($A16,Weeks!$N$4:$Y$4,0)),0))</f>
        <v/>
      </c>
      <c r="E16" s="43" t="str">
        <f aca="false">IF(OR($B16="",N($H$7)=0),"",$D16/$H$7)</f>
        <v/>
      </c>
      <c r="F16" s="17" t="str">
        <f aca="false">IF($B16="","",IFERROR(INDEX(Weeks!$Z$6:$AK$58,MATCH($C$4,Weeks!$A$6:$A$58,0),MATCH($A16,Weeks!$Z$4:$AK$4,0)),0))</f>
        <v/>
      </c>
      <c r="G16" s="29" t="str">
        <f aca="false">IF($B16="","",SUMPRODUCT((Weeks!$A$6:$A$58&lt;$C$4)*(Weeks!$Z$4:$AK$4=$A16)*Weeks!$Z$6:$AK$58)-SUMIFS('Cash Ledger'!$E$6:$E$1005,'Cash Ledger'!$I$6:$I$1005,$A16,'Cash Ledger'!$B$6:$B$1005,"&lt;"&amp;$C$4))</f>
        <v/>
      </c>
      <c r="H16" s="17" t="str">
        <f aca="false">IF($B16="","",SUMIFS('Cash Ledger'!$E$6:$E$1005,'Cash Ledger'!$I$6:$I$1005,$A16,'Cash Ledger'!$D$6:$D$1005,"Advance",'Cash Ledger'!$B$6:$B$1005,"&gt;="&amp;$C$4,'Cash Ledger'!$B$6:$B$1005,"&lt;="&amp;($C$4+6)))</f>
        <v/>
      </c>
      <c r="I16" s="29" t="str">
        <f aca="false">IF($B16="","",SUMIFS('Cash Ledger'!$E$6:$E$1005,'Cash Ledger'!$I$6:$I$1005,$A16,'Cash Ledger'!$D$6:$D$1005,"Correction",'Cash Ledger'!$B$6:$B$1005,"&gt;="&amp;$C$4,'Cash Ledger'!$B$6:$B$1005,"&lt;="&amp;($C$4+6)))</f>
        <v/>
      </c>
      <c r="J16" s="29" t="str">
        <f aca="false">IF($B16="","",$G16+$F16-$H16-$I16)</f>
        <v/>
      </c>
      <c r="K16" s="44" t="str">
        <f aca="false">IF($B16="","",ROUND(MAX(0,IF($G16&gt;=0,$J16,$F16-$H16-$I16-MIN(-$G16,DebtCap*$F16))),0))</f>
        <v/>
      </c>
      <c r="L16" s="17" t="str">
        <f aca="false">IF($B16="","",SUMIFS('Cash Ledger'!$E$6:$E$1005,'Cash Ledger'!$I$6:$I$1005,$A16,'Cash Ledger'!$D$6:$D$1005,"Weekly pay",'Cash Ledger'!$B$6:$B$1005,"&gt;="&amp;$C$4,'Cash Ledger'!$B$6:$B$1005,"&lt;="&amp;($C$4+6)))</f>
        <v/>
      </c>
      <c r="M16" s="17" t="str">
        <f aca="false">IF($B16="","",MAX(0,$K16-$L16))</f>
        <v/>
      </c>
      <c r="N16" s="29" t="str">
        <f aca="false">IF($B16="","",$J16-$L16)</f>
        <v/>
      </c>
      <c r="O16" s="19" t="str">
        <f aca="false">IF($B16="","",IF(ROUND($N16,0)&lt;0,"owes you "&amp;ROUND(-$N16,0),IF(AND(ROUND($N16,0)&gt;0,$M16&gt;0),"not yet paid",IF(ROUND($N16,0)&gt;0,"you owe "&amp;ROUND($N16,0),"settled"))))</f>
        <v/>
      </c>
    </row>
    <row r="17" customFormat="false" ht="15" hidden="false" customHeight="false" outlineLevel="0" collapsed="false">
      <c r="A17" s="40" t="str">
        <f aca="false">Workers!$A$11</f>
        <v>W07</v>
      </c>
      <c r="B17" s="41" t="str">
        <f aca="false">IF(Workers!$B$11="","",Workers!$B$11)</f>
        <v/>
      </c>
      <c r="C17" s="42" t="str">
        <f aca="false">IF($B17="","",Workers!$C$11)</f>
        <v/>
      </c>
      <c r="D17" s="15" t="str">
        <f aca="false">IF($B17="","",IFERROR(INDEX(Weeks!$N$6:$Y$58,MATCH($C$4,Weeks!$A$6:$A$58,0),MATCH($A17,Weeks!$N$4:$Y$4,0)),0))</f>
        <v/>
      </c>
      <c r="E17" s="43" t="str">
        <f aca="false">IF(OR($B17="",N($H$7)=0),"",$D17/$H$7)</f>
        <v/>
      </c>
      <c r="F17" s="17" t="str">
        <f aca="false">IF($B17="","",IFERROR(INDEX(Weeks!$Z$6:$AK$58,MATCH($C$4,Weeks!$A$6:$A$58,0),MATCH($A17,Weeks!$Z$4:$AK$4,0)),0))</f>
        <v/>
      </c>
      <c r="G17" s="29" t="str">
        <f aca="false">IF($B17="","",SUMPRODUCT((Weeks!$A$6:$A$58&lt;$C$4)*(Weeks!$Z$4:$AK$4=$A17)*Weeks!$Z$6:$AK$58)-SUMIFS('Cash Ledger'!$E$6:$E$1005,'Cash Ledger'!$I$6:$I$1005,$A17,'Cash Ledger'!$B$6:$B$1005,"&lt;"&amp;$C$4))</f>
        <v/>
      </c>
      <c r="H17" s="17" t="str">
        <f aca="false">IF($B17="","",SUMIFS('Cash Ledger'!$E$6:$E$1005,'Cash Ledger'!$I$6:$I$1005,$A17,'Cash Ledger'!$D$6:$D$1005,"Advance",'Cash Ledger'!$B$6:$B$1005,"&gt;="&amp;$C$4,'Cash Ledger'!$B$6:$B$1005,"&lt;="&amp;($C$4+6)))</f>
        <v/>
      </c>
      <c r="I17" s="29" t="str">
        <f aca="false">IF($B17="","",SUMIFS('Cash Ledger'!$E$6:$E$1005,'Cash Ledger'!$I$6:$I$1005,$A17,'Cash Ledger'!$D$6:$D$1005,"Correction",'Cash Ledger'!$B$6:$B$1005,"&gt;="&amp;$C$4,'Cash Ledger'!$B$6:$B$1005,"&lt;="&amp;($C$4+6)))</f>
        <v/>
      </c>
      <c r="J17" s="29" t="str">
        <f aca="false">IF($B17="","",$G17+$F17-$H17-$I17)</f>
        <v/>
      </c>
      <c r="K17" s="44" t="str">
        <f aca="false">IF($B17="","",ROUND(MAX(0,IF($G17&gt;=0,$J17,$F17-$H17-$I17-MIN(-$G17,DebtCap*$F17))),0))</f>
        <v/>
      </c>
      <c r="L17" s="17" t="str">
        <f aca="false">IF($B17="","",SUMIFS('Cash Ledger'!$E$6:$E$1005,'Cash Ledger'!$I$6:$I$1005,$A17,'Cash Ledger'!$D$6:$D$1005,"Weekly pay",'Cash Ledger'!$B$6:$B$1005,"&gt;="&amp;$C$4,'Cash Ledger'!$B$6:$B$1005,"&lt;="&amp;($C$4+6)))</f>
        <v/>
      </c>
      <c r="M17" s="17" t="str">
        <f aca="false">IF($B17="","",MAX(0,$K17-$L17))</f>
        <v/>
      </c>
      <c r="N17" s="29" t="str">
        <f aca="false">IF($B17="","",$J17-$L17)</f>
        <v/>
      </c>
      <c r="O17" s="19" t="str">
        <f aca="false">IF($B17="","",IF(ROUND($N17,0)&lt;0,"owes you "&amp;ROUND(-$N17,0),IF(AND(ROUND($N17,0)&gt;0,$M17&gt;0),"not yet paid",IF(ROUND($N17,0)&gt;0,"you owe "&amp;ROUND($N17,0),"settled"))))</f>
        <v/>
      </c>
    </row>
    <row r="18" customFormat="false" ht="15" hidden="false" customHeight="false" outlineLevel="0" collapsed="false">
      <c r="A18" s="40" t="str">
        <f aca="false">Workers!$A$12</f>
        <v>W08</v>
      </c>
      <c r="B18" s="41" t="str">
        <f aca="false">IF(Workers!$B$12="","",Workers!$B$12)</f>
        <v/>
      </c>
      <c r="C18" s="42" t="str">
        <f aca="false">IF($B18="","",Workers!$C$12)</f>
        <v/>
      </c>
      <c r="D18" s="15" t="str">
        <f aca="false">IF($B18="","",IFERROR(INDEX(Weeks!$N$6:$Y$58,MATCH($C$4,Weeks!$A$6:$A$58,0),MATCH($A18,Weeks!$N$4:$Y$4,0)),0))</f>
        <v/>
      </c>
      <c r="E18" s="43" t="str">
        <f aca="false">IF(OR($B18="",N($H$7)=0),"",$D18/$H$7)</f>
        <v/>
      </c>
      <c r="F18" s="17" t="str">
        <f aca="false">IF($B18="","",IFERROR(INDEX(Weeks!$Z$6:$AK$58,MATCH($C$4,Weeks!$A$6:$A$58,0),MATCH($A18,Weeks!$Z$4:$AK$4,0)),0))</f>
        <v/>
      </c>
      <c r="G18" s="29" t="str">
        <f aca="false">IF($B18="","",SUMPRODUCT((Weeks!$A$6:$A$58&lt;$C$4)*(Weeks!$Z$4:$AK$4=$A18)*Weeks!$Z$6:$AK$58)-SUMIFS('Cash Ledger'!$E$6:$E$1005,'Cash Ledger'!$I$6:$I$1005,$A18,'Cash Ledger'!$B$6:$B$1005,"&lt;"&amp;$C$4))</f>
        <v/>
      </c>
      <c r="H18" s="17" t="str">
        <f aca="false">IF($B18="","",SUMIFS('Cash Ledger'!$E$6:$E$1005,'Cash Ledger'!$I$6:$I$1005,$A18,'Cash Ledger'!$D$6:$D$1005,"Advance",'Cash Ledger'!$B$6:$B$1005,"&gt;="&amp;$C$4,'Cash Ledger'!$B$6:$B$1005,"&lt;="&amp;($C$4+6)))</f>
        <v/>
      </c>
      <c r="I18" s="29" t="str">
        <f aca="false">IF($B18="","",SUMIFS('Cash Ledger'!$E$6:$E$1005,'Cash Ledger'!$I$6:$I$1005,$A18,'Cash Ledger'!$D$6:$D$1005,"Correction",'Cash Ledger'!$B$6:$B$1005,"&gt;="&amp;$C$4,'Cash Ledger'!$B$6:$B$1005,"&lt;="&amp;($C$4+6)))</f>
        <v/>
      </c>
      <c r="J18" s="29" t="str">
        <f aca="false">IF($B18="","",$G18+$F18-$H18-$I18)</f>
        <v/>
      </c>
      <c r="K18" s="44" t="str">
        <f aca="false">IF($B18="","",ROUND(MAX(0,IF($G18&gt;=0,$J18,$F18-$H18-$I18-MIN(-$G18,DebtCap*$F18))),0))</f>
        <v/>
      </c>
      <c r="L18" s="17" t="str">
        <f aca="false">IF($B18="","",SUMIFS('Cash Ledger'!$E$6:$E$1005,'Cash Ledger'!$I$6:$I$1005,$A18,'Cash Ledger'!$D$6:$D$1005,"Weekly pay",'Cash Ledger'!$B$6:$B$1005,"&gt;="&amp;$C$4,'Cash Ledger'!$B$6:$B$1005,"&lt;="&amp;($C$4+6)))</f>
        <v/>
      </c>
      <c r="M18" s="17" t="str">
        <f aca="false">IF($B18="","",MAX(0,$K18-$L18))</f>
        <v/>
      </c>
      <c r="N18" s="29" t="str">
        <f aca="false">IF($B18="","",$J18-$L18)</f>
        <v/>
      </c>
      <c r="O18" s="19" t="str">
        <f aca="false">IF($B18="","",IF(ROUND($N18,0)&lt;0,"owes you "&amp;ROUND(-$N18,0),IF(AND(ROUND($N18,0)&gt;0,$M18&gt;0),"not yet paid",IF(ROUND($N18,0)&gt;0,"you owe "&amp;ROUND($N18,0),"settled"))))</f>
        <v/>
      </c>
    </row>
    <row r="19" customFormat="false" ht="15" hidden="false" customHeight="false" outlineLevel="0" collapsed="false">
      <c r="A19" s="40" t="str">
        <f aca="false">Workers!$A$13</f>
        <v>W09</v>
      </c>
      <c r="B19" s="41" t="str">
        <f aca="false">IF(Workers!$B$13="","",Workers!$B$13)</f>
        <v/>
      </c>
      <c r="C19" s="42" t="str">
        <f aca="false">IF($B19="","",Workers!$C$13)</f>
        <v/>
      </c>
      <c r="D19" s="15" t="str">
        <f aca="false">IF($B19="","",IFERROR(INDEX(Weeks!$N$6:$Y$58,MATCH($C$4,Weeks!$A$6:$A$58,0),MATCH($A19,Weeks!$N$4:$Y$4,0)),0))</f>
        <v/>
      </c>
      <c r="E19" s="43" t="str">
        <f aca="false">IF(OR($B19="",N($H$7)=0),"",$D19/$H$7)</f>
        <v/>
      </c>
      <c r="F19" s="17" t="str">
        <f aca="false">IF($B19="","",IFERROR(INDEX(Weeks!$Z$6:$AK$58,MATCH($C$4,Weeks!$A$6:$A$58,0),MATCH($A19,Weeks!$Z$4:$AK$4,0)),0))</f>
        <v/>
      </c>
      <c r="G19" s="29" t="str">
        <f aca="false">IF($B19="","",SUMPRODUCT((Weeks!$A$6:$A$58&lt;$C$4)*(Weeks!$Z$4:$AK$4=$A19)*Weeks!$Z$6:$AK$58)-SUMIFS('Cash Ledger'!$E$6:$E$1005,'Cash Ledger'!$I$6:$I$1005,$A19,'Cash Ledger'!$B$6:$B$1005,"&lt;"&amp;$C$4))</f>
        <v/>
      </c>
      <c r="H19" s="17" t="str">
        <f aca="false">IF($B19="","",SUMIFS('Cash Ledger'!$E$6:$E$1005,'Cash Ledger'!$I$6:$I$1005,$A19,'Cash Ledger'!$D$6:$D$1005,"Advance",'Cash Ledger'!$B$6:$B$1005,"&gt;="&amp;$C$4,'Cash Ledger'!$B$6:$B$1005,"&lt;="&amp;($C$4+6)))</f>
        <v/>
      </c>
      <c r="I19" s="29" t="str">
        <f aca="false">IF($B19="","",SUMIFS('Cash Ledger'!$E$6:$E$1005,'Cash Ledger'!$I$6:$I$1005,$A19,'Cash Ledger'!$D$6:$D$1005,"Correction",'Cash Ledger'!$B$6:$B$1005,"&gt;="&amp;$C$4,'Cash Ledger'!$B$6:$B$1005,"&lt;="&amp;($C$4+6)))</f>
        <v/>
      </c>
      <c r="J19" s="29" t="str">
        <f aca="false">IF($B19="","",$G19+$F19-$H19-$I19)</f>
        <v/>
      </c>
      <c r="K19" s="44" t="str">
        <f aca="false">IF($B19="","",ROUND(MAX(0,IF($G19&gt;=0,$J19,$F19-$H19-$I19-MIN(-$G19,DebtCap*$F19))),0))</f>
        <v/>
      </c>
      <c r="L19" s="17" t="str">
        <f aca="false">IF($B19="","",SUMIFS('Cash Ledger'!$E$6:$E$1005,'Cash Ledger'!$I$6:$I$1005,$A19,'Cash Ledger'!$D$6:$D$1005,"Weekly pay",'Cash Ledger'!$B$6:$B$1005,"&gt;="&amp;$C$4,'Cash Ledger'!$B$6:$B$1005,"&lt;="&amp;($C$4+6)))</f>
        <v/>
      </c>
      <c r="M19" s="17" t="str">
        <f aca="false">IF($B19="","",MAX(0,$K19-$L19))</f>
        <v/>
      </c>
      <c r="N19" s="29" t="str">
        <f aca="false">IF($B19="","",$J19-$L19)</f>
        <v/>
      </c>
      <c r="O19" s="19" t="str">
        <f aca="false">IF($B19="","",IF(ROUND($N19,0)&lt;0,"owes you "&amp;ROUND(-$N19,0),IF(AND(ROUND($N19,0)&gt;0,$M19&gt;0),"not yet paid",IF(ROUND($N19,0)&gt;0,"you owe "&amp;ROUND($N19,0),"settled"))))</f>
        <v/>
      </c>
    </row>
    <row r="20" customFormat="false" ht="15" hidden="false" customHeight="false" outlineLevel="0" collapsed="false">
      <c r="A20" s="40" t="str">
        <f aca="false">Workers!$A$14</f>
        <v>W10</v>
      </c>
      <c r="B20" s="41" t="str">
        <f aca="false">IF(Workers!$B$14="","",Workers!$B$14)</f>
        <v/>
      </c>
      <c r="C20" s="42" t="str">
        <f aca="false">IF($B20="","",Workers!$C$14)</f>
        <v/>
      </c>
      <c r="D20" s="15" t="str">
        <f aca="false">IF($B20="","",IFERROR(INDEX(Weeks!$N$6:$Y$58,MATCH($C$4,Weeks!$A$6:$A$58,0),MATCH($A20,Weeks!$N$4:$Y$4,0)),0))</f>
        <v/>
      </c>
      <c r="E20" s="43" t="str">
        <f aca="false">IF(OR($B20="",N($H$7)=0),"",$D20/$H$7)</f>
        <v/>
      </c>
      <c r="F20" s="17" t="str">
        <f aca="false">IF($B20="","",IFERROR(INDEX(Weeks!$Z$6:$AK$58,MATCH($C$4,Weeks!$A$6:$A$58,0),MATCH($A20,Weeks!$Z$4:$AK$4,0)),0))</f>
        <v/>
      </c>
      <c r="G20" s="29" t="str">
        <f aca="false">IF($B20="","",SUMPRODUCT((Weeks!$A$6:$A$58&lt;$C$4)*(Weeks!$Z$4:$AK$4=$A20)*Weeks!$Z$6:$AK$58)-SUMIFS('Cash Ledger'!$E$6:$E$1005,'Cash Ledger'!$I$6:$I$1005,$A20,'Cash Ledger'!$B$6:$B$1005,"&lt;"&amp;$C$4))</f>
        <v/>
      </c>
      <c r="H20" s="17" t="str">
        <f aca="false">IF($B20="","",SUMIFS('Cash Ledger'!$E$6:$E$1005,'Cash Ledger'!$I$6:$I$1005,$A20,'Cash Ledger'!$D$6:$D$1005,"Advance",'Cash Ledger'!$B$6:$B$1005,"&gt;="&amp;$C$4,'Cash Ledger'!$B$6:$B$1005,"&lt;="&amp;($C$4+6)))</f>
        <v/>
      </c>
      <c r="I20" s="29" t="str">
        <f aca="false">IF($B20="","",SUMIFS('Cash Ledger'!$E$6:$E$1005,'Cash Ledger'!$I$6:$I$1005,$A20,'Cash Ledger'!$D$6:$D$1005,"Correction",'Cash Ledger'!$B$6:$B$1005,"&gt;="&amp;$C$4,'Cash Ledger'!$B$6:$B$1005,"&lt;="&amp;($C$4+6)))</f>
        <v/>
      </c>
      <c r="J20" s="29" t="str">
        <f aca="false">IF($B20="","",$G20+$F20-$H20-$I20)</f>
        <v/>
      </c>
      <c r="K20" s="44" t="str">
        <f aca="false">IF($B20="","",ROUND(MAX(0,IF($G20&gt;=0,$J20,$F20-$H20-$I20-MIN(-$G20,DebtCap*$F20))),0))</f>
        <v/>
      </c>
      <c r="L20" s="17" t="str">
        <f aca="false">IF($B20="","",SUMIFS('Cash Ledger'!$E$6:$E$1005,'Cash Ledger'!$I$6:$I$1005,$A20,'Cash Ledger'!$D$6:$D$1005,"Weekly pay",'Cash Ledger'!$B$6:$B$1005,"&gt;="&amp;$C$4,'Cash Ledger'!$B$6:$B$1005,"&lt;="&amp;($C$4+6)))</f>
        <v/>
      </c>
      <c r="M20" s="17" t="str">
        <f aca="false">IF($B20="","",MAX(0,$K20-$L20))</f>
        <v/>
      </c>
      <c r="N20" s="29" t="str">
        <f aca="false">IF($B20="","",$J20-$L20)</f>
        <v/>
      </c>
      <c r="O20" s="19" t="str">
        <f aca="false">IF($B20="","",IF(ROUND($N20,0)&lt;0,"owes you "&amp;ROUND(-$N20,0),IF(AND(ROUND($N20,0)&gt;0,$M20&gt;0),"not yet paid",IF(ROUND($N20,0)&gt;0,"you owe "&amp;ROUND($N20,0),"settled"))))</f>
        <v/>
      </c>
    </row>
    <row r="21" customFormat="false" ht="15" hidden="false" customHeight="false" outlineLevel="0" collapsed="false">
      <c r="A21" s="40" t="str">
        <f aca="false">Workers!$A$15</f>
        <v>W11</v>
      </c>
      <c r="B21" s="41" t="str">
        <f aca="false">IF(Workers!$B$15="","",Workers!$B$15)</f>
        <v/>
      </c>
      <c r="C21" s="42" t="str">
        <f aca="false">IF($B21="","",Workers!$C$15)</f>
        <v/>
      </c>
      <c r="D21" s="15" t="str">
        <f aca="false">IF($B21="","",IFERROR(INDEX(Weeks!$N$6:$Y$58,MATCH($C$4,Weeks!$A$6:$A$58,0),MATCH($A21,Weeks!$N$4:$Y$4,0)),0))</f>
        <v/>
      </c>
      <c r="E21" s="43" t="str">
        <f aca="false">IF(OR($B21="",N($H$7)=0),"",$D21/$H$7)</f>
        <v/>
      </c>
      <c r="F21" s="17" t="str">
        <f aca="false">IF($B21="","",IFERROR(INDEX(Weeks!$Z$6:$AK$58,MATCH($C$4,Weeks!$A$6:$A$58,0),MATCH($A21,Weeks!$Z$4:$AK$4,0)),0))</f>
        <v/>
      </c>
      <c r="G21" s="29" t="str">
        <f aca="false">IF($B21="","",SUMPRODUCT((Weeks!$A$6:$A$58&lt;$C$4)*(Weeks!$Z$4:$AK$4=$A21)*Weeks!$Z$6:$AK$58)-SUMIFS('Cash Ledger'!$E$6:$E$1005,'Cash Ledger'!$I$6:$I$1005,$A21,'Cash Ledger'!$B$6:$B$1005,"&lt;"&amp;$C$4))</f>
        <v/>
      </c>
      <c r="H21" s="17" t="str">
        <f aca="false">IF($B21="","",SUMIFS('Cash Ledger'!$E$6:$E$1005,'Cash Ledger'!$I$6:$I$1005,$A21,'Cash Ledger'!$D$6:$D$1005,"Advance",'Cash Ledger'!$B$6:$B$1005,"&gt;="&amp;$C$4,'Cash Ledger'!$B$6:$B$1005,"&lt;="&amp;($C$4+6)))</f>
        <v/>
      </c>
      <c r="I21" s="29" t="str">
        <f aca="false">IF($B21="","",SUMIFS('Cash Ledger'!$E$6:$E$1005,'Cash Ledger'!$I$6:$I$1005,$A21,'Cash Ledger'!$D$6:$D$1005,"Correction",'Cash Ledger'!$B$6:$B$1005,"&gt;="&amp;$C$4,'Cash Ledger'!$B$6:$B$1005,"&lt;="&amp;($C$4+6)))</f>
        <v/>
      </c>
      <c r="J21" s="29" t="str">
        <f aca="false">IF($B21="","",$G21+$F21-$H21-$I21)</f>
        <v/>
      </c>
      <c r="K21" s="44" t="str">
        <f aca="false">IF($B21="","",ROUND(MAX(0,IF($G21&gt;=0,$J21,$F21-$H21-$I21-MIN(-$G21,DebtCap*$F21))),0))</f>
        <v/>
      </c>
      <c r="L21" s="17" t="str">
        <f aca="false">IF($B21="","",SUMIFS('Cash Ledger'!$E$6:$E$1005,'Cash Ledger'!$I$6:$I$1005,$A21,'Cash Ledger'!$D$6:$D$1005,"Weekly pay",'Cash Ledger'!$B$6:$B$1005,"&gt;="&amp;$C$4,'Cash Ledger'!$B$6:$B$1005,"&lt;="&amp;($C$4+6)))</f>
        <v/>
      </c>
      <c r="M21" s="17" t="str">
        <f aca="false">IF($B21="","",MAX(0,$K21-$L21))</f>
        <v/>
      </c>
      <c r="N21" s="29" t="str">
        <f aca="false">IF($B21="","",$J21-$L21)</f>
        <v/>
      </c>
      <c r="O21" s="19" t="str">
        <f aca="false">IF($B21="","",IF(ROUND($N21,0)&lt;0,"owes you "&amp;ROUND(-$N21,0),IF(AND(ROUND($N21,0)&gt;0,$M21&gt;0),"not yet paid",IF(ROUND($N21,0)&gt;0,"you owe "&amp;ROUND($N21,0),"settled"))))</f>
        <v/>
      </c>
    </row>
    <row r="22" customFormat="false" ht="15" hidden="false" customHeight="false" outlineLevel="0" collapsed="false">
      <c r="A22" s="40" t="str">
        <f aca="false">Workers!$A$16</f>
        <v>W12</v>
      </c>
      <c r="B22" s="41" t="str">
        <f aca="false">IF(Workers!$B$16="","",Workers!$B$16)</f>
        <v/>
      </c>
      <c r="C22" s="42" t="str">
        <f aca="false">IF($B22="","",Workers!$C$16)</f>
        <v/>
      </c>
      <c r="D22" s="15" t="str">
        <f aca="false">IF($B22="","",IFERROR(INDEX(Weeks!$N$6:$Y$58,MATCH($C$4,Weeks!$A$6:$A$58,0),MATCH($A22,Weeks!$N$4:$Y$4,0)),0))</f>
        <v/>
      </c>
      <c r="E22" s="43" t="str">
        <f aca="false">IF(OR($B22="",N($H$7)=0),"",$D22/$H$7)</f>
        <v/>
      </c>
      <c r="F22" s="17" t="str">
        <f aca="false">IF($B22="","",IFERROR(INDEX(Weeks!$Z$6:$AK$58,MATCH($C$4,Weeks!$A$6:$A$58,0),MATCH($A22,Weeks!$Z$4:$AK$4,0)),0))</f>
        <v/>
      </c>
      <c r="G22" s="29" t="str">
        <f aca="false">IF($B22="","",SUMPRODUCT((Weeks!$A$6:$A$58&lt;$C$4)*(Weeks!$Z$4:$AK$4=$A22)*Weeks!$Z$6:$AK$58)-SUMIFS('Cash Ledger'!$E$6:$E$1005,'Cash Ledger'!$I$6:$I$1005,$A22,'Cash Ledger'!$B$6:$B$1005,"&lt;"&amp;$C$4))</f>
        <v/>
      </c>
      <c r="H22" s="17" t="str">
        <f aca="false">IF($B22="","",SUMIFS('Cash Ledger'!$E$6:$E$1005,'Cash Ledger'!$I$6:$I$1005,$A22,'Cash Ledger'!$D$6:$D$1005,"Advance",'Cash Ledger'!$B$6:$B$1005,"&gt;="&amp;$C$4,'Cash Ledger'!$B$6:$B$1005,"&lt;="&amp;($C$4+6)))</f>
        <v/>
      </c>
      <c r="I22" s="29" t="str">
        <f aca="false">IF($B22="","",SUMIFS('Cash Ledger'!$E$6:$E$1005,'Cash Ledger'!$I$6:$I$1005,$A22,'Cash Ledger'!$D$6:$D$1005,"Correction",'Cash Ledger'!$B$6:$B$1005,"&gt;="&amp;$C$4,'Cash Ledger'!$B$6:$B$1005,"&lt;="&amp;($C$4+6)))</f>
        <v/>
      </c>
      <c r="J22" s="29" t="str">
        <f aca="false">IF($B22="","",$G22+$F22-$H22-$I22)</f>
        <v/>
      </c>
      <c r="K22" s="44" t="str">
        <f aca="false">IF($B22="","",ROUND(MAX(0,IF($G22&gt;=0,$J22,$F22-$H22-$I22-MIN(-$G22,DebtCap*$F22))),0))</f>
        <v/>
      </c>
      <c r="L22" s="17" t="str">
        <f aca="false">IF($B22="","",SUMIFS('Cash Ledger'!$E$6:$E$1005,'Cash Ledger'!$I$6:$I$1005,$A22,'Cash Ledger'!$D$6:$D$1005,"Weekly pay",'Cash Ledger'!$B$6:$B$1005,"&gt;="&amp;$C$4,'Cash Ledger'!$B$6:$B$1005,"&lt;="&amp;($C$4+6)))</f>
        <v/>
      </c>
      <c r="M22" s="17" t="str">
        <f aca="false">IF($B22="","",MAX(0,$K22-$L22))</f>
        <v/>
      </c>
      <c r="N22" s="29" t="str">
        <f aca="false">IF($B22="","",$J22-$L22)</f>
        <v/>
      </c>
      <c r="O22" s="19" t="str">
        <f aca="false">IF($B22="","",IF(ROUND($N22,0)&lt;0,"owes you "&amp;ROUND(-$N22,0),IF(AND(ROUND($N22,0)&gt;0,$M22&gt;0),"not yet paid",IF(ROUND($N22,0)&gt;0,"you owe "&amp;ROUND($N22,0),"settled"))))</f>
        <v/>
      </c>
    </row>
    <row r="23" customFormat="false" ht="15" hidden="false" customHeight="false" outlineLevel="0" collapsed="false">
      <c r="B23" s="4" t="s">
        <v>89</v>
      </c>
      <c r="D23" s="45" t="n">
        <f aca="false">SUM(D11:D22)</f>
        <v>0</v>
      </c>
      <c r="F23" s="46" t="n">
        <f aca="false">SUM(F11:F22)</f>
        <v>0</v>
      </c>
      <c r="G23" s="47" t="n">
        <f aca="false">SUM(G11:G22)</f>
        <v>0</v>
      </c>
      <c r="H23" s="46" t="n">
        <f aca="false">SUM(H11:H22)</f>
        <v>0</v>
      </c>
      <c r="I23" s="47" t="n">
        <f aca="false">SUM(I11:I22)</f>
        <v>0</v>
      </c>
      <c r="J23" s="47" t="n">
        <f aca="false">SUM(J11:J22)</f>
        <v>0</v>
      </c>
      <c r="K23" s="46" t="n">
        <f aca="false">SUM(K11:K22)</f>
        <v>0</v>
      </c>
      <c r="L23" s="46" t="n">
        <f aca="false">SUM(L11:L22)</f>
        <v>0</v>
      </c>
      <c r="M23" s="46" t="n">
        <f aca="false">SUM(M11:M22)</f>
        <v>0</v>
      </c>
      <c r="N23" s="47" t="n">
        <f aca="false">SUM(N11:N22)</f>
        <v>0</v>
      </c>
    </row>
    <row r="25" customFormat="false" ht="15" hidden="false" customHeight="false" outlineLevel="0" collapsed="false">
      <c r="B25" s="5" t="s">
        <v>90</v>
      </c>
    </row>
    <row r="26" customFormat="false" ht="15" hidden="false" customHeight="false" outlineLevel="0" collapsed="false">
      <c r="B26" s="48" t="s">
        <v>91</v>
      </c>
      <c r="C26" s="48"/>
      <c r="D26" s="48"/>
      <c r="E26" s="48"/>
      <c r="F26" s="4" t="str">
        <f aca="false">IF(ABS($F$23-$F$7)&lt;=12,"OK","MISMATCH: "&amp;ROUND($F$23-$F$7,0))</f>
        <v>OK</v>
      </c>
      <c r="G26" s="4"/>
      <c r="H26" s="4"/>
    </row>
    <row r="27" customFormat="false" ht="15" hidden="false" customHeight="false" outlineLevel="0" collapsed="false">
      <c r="B27" s="48" t="s">
        <v>92</v>
      </c>
      <c r="C27" s="48"/>
      <c r="D27" s="48"/>
      <c r="E27" s="48"/>
      <c r="F27" s="4" t="str">
        <f aca="false">IF(ABS($D$23-$H$7)&lt;0.001,"OK","MISMATCH - check attendance")</f>
        <v>OK</v>
      </c>
      <c r="G27" s="4"/>
      <c r="H27" s="4"/>
    </row>
    <row r="28" customFormat="false" ht="15" hidden="false" customHeight="false" outlineLevel="0" collapsed="false">
      <c r="B28" s="48" t="s">
        <v>93</v>
      </c>
      <c r="C28" s="48"/>
      <c r="D28" s="48"/>
      <c r="E28" s="48"/>
      <c r="F28" s="4" t="str">
        <f aca="false">IF(AND($F$7&gt;0,$H$7=0),"NO - mark attendance in the Daily Log","OK")</f>
        <v>OK</v>
      </c>
      <c r="G28" s="4"/>
      <c r="H28" s="4"/>
    </row>
    <row r="29" customFormat="false" ht="15" hidden="false" customHeight="false" outlineLevel="0" collapsed="false">
      <c r="B29" s="48" t="s">
        <v>76</v>
      </c>
      <c r="C29" s="48"/>
      <c r="D29" s="48"/>
      <c r="E29" s="48"/>
      <c r="F29" s="4" t="str">
        <f aca="false">IF($F$7=0,"-",IF(N($J$7)&gt;RejectAlarm,"HIGH - look at curing and handling","OK"))</f>
        <v>-</v>
      </c>
      <c r="G29" s="4"/>
      <c r="H29" s="4"/>
    </row>
    <row r="30" customFormat="false" ht="15" hidden="false" customHeight="false" outlineLevel="0" collapsed="false">
      <c r="B30" s="48" t="s">
        <v>94</v>
      </c>
      <c r="C30" s="48"/>
      <c r="D30" s="48"/>
      <c r="E30" s="48"/>
      <c r="F30" s="49" t="n">
        <f aca="false">$M$23</f>
        <v>0</v>
      </c>
      <c r="G30" s="49"/>
      <c r="H30" s="49"/>
    </row>
    <row r="32" customFormat="false" ht="15" hidden="false" customHeight="false" outlineLevel="0" collapsed="false">
      <c r="B32" s="2" t="s">
        <v>95</v>
      </c>
    </row>
    <row r="33" customFormat="false" ht="15" hidden="false" customHeight="false" outlineLevel="0" collapsed="false">
      <c r="B33" s="2" t="s">
        <v>96</v>
      </c>
    </row>
    <row r="34" customFormat="false" ht="15" hidden="false" customHeight="false" outlineLevel="0" collapsed="false">
      <c r="B34" s="2" t="s">
        <v>97</v>
      </c>
    </row>
  </sheetData>
  <mergeCells count="22">
    <mergeCell ref="B6:C6"/>
    <mergeCell ref="D6:E6"/>
    <mergeCell ref="F6:G6"/>
    <mergeCell ref="H6:I6"/>
    <mergeCell ref="J6:K6"/>
    <mergeCell ref="L6:N6"/>
    <mergeCell ref="B7:C7"/>
    <mergeCell ref="D7:E7"/>
    <mergeCell ref="F7:G7"/>
    <mergeCell ref="H7:I7"/>
    <mergeCell ref="J7:K7"/>
    <mergeCell ref="L7:N7"/>
    <mergeCell ref="B26:E26"/>
    <mergeCell ref="F26:H26"/>
    <mergeCell ref="B27:E27"/>
    <mergeCell ref="F27:H27"/>
    <mergeCell ref="B28:E28"/>
    <mergeCell ref="F28:H28"/>
    <mergeCell ref="B29:E29"/>
    <mergeCell ref="F29:H29"/>
    <mergeCell ref="B30:E30"/>
    <mergeCell ref="F30:H30"/>
  </mergeCells>
  <conditionalFormatting sqref="F26:F29">
    <cfRule type="expression" priority="2" aboveAverage="0" equalAverage="0" bottom="0" percent="0" rank="0" text="" dxfId="1">
      <formula>AND(F26&lt;&gt;"OK",F26&lt;&gt;"-")</formula>
    </cfRule>
  </conditionalFormatting>
  <conditionalFormatting sqref="L7">
    <cfRule type="expression" priority="3" aboveAverage="0" equalAverage="0" bottom="0" percent="0" rank="0" text="" dxfId="1">
      <formula>L7&lt;&gt;"ALL CHECKS OK"</formula>
    </cfRule>
    <cfRule type="expression" priority="4" aboveAverage="0" equalAverage="0" bottom="0" percent="0" rank="0" text="" dxfId="0">
      <formula>L7="ALL CHECKS OK"</formula>
    </cfRule>
  </conditionalFormatting>
  <dataValidations count="1">
    <dataValidation allowBlank="true" error="Pick a value from the list." errorStyle="stop" operator="between" prompt="Pick the Monday the week starts on." showDropDown="false" showErrorMessage="true" showInputMessage="true" sqref="C4" type="list">
      <formula1>WeekStarts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4" min="3" style="0" width="18"/>
    <col collapsed="false" customWidth="true" hidden="false" outlineLevel="0" max="5" min="5" style="0" width="26"/>
    <col collapsed="false" customWidth="true" hidden="false" outlineLevel="0" max="6" min="6" style="0" width="4"/>
  </cols>
  <sheetData>
    <row r="1" customFormat="false" ht="24" hidden="false" customHeight="true" outlineLevel="0" collapsed="false">
      <c r="A1" s="1" t="s">
        <v>98</v>
      </c>
    </row>
    <row r="2" customFormat="false" ht="15" hidden="false" customHeight="false" outlineLevel="0" collapsed="false">
      <c r="A2" s="2" t="s">
        <v>99</v>
      </c>
    </row>
    <row r="4" customFormat="false" ht="15" hidden="false" customHeight="false" outlineLevel="0" collapsed="false">
      <c r="B4" s="3" t="s">
        <v>100</v>
      </c>
      <c r="C4" s="25" t="n">
        <v>46286</v>
      </c>
    </row>
    <row r="5" customFormat="false" ht="15" hidden="false" customHeight="false" outlineLevel="0" collapsed="false">
      <c r="B5" s="3" t="s">
        <v>62</v>
      </c>
      <c r="C5" s="20" t="str">
        <f aca="false">Workers!$B$5</f>
        <v>Worker 1</v>
      </c>
      <c r="D5" s="2" t="str">
        <f aca="false">IFERROR(INDEX(WorkerIDs,MATCH($C$5,WorkerNames,0)),"unknown worker")</f>
        <v>W01</v>
      </c>
    </row>
    <row r="7" customFormat="false" ht="17.35" hidden="false" customHeight="false" outlineLevel="0" collapsed="false">
      <c r="B7" s="50" t="s">
        <v>101</v>
      </c>
    </row>
    <row r="8" customFormat="false" ht="15" hidden="false" customHeight="false" outlineLevel="0" collapsed="false">
      <c r="B8" s="3" t="str">
        <f aca="false">$C$5</f>
        <v>Worker 1</v>
      </c>
      <c r="C8" s="51" t="n">
        <f aca="false">$C$4</f>
        <v>46286</v>
      </c>
      <c r="D8" s="32" t="n">
        <f aca="false">$C$4+6</f>
        <v>46292</v>
      </c>
    </row>
    <row r="10" customFormat="false" ht="15" hidden="false" customHeight="false" outlineLevel="0" collapsed="false">
      <c r="B10" s="52" t="s">
        <v>102</v>
      </c>
      <c r="C10" s="53" t="n">
        <f aca="false">IFERROR(INDEX(Weeks!$F$6:$F$58,MATCH($C$4,Weeks!$A$6:$A$58,0)),0)</f>
        <v>0</v>
      </c>
    </row>
    <row r="11" customFormat="false" ht="15" hidden="false" customHeight="false" outlineLevel="0" collapsed="false">
      <c r="B11" s="52" t="s">
        <v>103</v>
      </c>
      <c r="C11" s="17" t="n">
        <f aca="false">IFERROR(INDEX(Weeks!$G$6:$G$58,MATCH($C$4,Weeks!$A$6:$A$58,0)),0)</f>
        <v>0</v>
      </c>
    </row>
    <row r="12" customFormat="false" ht="15" hidden="false" customHeight="false" outlineLevel="0" collapsed="false">
      <c r="B12" s="52" t="s">
        <v>104</v>
      </c>
      <c r="C12" s="54" t="n">
        <f aca="false">IFERROR(INDEX(Weeks!$H$6:$H$58,MATCH($C$4,Weeks!$A$6:$A$58,0)),0)</f>
        <v>0</v>
      </c>
    </row>
    <row r="13" customFormat="false" ht="15" hidden="false" customHeight="false" outlineLevel="0" collapsed="false">
      <c r="B13" s="52" t="s">
        <v>105</v>
      </c>
      <c r="C13" s="54" t="n">
        <f aca="false">IFERROR(INDEX(Weeks!$N$6:$Y$58,MATCH($C$4,Weeks!$A$6:$A$58,0),MATCH($D$5,Weeks!$N$4:$Y$4,0)),0)</f>
        <v>0</v>
      </c>
    </row>
    <row r="14" customFormat="false" ht="15" hidden="false" customHeight="false" outlineLevel="0" collapsed="false">
      <c r="B14" s="52" t="s">
        <v>106</v>
      </c>
      <c r="C14" s="55" t="n">
        <f aca="false">IF(N($C$12)=0,0,$C$13/$C$12)</f>
        <v>0</v>
      </c>
    </row>
    <row r="16" customFormat="false" ht="15" hidden="false" customHeight="false" outlineLevel="0" collapsed="false">
      <c r="B16" s="3" t="s">
        <v>81</v>
      </c>
      <c r="C16" s="17" t="n">
        <f aca="false">IFERROR(INDEX(Weeks!$Z$6:$AK$58,MATCH($C$4,Weeks!$A$6:$A$58,0),MATCH($D$5,Weeks!$Z$4:$AK$4,0)),0)</f>
        <v>0</v>
      </c>
    </row>
    <row r="17" customFormat="false" ht="15" hidden="false" customHeight="false" outlineLevel="0" collapsed="false">
      <c r="B17" s="52" t="s">
        <v>107</v>
      </c>
      <c r="C17" s="29" t="n">
        <f aca="false">SUMPRODUCT((Weeks!$A$6:$A$58&lt;$C$4)*(Weeks!$Z$4:$AK$4=$D$5)*Weeks!$Z$6:$AK$58)-SUMIFS('Cash Ledger'!$E$6:$E$1005,'Cash Ledger'!$I$6:$I$1005,$D$5,'Cash Ledger'!$B$6:$B$1005,"&lt;"&amp;$C$4)</f>
        <v>0</v>
      </c>
    </row>
    <row r="18" customFormat="false" ht="15" hidden="false" customHeight="false" outlineLevel="0" collapsed="false">
      <c r="B18" s="52" t="s">
        <v>108</v>
      </c>
      <c r="C18" s="29" t="n">
        <f aca="false">-SUMIFS('Cash Ledger'!$E$6:$E$1005,'Cash Ledger'!$I$6:$I$1005,$D$5,'Cash Ledger'!$D$6:$D$1005,"Advance",'Cash Ledger'!$B$6:$B$1005,"&gt;="&amp;$C$4,'Cash Ledger'!$B$6:$B$1005,"&lt;="&amp;($C$4+6))</f>
        <v>-0</v>
      </c>
    </row>
    <row r="19" customFormat="false" ht="15" hidden="false" customHeight="false" outlineLevel="0" collapsed="false">
      <c r="B19" s="52" t="s">
        <v>109</v>
      </c>
      <c r="C19" s="29" t="n">
        <f aca="false">-SUMIFS('Cash Ledger'!$E$6:$E$1005,'Cash Ledger'!$I$6:$I$1005,$D$5,'Cash Ledger'!$D$6:$D$1005,"Correction",'Cash Ledger'!$B$6:$B$1005,"&gt;="&amp;$C$4,'Cash Ledger'!$B$6:$B$1005,"&lt;="&amp;($C$4+6))</f>
        <v>-0</v>
      </c>
    </row>
    <row r="20" customFormat="false" ht="15" hidden="false" customHeight="false" outlineLevel="0" collapsed="false">
      <c r="B20" s="3" t="s">
        <v>83</v>
      </c>
      <c r="C20" s="56" t="n">
        <f aca="false">$C$16+$C$17+$C$18+$C$19</f>
        <v>0</v>
      </c>
    </row>
    <row r="22" customFormat="false" ht="15" hidden="false" customHeight="false" outlineLevel="0" collapsed="false">
      <c r="B22" s="3" t="s">
        <v>110</v>
      </c>
      <c r="C22" s="57" t="n">
        <f aca="false">ROUND(MAX(0,IF($C$17&gt;=0,$C$20,$C$16+$C$18+$C$19-MIN(-$C$17,DebtCap*$C$16))),0)</f>
        <v>0</v>
      </c>
    </row>
    <row r="23" customFormat="false" ht="15" hidden="false" customHeight="false" outlineLevel="0" collapsed="false">
      <c r="B23" s="52" t="s">
        <v>111</v>
      </c>
      <c r="C23" s="17" t="n">
        <f aca="false">SUMIFS('Cash Ledger'!$E$6:$E$1005,'Cash Ledger'!$I$6:$I$1005,$D$5,'Cash Ledger'!$D$6:$D$1005,"Weekly pay",'Cash Ledger'!$B$6:$B$1005,"&gt;="&amp;$C$4,'Cash Ledger'!$B$6:$B$1005,"&lt;="&amp;($C$4+6))</f>
        <v>0</v>
      </c>
    </row>
    <row r="24" customFormat="false" ht="15" hidden="false" customHeight="false" outlineLevel="0" collapsed="false">
      <c r="B24" s="3" t="s">
        <v>112</v>
      </c>
      <c r="C24" s="56" t="n">
        <f aca="false">$C$20-$C$23</f>
        <v>0</v>
      </c>
      <c r="D24" s="2" t="str">
        <f aca="false">IF(ROUND($C$24,0)&lt;0,"you owe the workshop "&amp;ROUND(-$C$24,0)&amp;" so'm",IF(ROUND($C$24,0)&gt;0,"the workshop owes you "&amp;ROUND($C$24,0)&amp;" so'm","settled"))</f>
        <v>settled</v>
      </c>
    </row>
    <row r="26" customFormat="false" ht="15" hidden="false" customHeight="false" outlineLevel="0" collapsed="false">
      <c r="B26" s="5" t="s">
        <v>113</v>
      </c>
    </row>
    <row r="27" customFormat="false" ht="19.5" hidden="false" customHeight="true" outlineLevel="0" collapsed="false">
      <c r="B27" s="9" t="s">
        <v>43</v>
      </c>
      <c r="C27" s="9" t="s">
        <v>64</v>
      </c>
      <c r="D27" s="9" t="s">
        <v>65</v>
      </c>
    </row>
    <row r="28" customFormat="false" ht="15" hidden="false" customHeight="false" outlineLevel="0" collapsed="false">
      <c r="B28" s="58" t="str">
        <f aca="false">IFERROR(INDEX('Cash Ledger'!$B$6:$B$1005,MATCH($D$5&amp;"|"&amp;$C$4&amp;"|"&amp;1,'Cash Ledger'!$K$6:$K$1005,0)),"")</f>
        <v/>
      </c>
      <c r="C28" s="59" t="str">
        <f aca="false">IFERROR(INDEX('Cash Ledger'!$E$6:$E$1005,MATCH($D$5&amp;"|"&amp;$C$4&amp;"|"&amp;1,'Cash Ledger'!$K$6:$K$1005,0)),"")</f>
        <v/>
      </c>
      <c r="D28" s="60" t="str">
        <f aca="false">IFERROR(INDEX('Cash Ledger'!$F$6:$F$1005,MATCH($D$5&amp;"|"&amp;$C$4&amp;"|"&amp;1,'Cash Ledger'!$K$6:$K$1005,0)),"")</f>
        <v/>
      </c>
      <c r="E28" s="60"/>
    </row>
    <row r="29" customFormat="false" ht="15" hidden="false" customHeight="false" outlineLevel="0" collapsed="false">
      <c r="B29" s="58" t="str">
        <f aca="false">IFERROR(INDEX('Cash Ledger'!$B$6:$B$1005,MATCH($D$5&amp;"|"&amp;$C$4&amp;"|"&amp;2,'Cash Ledger'!$K$6:$K$1005,0)),"")</f>
        <v/>
      </c>
      <c r="C29" s="59" t="str">
        <f aca="false">IFERROR(INDEX('Cash Ledger'!$E$6:$E$1005,MATCH($D$5&amp;"|"&amp;$C$4&amp;"|"&amp;2,'Cash Ledger'!$K$6:$K$1005,0)),"")</f>
        <v/>
      </c>
      <c r="D29" s="60" t="str">
        <f aca="false">IFERROR(INDEX('Cash Ledger'!$F$6:$F$1005,MATCH($D$5&amp;"|"&amp;$C$4&amp;"|"&amp;2,'Cash Ledger'!$K$6:$K$1005,0)),"")</f>
        <v/>
      </c>
      <c r="E29" s="60"/>
    </row>
    <row r="30" customFormat="false" ht="15" hidden="false" customHeight="false" outlineLevel="0" collapsed="false">
      <c r="B30" s="58" t="str">
        <f aca="false">IFERROR(INDEX('Cash Ledger'!$B$6:$B$1005,MATCH($D$5&amp;"|"&amp;$C$4&amp;"|"&amp;3,'Cash Ledger'!$K$6:$K$1005,0)),"")</f>
        <v/>
      </c>
      <c r="C30" s="59" t="str">
        <f aca="false">IFERROR(INDEX('Cash Ledger'!$E$6:$E$1005,MATCH($D$5&amp;"|"&amp;$C$4&amp;"|"&amp;3,'Cash Ledger'!$K$6:$K$1005,0)),"")</f>
        <v/>
      </c>
      <c r="D30" s="60" t="str">
        <f aca="false">IFERROR(INDEX('Cash Ledger'!$F$6:$F$1005,MATCH($D$5&amp;"|"&amp;$C$4&amp;"|"&amp;3,'Cash Ledger'!$K$6:$K$1005,0)),"")</f>
        <v/>
      </c>
      <c r="E30" s="60"/>
    </row>
    <row r="31" customFormat="false" ht="15" hidden="false" customHeight="false" outlineLevel="0" collapsed="false">
      <c r="B31" s="58" t="str">
        <f aca="false">IFERROR(INDEX('Cash Ledger'!$B$6:$B$1005,MATCH($D$5&amp;"|"&amp;$C$4&amp;"|"&amp;4,'Cash Ledger'!$K$6:$K$1005,0)),"")</f>
        <v/>
      </c>
      <c r="C31" s="59" t="str">
        <f aca="false">IFERROR(INDEX('Cash Ledger'!$E$6:$E$1005,MATCH($D$5&amp;"|"&amp;$C$4&amp;"|"&amp;4,'Cash Ledger'!$K$6:$K$1005,0)),"")</f>
        <v/>
      </c>
      <c r="D31" s="60" t="str">
        <f aca="false">IFERROR(INDEX('Cash Ledger'!$F$6:$F$1005,MATCH($D$5&amp;"|"&amp;$C$4&amp;"|"&amp;4,'Cash Ledger'!$K$6:$K$1005,0)),"")</f>
        <v/>
      </c>
      <c r="E31" s="60"/>
    </row>
    <row r="32" customFormat="false" ht="15" hidden="false" customHeight="false" outlineLevel="0" collapsed="false">
      <c r="B32" s="58" t="str">
        <f aca="false">IFERROR(INDEX('Cash Ledger'!$B$6:$B$1005,MATCH($D$5&amp;"|"&amp;$C$4&amp;"|"&amp;5,'Cash Ledger'!$K$6:$K$1005,0)),"")</f>
        <v/>
      </c>
      <c r="C32" s="59" t="str">
        <f aca="false">IFERROR(INDEX('Cash Ledger'!$E$6:$E$1005,MATCH($D$5&amp;"|"&amp;$C$4&amp;"|"&amp;5,'Cash Ledger'!$K$6:$K$1005,0)),"")</f>
        <v/>
      </c>
      <c r="D32" s="60" t="str">
        <f aca="false">IFERROR(INDEX('Cash Ledger'!$F$6:$F$1005,MATCH($D$5&amp;"|"&amp;$C$4&amp;"|"&amp;5,'Cash Ledger'!$K$6:$K$1005,0)),"")</f>
        <v/>
      </c>
      <c r="E32" s="60"/>
    </row>
    <row r="33" customFormat="false" ht="15" hidden="false" customHeight="false" outlineLevel="0" collapsed="false">
      <c r="B33" s="58" t="str">
        <f aca="false">IFERROR(INDEX('Cash Ledger'!$B$6:$B$1005,MATCH($D$5&amp;"|"&amp;$C$4&amp;"|"&amp;6,'Cash Ledger'!$K$6:$K$1005,0)),"")</f>
        <v/>
      </c>
      <c r="C33" s="59" t="str">
        <f aca="false">IFERROR(INDEX('Cash Ledger'!$E$6:$E$1005,MATCH($D$5&amp;"|"&amp;$C$4&amp;"|"&amp;6,'Cash Ledger'!$K$6:$K$1005,0)),"")</f>
        <v/>
      </c>
      <c r="D33" s="60" t="str">
        <f aca="false">IFERROR(INDEX('Cash Ledger'!$F$6:$F$1005,MATCH($D$5&amp;"|"&amp;$C$4&amp;"|"&amp;6,'Cash Ledger'!$K$6:$K$1005,0)),"")</f>
        <v/>
      </c>
      <c r="E33" s="60"/>
    </row>
    <row r="34" customFormat="false" ht="15" hidden="false" customHeight="false" outlineLevel="0" collapsed="false">
      <c r="B34" s="58" t="str">
        <f aca="false">IFERROR(INDEX('Cash Ledger'!$B$6:$B$1005,MATCH($D$5&amp;"|"&amp;$C$4&amp;"|"&amp;7,'Cash Ledger'!$K$6:$K$1005,0)),"")</f>
        <v/>
      </c>
      <c r="C34" s="59" t="str">
        <f aca="false">IFERROR(INDEX('Cash Ledger'!$E$6:$E$1005,MATCH($D$5&amp;"|"&amp;$C$4&amp;"|"&amp;7,'Cash Ledger'!$K$6:$K$1005,0)),"")</f>
        <v/>
      </c>
      <c r="D34" s="60" t="str">
        <f aca="false">IFERROR(INDEX('Cash Ledger'!$F$6:$F$1005,MATCH($D$5&amp;"|"&amp;$C$4&amp;"|"&amp;7,'Cash Ledger'!$K$6:$K$1005,0)),"")</f>
        <v/>
      </c>
      <c r="E34" s="60"/>
    </row>
    <row r="35" customFormat="false" ht="15" hidden="false" customHeight="false" outlineLevel="0" collapsed="false">
      <c r="B35" s="58" t="str">
        <f aca="false">IFERROR(INDEX('Cash Ledger'!$B$6:$B$1005,MATCH($D$5&amp;"|"&amp;$C$4&amp;"|"&amp;8,'Cash Ledger'!$K$6:$K$1005,0)),"")</f>
        <v/>
      </c>
      <c r="C35" s="59" t="str">
        <f aca="false">IFERROR(INDEX('Cash Ledger'!$E$6:$E$1005,MATCH($D$5&amp;"|"&amp;$C$4&amp;"|"&amp;8,'Cash Ledger'!$K$6:$K$1005,0)),"")</f>
        <v/>
      </c>
      <c r="D35" s="60" t="str">
        <f aca="false">IFERROR(INDEX('Cash Ledger'!$F$6:$F$1005,MATCH($D$5&amp;"|"&amp;$C$4&amp;"|"&amp;8,'Cash Ledger'!$K$6:$K$1005,0)),"")</f>
        <v/>
      </c>
      <c r="E35" s="60"/>
    </row>
    <row r="36" customFormat="false" ht="15" hidden="false" customHeight="false" outlineLevel="0" collapsed="false">
      <c r="B36" s="58" t="str">
        <f aca="false">IFERROR(INDEX('Cash Ledger'!$B$6:$B$1005,MATCH($D$5&amp;"|"&amp;$C$4&amp;"|"&amp;9,'Cash Ledger'!$K$6:$K$1005,0)),"")</f>
        <v/>
      </c>
      <c r="C36" s="59" t="str">
        <f aca="false">IFERROR(INDEX('Cash Ledger'!$E$6:$E$1005,MATCH($D$5&amp;"|"&amp;$C$4&amp;"|"&amp;9,'Cash Ledger'!$K$6:$K$1005,0)),"")</f>
        <v/>
      </c>
      <c r="D36" s="60" t="str">
        <f aca="false">IFERROR(INDEX('Cash Ledger'!$F$6:$F$1005,MATCH($D$5&amp;"|"&amp;$C$4&amp;"|"&amp;9,'Cash Ledger'!$K$6:$K$1005,0)),"")</f>
        <v/>
      </c>
      <c r="E36" s="60"/>
    </row>
    <row r="37" customFormat="false" ht="15" hidden="false" customHeight="false" outlineLevel="0" collapsed="false">
      <c r="B37" s="58" t="str">
        <f aca="false">IFERROR(INDEX('Cash Ledger'!$B$6:$B$1005,MATCH($D$5&amp;"|"&amp;$C$4&amp;"|"&amp;10,'Cash Ledger'!$K$6:$K$1005,0)),"")</f>
        <v/>
      </c>
      <c r="C37" s="59" t="str">
        <f aca="false">IFERROR(INDEX('Cash Ledger'!$E$6:$E$1005,MATCH($D$5&amp;"|"&amp;$C$4&amp;"|"&amp;10,'Cash Ledger'!$K$6:$K$1005,0)),"")</f>
        <v/>
      </c>
      <c r="D37" s="60" t="str">
        <f aca="false">IFERROR(INDEX('Cash Ledger'!$F$6:$F$1005,MATCH($D$5&amp;"|"&amp;$C$4&amp;"|"&amp;10,'Cash Ledger'!$K$6:$K$1005,0)),"")</f>
        <v/>
      </c>
      <c r="E37" s="60"/>
    </row>
    <row r="38" customFormat="false" ht="15" hidden="false" customHeight="false" outlineLevel="0" collapsed="false">
      <c r="B38" s="2" t="str">
        <f aca="false">IF(COUNTIFS('Cash Ledger'!$I$6:$I$1005,$D$5,'Cash Ledger'!$D$6:$D$1005,"Advance",'Cash Ledger'!$B$6:$B$1005,"&gt;="&amp;$C$4,'Cash Ledger'!$B$6:$B$1005,"&lt;="&amp;($C$4+6))&gt;10,"More advances than fit here - see the Cash Ledger","")</f>
        <v/>
      </c>
    </row>
    <row r="40" customFormat="false" ht="15" hidden="false" customHeight="false" outlineLevel="0" collapsed="false">
      <c r="B40" s="52" t="s">
        <v>114</v>
      </c>
      <c r="C40" s="61"/>
      <c r="D40" s="61"/>
      <c r="E40" s="61"/>
    </row>
    <row r="42" customFormat="false" ht="15" hidden="false" customHeight="false" outlineLevel="0" collapsed="false">
      <c r="B42" s="52" t="s">
        <v>115</v>
      </c>
      <c r="C42" s="61"/>
      <c r="D42" s="61"/>
      <c r="E42" s="61"/>
    </row>
    <row r="44" customFormat="false" ht="15" hidden="false" customHeight="false" outlineLevel="0" collapsed="false">
      <c r="B44" s="52" t="s">
        <v>116</v>
      </c>
      <c r="C44" s="61"/>
      <c r="D44" s="61"/>
      <c r="E44" s="61"/>
    </row>
  </sheetData>
  <mergeCells count="13"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C40:E40"/>
    <mergeCell ref="C42:E42"/>
    <mergeCell ref="C44:E44"/>
  </mergeCells>
  <dataValidations count="2">
    <dataValidation allowBlank="true" error="Pick a value from the list." errorStyle="stop" operator="between" showDropDown="false" showErrorMessage="true" showInputMessage="false" sqref="C4" type="list">
      <formula1>WeekStarts</formula1>
      <formula2>0</formula2>
    </dataValidation>
    <dataValidation allowBlank="true" error="Pick a value from the list." errorStyle="stop" operator="between" showDropDown="false" showErrorMessage="true" showInputMessage="false" sqref="C5" type="list">
      <formula1>WorkerNames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30"/>
  </cols>
  <sheetData>
    <row r="1" customFormat="false" ht="24" hidden="false" customHeight="tru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15" hidden="false" customHeight="false" outlineLevel="0" collapsed="false">
      <c r="B4" s="3" t="s">
        <v>62</v>
      </c>
      <c r="C4" s="20" t="str">
        <f aca="false">Workers!$B$5</f>
        <v>Worker 1</v>
      </c>
      <c r="D4" s="2" t="str">
        <f aca="false">IFERROR(INDEX(WorkerIDs,MATCH($C$4,WorkerNames,0)),"unknown worker")</f>
        <v>W01</v>
      </c>
    </row>
    <row r="5" customFormat="false" ht="15" hidden="false" customHeight="false" outlineLevel="0" collapsed="false">
      <c r="G5" s="62" t="s">
        <v>119</v>
      </c>
    </row>
    <row r="6" customFormat="false" ht="30" hidden="false" customHeight="true" outlineLevel="0" collapsed="false">
      <c r="A6" s="9" t="s">
        <v>53</v>
      </c>
      <c r="B6" s="9" t="s">
        <v>79</v>
      </c>
      <c r="C6" s="9" t="s">
        <v>120</v>
      </c>
      <c r="D6" s="9" t="s">
        <v>58</v>
      </c>
      <c r="E6" s="9" t="s">
        <v>60</v>
      </c>
      <c r="F6" s="9" t="s">
        <v>59</v>
      </c>
      <c r="G6" s="9" t="s">
        <v>121</v>
      </c>
      <c r="H6" s="9" t="s">
        <v>122</v>
      </c>
    </row>
    <row r="7" customFormat="false" ht="15" hidden="false" customHeight="false" outlineLevel="0" collapsed="false">
      <c r="A7" s="10" t="n">
        <f aca="false">Weeks!$A$6</f>
        <v>46286</v>
      </c>
      <c r="B7" s="15" t="n">
        <f aca="true">IF($A7&gt;TODAY(),"",IFERROR(INDEX(Weeks!$N$6:$Y$58,MATCH($A7,Weeks!$A$6:$A$58,0),MATCH($D$4,Weeks!$N$4:$Y$4,0)),0))</f>
        <v>0</v>
      </c>
      <c r="C7" s="17" t="n">
        <f aca="true">IF($A7&gt;TODAY(),"",IFERROR(INDEX(Weeks!$Z$6:$AK$58,MATCH($A7,Weeks!$A$6:$A$58,0),MATCH($D$4,Weeks!$Z$4:$AK$4,0)),0))</f>
        <v>0</v>
      </c>
      <c r="D7" s="17" t="n">
        <f aca="true">IF($A7&gt;TODAY(),"",SUMIFS('Cash Ledger'!$E$6:$E$1005,'Cash Ledger'!$I$6:$I$1005,$D$4,'Cash Ledger'!$D$6:$D$1005,"Advance",'Cash Ledger'!$B$6:$B$1005,"&gt;="&amp;$A7,'Cash Ledger'!$B$6:$B$1005,"&lt;="&amp;($A7+6)))</f>
        <v>0</v>
      </c>
      <c r="E7" s="29" t="n">
        <f aca="true">IF($A7&gt;TODAY(),"",SUMIFS('Cash Ledger'!$E$6:$E$1005,'Cash Ledger'!$I$6:$I$1005,$D$4,'Cash Ledger'!$D$6:$D$1005,"Correction",'Cash Ledger'!$B$6:$B$1005,"&gt;="&amp;$A7,'Cash Ledger'!$B$6:$B$1005,"&lt;="&amp;($A7+6)))</f>
        <v>0</v>
      </c>
      <c r="F7" s="17" t="n">
        <f aca="true">IF($A7&gt;TODAY(),"",SUMIFS('Cash Ledger'!$E$6:$E$1005,'Cash Ledger'!$I$6:$I$1005,$D$4,'Cash Ledger'!$D$6:$D$1005,"Weekly pay",'Cash Ledger'!$B$6:$B$1005,"&gt;="&amp;$A7,'Cash Ledger'!$B$6:$B$1005,"&lt;="&amp;($A7+6)))</f>
        <v>0</v>
      </c>
      <c r="G7" s="56" t="n">
        <f aca="true">IF($A7&gt;TODAY(),"",SUMPRODUCT((Weeks!$A$6:$A$58&lt;=$A7)*(Weeks!$Z$4:$AK$4=$D$4)*Weeks!$Z$6:$AK$58)-SUMIFS('Cash Ledger'!$E$6:$E$1005,'Cash Ledger'!$I$6:$I$1005,$D$4,'Cash Ledger'!$B$6:$B$1005,"&lt;="&amp;($A7+6)))</f>
        <v>0</v>
      </c>
      <c r="H7" s="19" t="str">
        <f aca="true">IF(OR($A7&gt;TODAY(),$G7=""),"",IF(ROUND($G7,0)&lt;0,"owes you",IF(ROUND($G7,0)&gt;0,"you owe","settled")))</f>
        <v>settled</v>
      </c>
    </row>
    <row r="8" customFormat="false" ht="15" hidden="false" customHeight="false" outlineLevel="0" collapsed="false">
      <c r="A8" s="10" t="n">
        <f aca="false">Weeks!$A$7</f>
        <v>46293</v>
      </c>
      <c r="B8" s="15" t="str">
        <f aca="true">IF($A8&gt;TODAY(),"",IFERROR(INDEX(Weeks!$N$6:$Y$58,MATCH($A8,Weeks!$A$6:$A$58,0),MATCH($D$4,Weeks!$N$4:$Y$4,0)),0))</f>
        <v/>
      </c>
      <c r="C8" s="17" t="str">
        <f aca="true">IF($A8&gt;TODAY(),"",IFERROR(INDEX(Weeks!$Z$6:$AK$58,MATCH($A8,Weeks!$A$6:$A$58,0),MATCH($D$4,Weeks!$Z$4:$AK$4,0)),0))</f>
        <v/>
      </c>
      <c r="D8" s="17" t="str">
        <f aca="true">IF($A8&gt;TODAY(),"",SUMIFS('Cash Ledger'!$E$6:$E$1005,'Cash Ledger'!$I$6:$I$1005,$D$4,'Cash Ledger'!$D$6:$D$1005,"Advance",'Cash Ledger'!$B$6:$B$1005,"&gt;="&amp;$A8,'Cash Ledger'!$B$6:$B$1005,"&lt;="&amp;($A8+6)))</f>
        <v/>
      </c>
      <c r="E8" s="29" t="str">
        <f aca="true">IF($A8&gt;TODAY(),"",SUMIFS('Cash Ledger'!$E$6:$E$1005,'Cash Ledger'!$I$6:$I$1005,$D$4,'Cash Ledger'!$D$6:$D$1005,"Correction",'Cash Ledger'!$B$6:$B$1005,"&gt;="&amp;$A8,'Cash Ledger'!$B$6:$B$1005,"&lt;="&amp;($A8+6)))</f>
        <v/>
      </c>
      <c r="F8" s="17" t="str">
        <f aca="true">IF($A8&gt;TODAY(),"",SUMIFS('Cash Ledger'!$E$6:$E$1005,'Cash Ledger'!$I$6:$I$1005,$D$4,'Cash Ledger'!$D$6:$D$1005,"Weekly pay",'Cash Ledger'!$B$6:$B$1005,"&gt;="&amp;$A8,'Cash Ledger'!$B$6:$B$1005,"&lt;="&amp;($A8+6)))</f>
        <v/>
      </c>
      <c r="G8" s="56" t="str">
        <f aca="true">IF($A8&gt;TODAY(),"",SUMPRODUCT((Weeks!$A$6:$A$58&lt;=$A8)*(Weeks!$Z$4:$AK$4=$D$4)*Weeks!$Z$6:$AK$58)-SUMIFS('Cash Ledger'!$E$6:$E$1005,'Cash Ledger'!$I$6:$I$1005,$D$4,'Cash Ledger'!$B$6:$B$1005,"&lt;="&amp;($A8+6)))</f>
        <v/>
      </c>
      <c r="H8" s="19" t="str">
        <f aca="true">IF(OR($A8&gt;TODAY(),$G8=""),"",IF(ROUND($G8,0)&lt;0,"owes you",IF(ROUND($G8,0)&gt;0,"you owe","settled")))</f>
        <v/>
      </c>
    </row>
    <row r="9" customFormat="false" ht="15" hidden="false" customHeight="false" outlineLevel="0" collapsed="false">
      <c r="A9" s="10" t="n">
        <f aca="false">Weeks!$A$8</f>
        <v>46300</v>
      </c>
      <c r="B9" s="15" t="str">
        <f aca="true">IF($A9&gt;TODAY(),"",IFERROR(INDEX(Weeks!$N$6:$Y$58,MATCH($A9,Weeks!$A$6:$A$58,0),MATCH($D$4,Weeks!$N$4:$Y$4,0)),0))</f>
        <v/>
      </c>
      <c r="C9" s="17" t="str">
        <f aca="true">IF($A9&gt;TODAY(),"",IFERROR(INDEX(Weeks!$Z$6:$AK$58,MATCH($A9,Weeks!$A$6:$A$58,0),MATCH($D$4,Weeks!$Z$4:$AK$4,0)),0))</f>
        <v/>
      </c>
      <c r="D9" s="17" t="str">
        <f aca="true">IF($A9&gt;TODAY(),"",SUMIFS('Cash Ledger'!$E$6:$E$1005,'Cash Ledger'!$I$6:$I$1005,$D$4,'Cash Ledger'!$D$6:$D$1005,"Advance",'Cash Ledger'!$B$6:$B$1005,"&gt;="&amp;$A9,'Cash Ledger'!$B$6:$B$1005,"&lt;="&amp;($A9+6)))</f>
        <v/>
      </c>
      <c r="E9" s="29" t="str">
        <f aca="true">IF($A9&gt;TODAY(),"",SUMIFS('Cash Ledger'!$E$6:$E$1005,'Cash Ledger'!$I$6:$I$1005,$D$4,'Cash Ledger'!$D$6:$D$1005,"Correction",'Cash Ledger'!$B$6:$B$1005,"&gt;="&amp;$A9,'Cash Ledger'!$B$6:$B$1005,"&lt;="&amp;($A9+6)))</f>
        <v/>
      </c>
      <c r="F9" s="17" t="str">
        <f aca="true">IF($A9&gt;TODAY(),"",SUMIFS('Cash Ledger'!$E$6:$E$1005,'Cash Ledger'!$I$6:$I$1005,$D$4,'Cash Ledger'!$D$6:$D$1005,"Weekly pay",'Cash Ledger'!$B$6:$B$1005,"&gt;="&amp;$A9,'Cash Ledger'!$B$6:$B$1005,"&lt;="&amp;($A9+6)))</f>
        <v/>
      </c>
      <c r="G9" s="56" t="str">
        <f aca="true">IF($A9&gt;TODAY(),"",SUMPRODUCT((Weeks!$A$6:$A$58&lt;=$A9)*(Weeks!$Z$4:$AK$4=$D$4)*Weeks!$Z$6:$AK$58)-SUMIFS('Cash Ledger'!$E$6:$E$1005,'Cash Ledger'!$I$6:$I$1005,$D$4,'Cash Ledger'!$B$6:$B$1005,"&lt;="&amp;($A9+6)))</f>
        <v/>
      </c>
      <c r="H9" s="19" t="str">
        <f aca="true">IF(OR($A9&gt;TODAY(),$G9=""),"",IF(ROUND($G9,0)&lt;0,"owes you",IF(ROUND($G9,0)&gt;0,"you owe","settled")))</f>
        <v/>
      </c>
    </row>
    <row r="10" customFormat="false" ht="15" hidden="false" customHeight="false" outlineLevel="0" collapsed="false">
      <c r="A10" s="10" t="n">
        <f aca="false">Weeks!$A$9</f>
        <v>46307</v>
      </c>
      <c r="B10" s="15" t="str">
        <f aca="true">IF($A10&gt;TODAY(),"",IFERROR(INDEX(Weeks!$N$6:$Y$58,MATCH($A10,Weeks!$A$6:$A$58,0),MATCH($D$4,Weeks!$N$4:$Y$4,0)),0))</f>
        <v/>
      </c>
      <c r="C10" s="17" t="str">
        <f aca="true">IF($A10&gt;TODAY(),"",IFERROR(INDEX(Weeks!$Z$6:$AK$58,MATCH($A10,Weeks!$A$6:$A$58,0),MATCH($D$4,Weeks!$Z$4:$AK$4,0)),0))</f>
        <v/>
      </c>
      <c r="D10" s="17" t="str">
        <f aca="true">IF($A10&gt;TODAY(),"",SUMIFS('Cash Ledger'!$E$6:$E$1005,'Cash Ledger'!$I$6:$I$1005,$D$4,'Cash Ledger'!$D$6:$D$1005,"Advance",'Cash Ledger'!$B$6:$B$1005,"&gt;="&amp;$A10,'Cash Ledger'!$B$6:$B$1005,"&lt;="&amp;($A10+6)))</f>
        <v/>
      </c>
      <c r="E10" s="29" t="str">
        <f aca="true">IF($A10&gt;TODAY(),"",SUMIFS('Cash Ledger'!$E$6:$E$1005,'Cash Ledger'!$I$6:$I$1005,$D$4,'Cash Ledger'!$D$6:$D$1005,"Correction",'Cash Ledger'!$B$6:$B$1005,"&gt;="&amp;$A10,'Cash Ledger'!$B$6:$B$1005,"&lt;="&amp;($A10+6)))</f>
        <v/>
      </c>
      <c r="F10" s="17" t="str">
        <f aca="true">IF($A10&gt;TODAY(),"",SUMIFS('Cash Ledger'!$E$6:$E$1005,'Cash Ledger'!$I$6:$I$1005,$D$4,'Cash Ledger'!$D$6:$D$1005,"Weekly pay",'Cash Ledger'!$B$6:$B$1005,"&gt;="&amp;$A10,'Cash Ledger'!$B$6:$B$1005,"&lt;="&amp;($A10+6)))</f>
        <v/>
      </c>
      <c r="G10" s="56" t="str">
        <f aca="true">IF($A10&gt;TODAY(),"",SUMPRODUCT((Weeks!$A$6:$A$58&lt;=$A10)*(Weeks!$Z$4:$AK$4=$D$4)*Weeks!$Z$6:$AK$58)-SUMIFS('Cash Ledger'!$E$6:$E$1005,'Cash Ledger'!$I$6:$I$1005,$D$4,'Cash Ledger'!$B$6:$B$1005,"&lt;="&amp;($A10+6)))</f>
        <v/>
      </c>
      <c r="H10" s="19" t="str">
        <f aca="true">IF(OR($A10&gt;TODAY(),$G10=""),"",IF(ROUND($G10,0)&lt;0,"owes you",IF(ROUND($G10,0)&gt;0,"you owe","settled")))</f>
        <v/>
      </c>
    </row>
    <row r="11" customFormat="false" ht="15" hidden="false" customHeight="false" outlineLevel="0" collapsed="false">
      <c r="A11" s="10" t="n">
        <f aca="false">Weeks!$A$10</f>
        <v>46314</v>
      </c>
      <c r="B11" s="15" t="str">
        <f aca="true">IF($A11&gt;TODAY(),"",IFERROR(INDEX(Weeks!$N$6:$Y$58,MATCH($A11,Weeks!$A$6:$A$58,0),MATCH($D$4,Weeks!$N$4:$Y$4,0)),0))</f>
        <v/>
      </c>
      <c r="C11" s="17" t="str">
        <f aca="true">IF($A11&gt;TODAY(),"",IFERROR(INDEX(Weeks!$Z$6:$AK$58,MATCH($A11,Weeks!$A$6:$A$58,0),MATCH($D$4,Weeks!$Z$4:$AK$4,0)),0))</f>
        <v/>
      </c>
      <c r="D11" s="17" t="str">
        <f aca="true">IF($A11&gt;TODAY(),"",SUMIFS('Cash Ledger'!$E$6:$E$1005,'Cash Ledger'!$I$6:$I$1005,$D$4,'Cash Ledger'!$D$6:$D$1005,"Advance",'Cash Ledger'!$B$6:$B$1005,"&gt;="&amp;$A11,'Cash Ledger'!$B$6:$B$1005,"&lt;="&amp;($A11+6)))</f>
        <v/>
      </c>
      <c r="E11" s="29" t="str">
        <f aca="true">IF($A11&gt;TODAY(),"",SUMIFS('Cash Ledger'!$E$6:$E$1005,'Cash Ledger'!$I$6:$I$1005,$D$4,'Cash Ledger'!$D$6:$D$1005,"Correction",'Cash Ledger'!$B$6:$B$1005,"&gt;="&amp;$A11,'Cash Ledger'!$B$6:$B$1005,"&lt;="&amp;($A11+6)))</f>
        <v/>
      </c>
      <c r="F11" s="17" t="str">
        <f aca="true">IF($A11&gt;TODAY(),"",SUMIFS('Cash Ledger'!$E$6:$E$1005,'Cash Ledger'!$I$6:$I$1005,$D$4,'Cash Ledger'!$D$6:$D$1005,"Weekly pay",'Cash Ledger'!$B$6:$B$1005,"&gt;="&amp;$A11,'Cash Ledger'!$B$6:$B$1005,"&lt;="&amp;($A11+6)))</f>
        <v/>
      </c>
      <c r="G11" s="56" t="str">
        <f aca="true">IF($A11&gt;TODAY(),"",SUMPRODUCT((Weeks!$A$6:$A$58&lt;=$A11)*(Weeks!$Z$4:$AK$4=$D$4)*Weeks!$Z$6:$AK$58)-SUMIFS('Cash Ledger'!$E$6:$E$1005,'Cash Ledger'!$I$6:$I$1005,$D$4,'Cash Ledger'!$B$6:$B$1005,"&lt;="&amp;($A11+6)))</f>
        <v/>
      </c>
      <c r="H11" s="19" t="str">
        <f aca="true">IF(OR($A11&gt;TODAY(),$G11=""),"",IF(ROUND($G11,0)&lt;0,"owes you",IF(ROUND($G11,0)&gt;0,"you owe","settled")))</f>
        <v/>
      </c>
    </row>
    <row r="12" customFormat="false" ht="15" hidden="false" customHeight="false" outlineLevel="0" collapsed="false">
      <c r="A12" s="10" t="n">
        <f aca="false">Weeks!$A$11</f>
        <v>46321</v>
      </c>
      <c r="B12" s="15" t="str">
        <f aca="true">IF($A12&gt;TODAY(),"",IFERROR(INDEX(Weeks!$N$6:$Y$58,MATCH($A12,Weeks!$A$6:$A$58,0),MATCH($D$4,Weeks!$N$4:$Y$4,0)),0))</f>
        <v/>
      </c>
      <c r="C12" s="17" t="str">
        <f aca="true">IF($A12&gt;TODAY(),"",IFERROR(INDEX(Weeks!$Z$6:$AK$58,MATCH($A12,Weeks!$A$6:$A$58,0),MATCH($D$4,Weeks!$Z$4:$AK$4,0)),0))</f>
        <v/>
      </c>
      <c r="D12" s="17" t="str">
        <f aca="true">IF($A12&gt;TODAY(),"",SUMIFS('Cash Ledger'!$E$6:$E$1005,'Cash Ledger'!$I$6:$I$1005,$D$4,'Cash Ledger'!$D$6:$D$1005,"Advance",'Cash Ledger'!$B$6:$B$1005,"&gt;="&amp;$A12,'Cash Ledger'!$B$6:$B$1005,"&lt;="&amp;($A12+6)))</f>
        <v/>
      </c>
      <c r="E12" s="29" t="str">
        <f aca="true">IF($A12&gt;TODAY(),"",SUMIFS('Cash Ledger'!$E$6:$E$1005,'Cash Ledger'!$I$6:$I$1005,$D$4,'Cash Ledger'!$D$6:$D$1005,"Correction",'Cash Ledger'!$B$6:$B$1005,"&gt;="&amp;$A12,'Cash Ledger'!$B$6:$B$1005,"&lt;="&amp;($A12+6)))</f>
        <v/>
      </c>
      <c r="F12" s="17" t="str">
        <f aca="true">IF($A12&gt;TODAY(),"",SUMIFS('Cash Ledger'!$E$6:$E$1005,'Cash Ledger'!$I$6:$I$1005,$D$4,'Cash Ledger'!$D$6:$D$1005,"Weekly pay",'Cash Ledger'!$B$6:$B$1005,"&gt;="&amp;$A12,'Cash Ledger'!$B$6:$B$1005,"&lt;="&amp;($A12+6)))</f>
        <v/>
      </c>
      <c r="G12" s="56" t="str">
        <f aca="true">IF($A12&gt;TODAY(),"",SUMPRODUCT((Weeks!$A$6:$A$58&lt;=$A12)*(Weeks!$Z$4:$AK$4=$D$4)*Weeks!$Z$6:$AK$58)-SUMIFS('Cash Ledger'!$E$6:$E$1005,'Cash Ledger'!$I$6:$I$1005,$D$4,'Cash Ledger'!$B$6:$B$1005,"&lt;="&amp;($A12+6)))</f>
        <v/>
      </c>
      <c r="H12" s="19" t="str">
        <f aca="true">IF(OR($A12&gt;TODAY(),$G12=""),"",IF(ROUND($G12,0)&lt;0,"owes you",IF(ROUND($G12,0)&gt;0,"you owe","settled")))</f>
        <v/>
      </c>
    </row>
    <row r="13" customFormat="false" ht="15" hidden="false" customHeight="false" outlineLevel="0" collapsed="false">
      <c r="A13" s="10" t="n">
        <f aca="false">Weeks!$A$12</f>
        <v>46328</v>
      </c>
      <c r="B13" s="15" t="str">
        <f aca="true">IF($A13&gt;TODAY(),"",IFERROR(INDEX(Weeks!$N$6:$Y$58,MATCH($A13,Weeks!$A$6:$A$58,0),MATCH($D$4,Weeks!$N$4:$Y$4,0)),0))</f>
        <v/>
      </c>
      <c r="C13" s="17" t="str">
        <f aca="true">IF($A13&gt;TODAY(),"",IFERROR(INDEX(Weeks!$Z$6:$AK$58,MATCH($A13,Weeks!$A$6:$A$58,0),MATCH($D$4,Weeks!$Z$4:$AK$4,0)),0))</f>
        <v/>
      </c>
      <c r="D13" s="17" t="str">
        <f aca="true">IF($A13&gt;TODAY(),"",SUMIFS('Cash Ledger'!$E$6:$E$1005,'Cash Ledger'!$I$6:$I$1005,$D$4,'Cash Ledger'!$D$6:$D$1005,"Advance",'Cash Ledger'!$B$6:$B$1005,"&gt;="&amp;$A13,'Cash Ledger'!$B$6:$B$1005,"&lt;="&amp;($A13+6)))</f>
        <v/>
      </c>
      <c r="E13" s="29" t="str">
        <f aca="true">IF($A13&gt;TODAY(),"",SUMIFS('Cash Ledger'!$E$6:$E$1005,'Cash Ledger'!$I$6:$I$1005,$D$4,'Cash Ledger'!$D$6:$D$1005,"Correction",'Cash Ledger'!$B$6:$B$1005,"&gt;="&amp;$A13,'Cash Ledger'!$B$6:$B$1005,"&lt;="&amp;($A13+6)))</f>
        <v/>
      </c>
      <c r="F13" s="17" t="str">
        <f aca="true">IF($A13&gt;TODAY(),"",SUMIFS('Cash Ledger'!$E$6:$E$1005,'Cash Ledger'!$I$6:$I$1005,$D$4,'Cash Ledger'!$D$6:$D$1005,"Weekly pay",'Cash Ledger'!$B$6:$B$1005,"&gt;="&amp;$A13,'Cash Ledger'!$B$6:$B$1005,"&lt;="&amp;($A13+6)))</f>
        <v/>
      </c>
      <c r="G13" s="56" t="str">
        <f aca="true">IF($A13&gt;TODAY(),"",SUMPRODUCT((Weeks!$A$6:$A$58&lt;=$A13)*(Weeks!$Z$4:$AK$4=$D$4)*Weeks!$Z$6:$AK$58)-SUMIFS('Cash Ledger'!$E$6:$E$1005,'Cash Ledger'!$I$6:$I$1005,$D$4,'Cash Ledger'!$B$6:$B$1005,"&lt;="&amp;($A13+6)))</f>
        <v/>
      </c>
      <c r="H13" s="19" t="str">
        <f aca="true">IF(OR($A13&gt;TODAY(),$G13=""),"",IF(ROUND($G13,0)&lt;0,"owes you",IF(ROUND($G13,0)&gt;0,"you owe","settled")))</f>
        <v/>
      </c>
    </row>
    <row r="14" customFormat="false" ht="15" hidden="false" customHeight="false" outlineLevel="0" collapsed="false">
      <c r="A14" s="10" t="n">
        <f aca="false">Weeks!$A$13</f>
        <v>46335</v>
      </c>
      <c r="B14" s="15" t="str">
        <f aca="true">IF($A14&gt;TODAY(),"",IFERROR(INDEX(Weeks!$N$6:$Y$58,MATCH($A14,Weeks!$A$6:$A$58,0),MATCH($D$4,Weeks!$N$4:$Y$4,0)),0))</f>
        <v/>
      </c>
      <c r="C14" s="17" t="str">
        <f aca="true">IF($A14&gt;TODAY(),"",IFERROR(INDEX(Weeks!$Z$6:$AK$58,MATCH($A14,Weeks!$A$6:$A$58,0),MATCH($D$4,Weeks!$Z$4:$AK$4,0)),0))</f>
        <v/>
      </c>
      <c r="D14" s="17" t="str">
        <f aca="true">IF($A14&gt;TODAY(),"",SUMIFS('Cash Ledger'!$E$6:$E$1005,'Cash Ledger'!$I$6:$I$1005,$D$4,'Cash Ledger'!$D$6:$D$1005,"Advance",'Cash Ledger'!$B$6:$B$1005,"&gt;="&amp;$A14,'Cash Ledger'!$B$6:$B$1005,"&lt;="&amp;($A14+6)))</f>
        <v/>
      </c>
      <c r="E14" s="29" t="str">
        <f aca="true">IF($A14&gt;TODAY(),"",SUMIFS('Cash Ledger'!$E$6:$E$1005,'Cash Ledger'!$I$6:$I$1005,$D$4,'Cash Ledger'!$D$6:$D$1005,"Correction",'Cash Ledger'!$B$6:$B$1005,"&gt;="&amp;$A14,'Cash Ledger'!$B$6:$B$1005,"&lt;="&amp;($A14+6)))</f>
        <v/>
      </c>
      <c r="F14" s="17" t="str">
        <f aca="true">IF($A14&gt;TODAY(),"",SUMIFS('Cash Ledger'!$E$6:$E$1005,'Cash Ledger'!$I$6:$I$1005,$D$4,'Cash Ledger'!$D$6:$D$1005,"Weekly pay",'Cash Ledger'!$B$6:$B$1005,"&gt;="&amp;$A14,'Cash Ledger'!$B$6:$B$1005,"&lt;="&amp;($A14+6)))</f>
        <v/>
      </c>
      <c r="G14" s="56" t="str">
        <f aca="true">IF($A14&gt;TODAY(),"",SUMPRODUCT((Weeks!$A$6:$A$58&lt;=$A14)*(Weeks!$Z$4:$AK$4=$D$4)*Weeks!$Z$6:$AK$58)-SUMIFS('Cash Ledger'!$E$6:$E$1005,'Cash Ledger'!$I$6:$I$1005,$D$4,'Cash Ledger'!$B$6:$B$1005,"&lt;="&amp;($A14+6)))</f>
        <v/>
      </c>
      <c r="H14" s="19" t="str">
        <f aca="true">IF(OR($A14&gt;TODAY(),$G14=""),"",IF(ROUND($G14,0)&lt;0,"owes you",IF(ROUND($G14,0)&gt;0,"you owe","settled")))</f>
        <v/>
      </c>
    </row>
    <row r="15" customFormat="false" ht="15" hidden="false" customHeight="false" outlineLevel="0" collapsed="false">
      <c r="A15" s="10" t="n">
        <f aca="false">Weeks!$A$14</f>
        <v>46342</v>
      </c>
      <c r="B15" s="15" t="str">
        <f aca="true">IF($A15&gt;TODAY(),"",IFERROR(INDEX(Weeks!$N$6:$Y$58,MATCH($A15,Weeks!$A$6:$A$58,0),MATCH($D$4,Weeks!$N$4:$Y$4,0)),0))</f>
        <v/>
      </c>
      <c r="C15" s="17" t="str">
        <f aca="true">IF($A15&gt;TODAY(),"",IFERROR(INDEX(Weeks!$Z$6:$AK$58,MATCH($A15,Weeks!$A$6:$A$58,0),MATCH($D$4,Weeks!$Z$4:$AK$4,0)),0))</f>
        <v/>
      </c>
      <c r="D15" s="17" t="str">
        <f aca="true">IF($A15&gt;TODAY(),"",SUMIFS('Cash Ledger'!$E$6:$E$1005,'Cash Ledger'!$I$6:$I$1005,$D$4,'Cash Ledger'!$D$6:$D$1005,"Advance",'Cash Ledger'!$B$6:$B$1005,"&gt;="&amp;$A15,'Cash Ledger'!$B$6:$B$1005,"&lt;="&amp;($A15+6)))</f>
        <v/>
      </c>
      <c r="E15" s="29" t="str">
        <f aca="true">IF($A15&gt;TODAY(),"",SUMIFS('Cash Ledger'!$E$6:$E$1005,'Cash Ledger'!$I$6:$I$1005,$D$4,'Cash Ledger'!$D$6:$D$1005,"Correction",'Cash Ledger'!$B$6:$B$1005,"&gt;="&amp;$A15,'Cash Ledger'!$B$6:$B$1005,"&lt;="&amp;($A15+6)))</f>
        <v/>
      </c>
      <c r="F15" s="17" t="str">
        <f aca="true">IF($A15&gt;TODAY(),"",SUMIFS('Cash Ledger'!$E$6:$E$1005,'Cash Ledger'!$I$6:$I$1005,$D$4,'Cash Ledger'!$D$6:$D$1005,"Weekly pay",'Cash Ledger'!$B$6:$B$1005,"&gt;="&amp;$A15,'Cash Ledger'!$B$6:$B$1005,"&lt;="&amp;($A15+6)))</f>
        <v/>
      </c>
      <c r="G15" s="56" t="str">
        <f aca="true">IF($A15&gt;TODAY(),"",SUMPRODUCT((Weeks!$A$6:$A$58&lt;=$A15)*(Weeks!$Z$4:$AK$4=$D$4)*Weeks!$Z$6:$AK$58)-SUMIFS('Cash Ledger'!$E$6:$E$1005,'Cash Ledger'!$I$6:$I$1005,$D$4,'Cash Ledger'!$B$6:$B$1005,"&lt;="&amp;($A15+6)))</f>
        <v/>
      </c>
      <c r="H15" s="19" t="str">
        <f aca="true">IF(OR($A15&gt;TODAY(),$G15=""),"",IF(ROUND($G15,0)&lt;0,"owes you",IF(ROUND($G15,0)&gt;0,"you owe","settled")))</f>
        <v/>
      </c>
    </row>
    <row r="16" customFormat="false" ht="15" hidden="false" customHeight="false" outlineLevel="0" collapsed="false">
      <c r="A16" s="10" t="n">
        <f aca="false">Weeks!$A$15</f>
        <v>46349</v>
      </c>
      <c r="B16" s="15" t="str">
        <f aca="true">IF($A16&gt;TODAY(),"",IFERROR(INDEX(Weeks!$N$6:$Y$58,MATCH($A16,Weeks!$A$6:$A$58,0),MATCH($D$4,Weeks!$N$4:$Y$4,0)),0))</f>
        <v/>
      </c>
      <c r="C16" s="17" t="str">
        <f aca="true">IF($A16&gt;TODAY(),"",IFERROR(INDEX(Weeks!$Z$6:$AK$58,MATCH($A16,Weeks!$A$6:$A$58,0),MATCH($D$4,Weeks!$Z$4:$AK$4,0)),0))</f>
        <v/>
      </c>
      <c r="D16" s="17" t="str">
        <f aca="true">IF($A16&gt;TODAY(),"",SUMIFS('Cash Ledger'!$E$6:$E$1005,'Cash Ledger'!$I$6:$I$1005,$D$4,'Cash Ledger'!$D$6:$D$1005,"Advance",'Cash Ledger'!$B$6:$B$1005,"&gt;="&amp;$A16,'Cash Ledger'!$B$6:$B$1005,"&lt;="&amp;($A16+6)))</f>
        <v/>
      </c>
      <c r="E16" s="29" t="str">
        <f aca="true">IF($A16&gt;TODAY(),"",SUMIFS('Cash Ledger'!$E$6:$E$1005,'Cash Ledger'!$I$6:$I$1005,$D$4,'Cash Ledger'!$D$6:$D$1005,"Correction",'Cash Ledger'!$B$6:$B$1005,"&gt;="&amp;$A16,'Cash Ledger'!$B$6:$B$1005,"&lt;="&amp;($A16+6)))</f>
        <v/>
      </c>
      <c r="F16" s="17" t="str">
        <f aca="true">IF($A16&gt;TODAY(),"",SUMIFS('Cash Ledger'!$E$6:$E$1005,'Cash Ledger'!$I$6:$I$1005,$D$4,'Cash Ledger'!$D$6:$D$1005,"Weekly pay",'Cash Ledger'!$B$6:$B$1005,"&gt;="&amp;$A16,'Cash Ledger'!$B$6:$B$1005,"&lt;="&amp;($A16+6)))</f>
        <v/>
      </c>
      <c r="G16" s="56" t="str">
        <f aca="true">IF($A16&gt;TODAY(),"",SUMPRODUCT((Weeks!$A$6:$A$58&lt;=$A16)*(Weeks!$Z$4:$AK$4=$D$4)*Weeks!$Z$6:$AK$58)-SUMIFS('Cash Ledger'!$E$6:$E$1005,'Cash Ledger'!$I$6:$I$1005,$D$4,'Cash Ledger'!$B$6:$B$1005,"&lt;="&amp;($A16+6)))</f>
        <v/>
      </c>
      <c r="H16" s="19" t="str">
        <f aca="true">IF(OR($A16&gt;TODAY(),$G16=""),"",IF(ROUND($G16,0)&lt;0,"owes you",IF(ROUND($G16,0)&gt;0,"you owe","settled")))</f>
        <v/>
      </c>
    </row>
    <row r="17" customFormat="false" ht="15" hidden="false" customHeight="false" outlineLevel="0" collapsed="false">
      <c r="A17" s="10" t="n">
        <f aca="false">Weeks!$A$16</f>
        <v>46356</v>
      </c>
      <c r="B17" s="15" t="str">
        <f aca="true">IF($A17&gt;TODAY(),"",IFERROR(INDEX(Weeks!$N$6:$Y$58,MATCH($A17,Weeks!$A$6:$A$58,0),MATCH($D$4,Weeks!$N$4:$Y$4,0)),0))</f>
        <v/>
      </c>
      <c r="C17" s="17" t="str">
        <f aca="true">IF($A17&gt;TODAY(),"",IFERROR(INDEX(Weeks!$Z$6:$AK$58,MATCH($A17,Weeks!$A$6:$A$58,0),MATCH($D$4,Weeks!$Z$4:$AK$4,0)),0))</f>
        <v/>
      </c>
      <c r="D17" s="17" t="str">
        <f aca="true">IF($A17&gt;TODAY(),"",SUMIFS('Cash Ledger'!$E$6:$E$1005,'Cash Ledger'!$I$6:$I$1005,$D$4,'Cash Ledger'!$D$6:$D$1005,"Advance",'Cash Ledger'!$B$6:$B$1005,"&gt;="&amp;$A17,'Cash Ledger'!$B$6:$B$1005,"&lt;="&amp;($A17+6)))</f>
        <v/>
      </c>
      <c r="E17" s="29" t="str">
        <f aca="true">IF($A17&gt;TODAY(),"",SUMIFS('Cash Ledger'!$E$6:$E$1005,'Cash Ledger'!$I$6:$I$1005,$D$4,'Cash Ledger'!$D$6:$D$1005,"Correction",'Cash Ledger'!$B$6:$B$1005,"&gt;="&amp;$A17,'Cash Ledger'!$B$6:$B$1005,"&lt;="&amp;($A17+6)))</f>
        <v/>
      </c>
      <c r="F17" s="17" t="str">
        <f aca="true">IF($A17&gt;TODAY(),"",SUMIFS('Cash Ledger'!$E$6:$E$1005,'Cash Ledger'!$I$6:$I$1005,$D$4,'Cash Ledger'!$D$6:$D$1005,"Weekly pay",'Cash Ledger'!$B$6:$B$1005,"&gt;="&amp;$A17,'Cash Ledger'!$B$6:$B$1005,"&lt;="&amp;($A17+6)))</f>
        <v/>
      </c>
      <c r="G17" s="56" t="str">
        <f aca="true">IF($A17&gt;TODAY(),"",SUMPRODUCT((Weeks!$A$6:$A$58&lt;=$A17)*(Weeks!$Z$4:$AK$4=$D$4)*Weeks!$Z$6:$AK$58)-SUMIFS('Cash Ledger'!$E$6:$E$1005,'Cash Ledger'!$I$6:$I$1005,$D$4,'Cash Ledger'!$B$6:$B$1005,"&lt;="&amp;($A17+6)))</f>
        <v/>
      </c>
      <c r="H17" s="19" t="str">
        <f aca="true">IF(OR($A17&gt;TODAY(),$G17=""),"",IF(ROUND($G17,0)&lt;0,"owes you",IF(ROUND($G17,0)&gt;0,"you owe","settled")))</f>
        <v/>
      </c>
    </row>
    <row r="18" customFormat="false" ht="15" hidden="false" customHeight="false" outlineLevel="0" collapsed="false">
      <c r="A18" s="10" t="n">
        <f aca="false">Weeks!$A$17</f>
        <v>46363</v>
      </c>
      <c r="B18" s="15" t="str">
        <f aca="true">IF($A18&gt;TODAY(),"",IFERROR(INDEX(Weeks!$N$6:$Y$58,MATCH($A18,Weeks!$A$6:$A$58,0),MATCH($D$4,Weeks!$N$4:$Y$4,0)),0))</f>
        <v/>
      </c>
      <c r="C18" s="17" t="str">
        <f aca="true">IF($A18&gt;TODAY(),"",IFERROR(INDEX(Weeks!$Z$6:$AK$58,MATCH($A18,Weeks!$A$6:$A$58,0),MATCH($D$4,Weeks!$Z$4:$AK$4,0)),0))</f>
        <v/>
      </c>
      <c r="D18" s="17" t="str">
        <f aca="true">IF($A18&gt;TODAY(),"",SUMIFS('Cash Ledger'!$E$6:$E$1005,'Cash Ledger'!$I$6:$I$1005,$D$4,'Cash Ledger'!$D$6:$D$1005,"Advance",'Cash Ledger'!$B$6:$B$1005,"&gt;="&amp;$A18,'Cash Ledger'!$B$6:$B$1005,"&lt;="&amp;($A18+6)))</f>
        <v/>
      </c>
      <c r="E18" s="29" t="str">
        <f aca="true">IF($A18&gt;TODAY(),"",SUMIFS('Cash Ledger'!$E$6:$E$1005,'Cash Ledger'!$I$6:$I$1005,$D$4,'Cash Ledger'!$D$6:$D$1005,"Correction",'Cash Ledger'!$B$6:$B$1005,"&gt;="&amp;$A18,'Cash Ledger'!$B$6:$B$1005,"&lt;="&amp;($A18+6)))</f>
        <v/>
      </c>
      <c r="F18" s="17" t="str">
        <f aca="true">IF($A18&gt;TODAY(),"",SUMIFS('Cash Ledger'!$E$6:$E$1005,'Cash Ledger'!$I$6:$I$1005,$D$4,'Cash Ledger'!$D$6:$D$1005,"Weekly pay",'Cash Ledger'!$B$6:$B$1005,"&gt;="&amp;$A18,'Cash Ledger'!$B$6:$B$1005,"&lt;="&amp;($A18+6)))</f>
        <v/>
      </c>
      <c r="G18" s="56" t="str">
        <f aca="true">IF($A18&gt;TODAY(),"",SUMPRODUCT((Weeks!$A$6:$A$58&lt;=$A18)*(Weeks!$Z$4:$AK$4=$D$4)*Weeks!$Z$6:$AK$58)-SUMIFS('Cash Ledger'!$E$6:$E$1005,'Cash Ledger'!$I$6:$I$1005,$D$4,'Cash Ledger'!$B$6:$B$1005,"&lt;="&amp;($A18+6)))</f>
        <v/>
      </c>
      <c r="H18" s="19" t="str">
        <f aca="true">IF(OR($A18&gt;TODAY(),$G18=""),"",IF(ROUND($G18,0)&lt;0,"owes you",IF(ROUND($G18,0)&gt;0,"you owe","settled")))</f>
        <v/>
      </c>
    </row>
    <row r="19" customFormat="false" ht="15" hidden="false" customHeight="false" outlineLevel="0" collapsed="false">
      <c r="A19" s="10" t="n">
        <f aca="false">Weeks!$A$18</f>
        <v>46370</v>
      </c>
      <c r="B19" s="15" t="str">
        <f aca="true">IF($A19&gt;TODAY(),"",IFERROR(INDEX(Weeks!$N$6:$Y$58,MATCH($A19,Weeks!$A$6:$A$58,0),MATCH($D$4,Weeks!$N$4:$Y$4,0)),0))</f>
        <v/>
      </c>
      <c r="C19" s="17" t="str">
        <f aca="true">IF($A19&gt;TODAY(),"",IFERROR(INDEX(Weeks!$Z$6:$AK$58,MATCH($A19,Weeks!$A$6:$A$58,0),MATCH($D$4,Weeks!$Z$4:$AK$4,0)),0))</f>
        <v/>
      </c>
      <c r="D19" s="17" t="str">
        <f aca="true">IF($A19&gt;TODAY(),"",SUMIFS('Cash Ledger'!$E$6:$E$1005,'Cash Ledger'!$I$6:$I$1005,$D$4,'Cash Ledger'!$D$6:$D$1005,"Advance",'Cash Ledger'!$B$6:$B$1005,"&gt;="&amp;$A19,'Cash Ledger'!$B$6:$B$1005,"&lt;="&amp;($A19+6)))</f>
        <v/>
      </c>
      <c r="E19" s="29" t="str">
        <f aca="true">IF($A19&gt;TODAY(),"",SUMIFS('Cash Ledger'!$E$6:$E$1005,'Cash Ledger'!$I$6:$I$1005,$D$4,'Cash Ledger'!$D$6:$D$1005,"Correction",'Cash Ledger'!$B$6:$B$1005,"&gt;="&amp;$A19,'Cash Ledger'!$B$6:$B$1005,"&lt;="&amp;($A19+6)))</f>
        <v/>
      </c>
      <c r="F19" s="17" t="str">
        <f aca="true">IF($A19&gt;TODAY(),"",SUMIFS('Cash Ledger'!$E$6:$E$1005,'Cash Ledger'!$I$6:$I$1005,$D$4,'Cash Ledger'!$D$6:$D$1005,"Weekly pay",'Cash Ledger'!$B$6:$B$1005,"&gt;="&amp;$A19,'Cash Ledger'!$B$6:$B$1005,"&lt;="&amp;($A19+6)))</f>
        <v/>
      </c>
      <c r="G19" s="56" t="str">
        <f aca="true">IF($A19&gt;TODAY(),"",SUMPRODUCT((Weeks!$A$6:$A$58&lt;=$A19)*(Weeks!$Z$4:$AK$4=$D$4)*Weeks!$Z$6:$AK$58)-SUMIFS('Cash Ledger'!$E$6:$E$1005,'Cash Ledger'!$I$6:$I$1005,$D$4,'Cash Ledger'!$B$6:$B$1005,"&lt;="&amp;($A19+6)))</f>
        <v/>
      </c>
      <c r="H19" s="19" t="str">
        <f aca="true">IF(OR($A19&gt;TODAY(),$G19=""),"",IF(ROUND($G19,0)&lt;0,"owes you",IF(ROUND($G19,0)&gt;0,"you owe","settled")))</f>
        <v/>
      </c>
    </row>
    <row r="20" customFormat="false" ht="15" hidden="false" customHeight="false" outlineLevel="0" collapsed="false">
      <c r="A20" s="10" t="n">
        <f aca="false">Weeks!$A$19</f>
        <v>46377</v>
      </c>
      <c r="B20" s="15" t="str">
        <f aca="true">IF($A20&gt;TODAY(),"",IFERROR(INDEX(Weeks!$N$6:$Y$58,MATCH($A20,Weeks!$A$6:$A$58,0),MATCH($D$4,Weeks!$N$4:$Y$4,0)),0))</f>
        <v/>
      </c>
      <c r="C20" s="17" t="str">
        <f aca="true">IF($A20&gt;TODAY(),"",IFERROR(INDEX(Weeks!$Z$6:$AK$58,MATCH($A20,Weeks!$A$6:$A$58,0),MATCH($D$4,Weeks!$Z$4:$AK$4,0)),0))</f>
        <v/>
      </c>
      <c r="D20" s="17" t="str">
        <f aca="true">IF($A20&gt;TODAY(),"",SUMIFS('Cash Ledger'!$E$6:$E$1005,'Cash Ledger'!$I$6:$I$1005,$D$4,'Cash Ledger'!$D$6:$D$1005,"Advance",'Cash Ledger'!$B$6:$B$1005,"&gt;="&amp;$A20,'Cash Ledger'!$B$6:$B$1005,"&lt;="&amp;($A20+6)))</f>
        <v/>
      </c>
      <c r="E20" s="29" t="str">
        <f aca="true">IF($A20&gt;TODAY(),"",SUMIFS('Cash Ledger'!$E$6:$E$1005,'Cash Ledger'!$I$6:$I$1005,$D$4,'Cash Ledger'!$D$6:$D$1005,"Correction",'Cash Ledger'!$B$6:$B$1005,"&gt;="&amp;$A20,'Cash Ledger'!$B$6:$B$1005,"&lt;="&amp;($A20+6)))</f>
        <v/>
      </c>
      <c r="F20" s="17" t="str">
        <f aca="true">IF($A20&gt;TODAY(),"",SUMIFS('Cash Ledger'!$E$6:$E$1005,'Cash Ledger'!$I$6:$I$1005,$D$4,'Cash Ledger'!$D$6:$D$1005,"Weekly pay",'Cash Ledger'!$B$6:$B$1005,"&gt;="&amp;$A20,'Cash Ledger'!$B$6:$B$1005,"&lt;="&amp;($A20+6)))</f>
        <v/>
      </c>
      <c r="G20" s="56" t="str">
        <f aca="true">IF($A20&gt;TODAY(),"",SUMPRODUCT((Weeks!$A$6:$A$58&lt;=$A20)*(Weeks!$Z$4:$AK$4=$D$4)*Weeks!$Z$6:$AK$58)-SUMIFS('Cash Ledger'!$E$6:$E$1005,'Cash Ledger'!$I$6:$I$1005,$D$4,'Cash Ledger'!$B$6:$B$1005,"&lt;="&amp;($A20+6)))</f>
        <v/>
      </c>
      <c r="H20" s="19" t="str">
        <f aca="true">IF(OR($A20&gt;TODAY(),$G20=""),"",IF(ROUND($G20,0)&lt;0,"owes you",IF(ROUND($G20,0)&gt;0,"you owe","settled")))</f>
        <v/>
      </c>
    </row>
    <row r="21" customFormat="false" ht="15" hidden="false" customHeight="false" outlineLevel="0" collapsed="false">
      <c r="A21" s="10" t="n">
        <f aca="false">Weeks!$A$20</f>
        <v>46384</v>
      </c>
      <c r="B21" s="15" t="str">
        <f aca="true">IF($A21&gt;TODAY(),"",IFERROR(INDEX(Weeks!$N$6:$Y$58,MATCH($A21,Weeks!$A$6:$A$58,0),MATCH($D$4,Weeks!$N$4:$Y$4,0)),0))</f>
        <v/>
      </c>
      <c r="C21" s="17" t="str">
        <f aca="true">IF($A21&gt;TODAY(),"",IFERROR(INDEX(Weeks!$Z$6:$AK$58,MATCH($A21,Weeks!$A$6:$A$58,0),MATCH($D$4,Weeks!$Z$4:$AK$4,0)),0))</f>
        <v/>
      </c>
      <c r="D21" s="17" t="str">
        <f aca="true">IF($A21&gt;TODAY(),"",SUMIFS('Cash Ledger'!$E$6:$E$1005,'Cash Ledger'!$I$6:$I$1005,$D$4,'Cash Ledger'!$D$6:$D$1005,"Advance",'Cash Ledger'!$B$6:$B$1005,"&gt;="&amp;$A21,'Cash Ledger'!$B$6:$B$1005,"&lt;="&amp;($A21+6)))</f>
        <v/>
      </c>
      <c r="E21" s="29" t="str">
        <f aca="true">IF($A21&gt;TODAY(),"",SUMIFS('Cash Ledger'!$E$6:$E$1005,'Cash Ledger'!$I$6:$I$1005,$D$4,'Cash Ledger'!$D$6:$D$1005,"Correction",'Cash Ledger'!$B$6:$B$1005,"&gt;="&amp;$A21,'Cash Ledger'!$B$6:$B$1005,"&lt;="&amp;($A21+6)))</f>
        <v/>
      </c>
      <c r="F21" s="17" t="str">
        <f aca="true">IF($A21&gt;TODAY(),"",SUMIFS('Cash Ledger'!$E$6:$E$1005,'Cash Ledger'!$I$6:$I$1005,$D$4,'Cash Ledger'!$D$6:$D$1005,"Weekly pay",'Cash Ledger'!$B$6:$B$1005,"&gt;="&amp;$A21,'Cash Ledger'!$B$6:$B$1005,"&lt;="&amp;($A21+6)))</f>
        <v/>
      </c>
      <c r="G21" s="56" t="str">
        <f aca="true">IF($A21&gt;TODAY(),"",SUMPRODUCT((Weeks!$A$6:$A$58&lt;=$A21)*(Weeks!$Z$4:$AK$4=$D$4)*Weeks!$Z$6:$AK$58)-SUMIFS('Cash Ledger'!$E$6:$E$1005,'Cash Ledger'!$I$6:$I$1005,$D$4,'Cash Ledger'!$B$6:$B$1005,"&lt;="&amp;($A21+6)))</f>
        <v/>
      </c>
      <c r="H21" s="19" t="str">
        <f aca="true">IF(OR($A21&gt;TODAY(),$G21=""),"",IF(ROUND($G21,0)&lt;0,"owes you",IF(ROUND($G21,0)&gt;0,"you owe","settled")))</f>
        <v/>
      </c>
    </row>
    <row r="22" customFormat="false" ht="15" hidden="false" customHeight="false" outlineLevel="0" collapsed="false">
      <c r="A22" s="10" t="n">
        <f aca="false">Weeks!$A$21</f>
        <v>46391</v>
      </c>
      <c r="B22" s="15" t="str">
        <f aca="true">IF($A22&gt;TODAY(),"",IFERROR(INDEX(Weeks!$N$6:$Y$58,MATCH($A22,Weeks!$A$6:$A$58,0),MATCH($D$4,Weeks!$N$4:$Y$4,0)),0))</f>
        <v/>
      </c>
      <c r="C22" s="17" t="str">
        <f aca="true">IF($A22&gt;TODAY(),"",IFERROR(INDEX(Weeks!$Z$6:$AK$58,MATCH($A22,Weeks!$A$6:$A$58,0),MATCH($D$4,Weeks!$Z$4:$AK$4,0)),0))</f>
        <v/>
      </c>
      <c r="D22" s="17" t="str">
        <f aca="true">IF($A22&gt;TODAY(),"",SUMIFS('Cash Ledger'!$E$6:$E$1005,'Cash Ledger'!$I$6:$I$1005,$D$4,'Cash Ledger'!$D$6:$D$1005,"Advance",'Cash Ledger'!$B$6:$B$1005,"&gt;="&amp;$A22,'Cash Ledger'!$B$6:$B$1005,"&lt;="&amp;($A22+6)))</f>
        <v/>
      </c>
      <c r="E22" s="29" t="str">
        <f aca="true">IF($A22&gt;TODAY(),"",SUMIFS('Cash Ledger'!$E$6:$E$1005,'Cash Ledger'!$I$6:$I$1005,$D$4,'Cash Ledger'!$D$6:$D$1005,"Correction",'Cash Ledger'!$B$6:$B$1005,"&gt;="&amp;$A22,'Cash Ledger'!$B$6:$B$1005,"&lt;="&amp;($A22+6)))</f>
        <v/>
      </c>
      <c r="F22" s="17" t="str">
        <f aca="true">IF($A22&gt;TODAY(),"",SUMIFS('Cash Ledger'!$E$6:$E$1005,'Cash Ledger'!$I$6:$I$1005,$D$4,'Cash Ledger'!$D$6:$D$1005,"Weekly pay",'Cash Ledger'!$B$6:$B$1005,"&gt;="&amp;$A22,'Cash Ledger'!$B$6:$B$1005,"&lt;="&amp;($A22+6)))</f>
        <v/>
      </c>
      <c r="G22" s="56" t="str">
        <f aca="true">IF($A22&gt;TODAY(),"",SUMPRODUCT((Weeks!$A$6:$A$58&lt;=$A22)*(Weeks!$Z$4:$AK$4=$D$4)*Weeks!$Z$6:$AK$58)-SUMIFS('Cash Ledger'!$E$6:$E$1005,'Cash Ledger'!$I$6:$I$1005,$D$4,'Cash Ledger'!$B$6:$B$1005,"&lt;="&amp;($A22+6)))</f>
        <v/>
      </c>
      <c r="H22" s="19" t="str">
        <f aca="true">IF(OR($A22&gt;TODAY(),$G22=""),"",IF(ROUND($G22,0)&lt;0,"owes you",IF(ROUND($G22,0)&gt;0,"you owe","settled")))</f>
        <v/>
      </c>
    </row>
    <row r="23" customFormat="false" ht="15" hidden="false" customHeight="false" outlineLevel="0" collapsed="false">
      <c r="A23" s="10" t="n">
        <f aca="false">Weeks!$A$22</f>
        <v>46398</v>
      </c>
      <c r="B23" s="15" t="str">
        <f aca="true">IF($A23&gt;TODAY(),"",IFERROR(INDEX(Weeks!$N$6:$Y$58,MATCH($A23,Weeks!$A$6:$A$58,0),MATCH($D$4,Weeks!$N$4:$Y$4,0)),0))</f>
        <v/>
      </c>
      <c r="C23" s="17" t="str">
        <f aca="true">IF($A23&gt;TODAY(),"",IFERROR(INDEX(Weeks!$Z$6:$AK$58,MATCH($A23,Weeks!$A$6:$A$58,0),MATCH($D$4,Weeks!$Z$4:$AK$4,0)),0))</f>
        <v/>
      </c>
      <c r="D23" s="17" t="str">
        <f aca="true">IF($A23&gt;TODAY(),"",SUMIFS('Cash Ledger'!$E$6:$E$1005,'Cash Ledger'!$I$6:$I$1005,$D$4,'Cash Ledger'!$D$6:$D$1005,"Advance",'Cash Ledger'!$B$6:$B$1005,"&gt;="&amp;$A23,'Cash Ledger'!$B$6:$B$1005,"&lt;="&amp;($A23+6)))</f>
        <v/>
      </c>
      <c r="E23" s="29" t="str">
        <f aca="true">IF($A23&gt;TODAY(),"",SUMIFS('Cash Ledger'!$E$6:$E$1005,'Cash Ledger'!$I$6:$I$1005,$D$4,'Cash Ledger'!$D$6:$D$1005,"Correction",'Cash Ledger'!$B$6:$B$1005,"&gt;="&amp;$A23,'Cash Ledger'!$B$6:$B$1005,"&lt;="&amp;($A23+6)))</f>
        <v/>
      </c>
      <c r="F23" s="17" t="str">
        <f aca="true">IF($A23&gt;TODAY(),"",SUMIFS('Cash Ledger'!$E$6:$E$1005,'Cash Ledger'!$I$6:$I$1005,$D$4,'Cash Ledger'!$D$6:$D$1005,"Weekly pay",'Cash Ledger'!$B$6:$B$1005,"&gt;="&amp;$A23,'Cash Ledger'!$B$6:$B$1005,"&lt;="&amp;($A23+6)))</f>
        <v/>
      </c>
      <c r="G23" s="56" t="str">
        <f aca="true">IF($A23&gt;TODAY(),"",SUMPRODUCT((Weeks!$A$6:$A$58&lt;=$A23)*(Weeks!$Z$4:$AK$4=$D$4)*Weeks!$Z$6:$AK$58)-SUMIFS('Cash Ledger'!$E$6:$E$1005,'Cash Ledger'!$I$6:$I$1005,$D$4,'Cash Ledger'!$B$6:$B$1005,"&lt;="&amp;($A23+6)))</f>
        <v/>
      </c>
      <c r="H23" s="19" t="str">
        <f aca="true">IF(OR($A23&gt;TODAY(),$G23=""),"",IF(ROUND($G23,0)&lt;0,"owes you",IF(ROUND($G23,0)&gt;0,"you owe","settled")))</f>
        <v/>
      </c>
    </row>
    <row r="24" customFormat="false" ht="15" hidden="false" customHeight="false" outlineLevel="0" collapsed="false">
      <c r="A24" s="10" t="n">
        <f aca="false">Weeks!$A$23</f>
        <v>46405</v>
      </c>
      <c r="B24" s="15" t="str">
        <f aca="true">IF($A24&gt;TODAY(),"",IFERROR(INDEX(Weeks!$N$6:$Y$58,MATCH($A24,Weeks!$A$6:$A$58,0),MATCH($D$4,Weeks!$N$4:$Y$4,0)),0))</f>
        <v/>
      </c>
      <c r="C24" s="17" t="str">
        <f aca="true">IF($A24&gt;TODAY(),"",IFERROR(INDEX(Weeks!$Z$6:$AK$58,MATCH($A24,Weeks!$A$6:$A$58,0),MATCH($D$4,Weeks!$Z$4:$AK$4,0)),0))</f>
        <v/>
      </c>
      <c r="D24" s="17" t="str">
        <f aca="true">IF($A24&gt;TODAY(),"",SUMIFS('Cash Ledger'!$E$6:$E$1005,'Cash Ledger'!$I$6:$I$1005,$D$4,'Cash Ledger'!$D$6:$D$1005,"Advance",'Cash Ledger'!$B$6:$B$1005,"&gt;="&amp;$A24,'Cash Ledger'!$B$6:$B$1005,"&lt;="&amp;($A24+6)))</f>
        <v/>
      </c>
      <c r="E24" s="29" t="str">
        <f aca="true">IF($A24&gt;TODAY(),"",SUMIFS('Cash Ledger'!$E$6:$E$1005,'Cash Ledger'!$I$6:$I$1005,$D$4,'Cash Ledger'!$D$6:$D$1005,"Correction",'Cash Ledger'!$B$6:$B$1005,"&gt;="&amp;$A24,'Cash Ledger'!$B$6:$B$1005,"&lt;="&amp;($A24+6)))</f>
        <v/>
      </c>
      <c r="F24" s="17" t="str">
        <f aca="true">IF($A24&gt;TODAY(),"",SUMIFS('Cash Ledger'!$E$6:$E$1005,'Cash Ledger'!$I$6:$I$1005,$D$4,'Cash Ledger'!$D$6:$D$1005,"Weekly pay",'Cash Ledger'!$B$6:$B$1005,"&gt;="&amp;$A24,'Cash Ledger'!$B$6:$B$1005,"&lt;="&amp;($A24+6)))</f>
        <v/>
      </c>
      <c r="G24" s="56" t="str">
        <f aca="true">IF($A24&gt;TODAY(),"",SUMPRODUCT((Weeks!$A$6:$A$58&lt;=$A24)*(Weeks!$Z$4:$AK$4=$D$4)*Weeks!$Z$6:$AK$58)-SUMIFS('Cash Ledger'!$E$6:$E$1005,'Cash Ledger'!$I$6:$I$1005,$D$4,'Cash Ledger'!$B$6:$B$1005,"&lt;="&amp;($A24+6)))</f>
        <v/>
      </c>
      <c r="H24" s="19" t="str">
        <f aca="true">IF(OR($A24&gt;TODAY(),$G24=""),"",IF(ROUND($G24,0)&lt;0,"owes you",IF(ROUND($G24,0)&gt;0,"you owe","settled")))</f>
        <v/>
      </c>
    </row>
    <row r="25" customFormat="false" ht="15" hidden="false" customHeight="false" outlineLevel="0" collapsed="false">
      <c r="A25" s="10" t="n">
        <f aca="false">Weeks!$A$24</f>
        <v>46412</v>
      </c>
      <c r="B25" s="15" t="str">
        <f aca="true">IF($A25&gt;TODAY(),"",IFERROR(INDEX(Weeks!$N$6:$Y$58,MATCH($A25,Weeks!$A$6:$A$58,0),MATCH($D$4,Weeks!$N$4:$Y$4,0)),0))</f>
        <v/>
      </c>
      <c r="C25" s="17" t="str">
        <f aca="true">IF($A25&gt;TODAY(),"",IFERROR(INDEX(Weeks!$Z$6:$AK$58,MATCH($A25,Weeks!$A$6:$A$58,0),MATCH($D$4,Weeks!$Z$4:$AK$4,0)),0))</f>
        <v/>
      </c>
      <c r="D25" s="17" t="str">
        <f aca="true">IF($A25&gt;TODAY(),"",SUMIFS('Cash Ledger'!$E$6:$E$1005,'Cash Ledger'!$I$6:$I$1005,$D$4,'Cash Ledger'!$D$6:$D$1005,"Advance",'Cash Ledger'!$B$6:$B$1005,"&gt;="&amp;$A25,'Cash Ledger'!$B$6:$B$1005,"&lt;="&amp;($A25+6)))</f>
        <v/>
      </c>
      <c r="E25" s="29" t="str">
        <f aca="true">IF($A25&gt;TODAY(),"",SUMIFS('Cash Ledger'!$E$6:$E$1005,'Cash Ledger'!$I$6:$I$1005,$D$4,'Cash Ledger'!$D$6:$D$1005,"Correction",'Cash Ledger'!$B$6:$B$1005,"&gt;="&amp;$A25,'Cash Ledger'!$B$6:$B$1005,"&lt;="&amp;($A25+6)))</f>
        <v/>
      </c>
      <c r="F25" s="17" t="str">
        <f aca="true">IF($A25&gt;TODAY(),"",SUMIFS('Cash Ledger'!$E$6:$E$1005,'Cash Ledger'!$I$6:$I$1005,$D$4,'Cash Ledger'!$D$6:$D$1005,"Weekly pay",'Cash Ledger'!$B$6:$B$1005,"&gt;="&amp;$A25,'Cash Ledger'!$B$6:$B$1005,"&lt;="&amp;($A25+6)))</f>
        <v/>
      </c>
      <c r="G25" s="56" t="str">
        <f aca="true">IF($A25&gt;TODAY(),"",SUMPRODUCT((Weeks!$A$6:$A$58&lt;=$A25)*(Weeks!$Z$4:$AK$4=$D$4)*Weeks!$Z$6:$AK$58)-SUMIFS('Cash Ledger'!$E$6:$E$1005,'Cash Ledger'!$I$6:$I$1005,$D$4,'Cash Ledger'!$B$6:$B$1005,"&lt;="&amp;($A25+6)))</f>
        <v/>
      </c>
      <c r="H25" s="19" t="str">
        <f aca="true">IF(OR($A25&gt;TODAY(),$G25=""),"",IF(ROUND($G25,0)&lt;0,"owes you",IF(ROUND($G25,0)&gt;0,"you owe","settled")))</f>
        <v/>
      </c>
    </row>
    <row r="26" customFormat="false" ht="15" hidden="false" customHeight="false" outlineLevel="0" collapsed="false">
      <c r="A26" s="10" t="n">
        <f aca="false">Weeks!$A$25</f>
        <v>46419</v>
      </c>
      <c r="B26" s="15" t="str">
        <f aca="true">IF($A26&gt;TODAY(),"",IFERROR(INDEX(Weeks!$N$6:$Y$58,MATCH($A26,Weeks!$A$6:$A$58,0),MATCH($D$4,Weeks!$N$4:$Y$4,0)),0))</f>
        <v/>
      </c>
      <c r="C26" s="17" t="str">
        <f aca="true">IF($A26&gt;TODAY(),"",IFERROR(INDEX(Weeks!$Z$6:$AK$58,MATCH($A26,Weeks!$A$6:$A$58,0),MATCH($D$4,Weeks!$Z$4:$AK$4,0)),0))</f>
        <v/>
      </c>
      <c r="D26" s="17" t="str">
        <f aca="true">IF($A26&gt;TODAY(),"",SUMIFS('Cash Ledger'!$E$6:$E$1005,'Cash Ledger'!$I$6:$I$1005,$D$4,'Cash Ledger'!$D$6:$D$1005,"Advance",'Cash Ledger'!$B$6:$B$1005,"&gt;="&amp;$A26,'Cash Ledger'!$B$6:$B$1005,"&lt;="&amp;($A26+6)))</f>
        <v/>
      </c>
      <c r="E26" s="29" t="str">
        <f aca="true">IF($A26&gt;TODAY(),"",SUMIFS('Cash Ledger'!$E$6:$E$1005,'Cash Ledger'!$I$6:$I$1005,$D$4,'Cash Ledger'!$D$6:$D$1005,"Correction",'Cash Ledger'!$B$6:$B$1005,"&gt;="&amp;$A26,'Cash Ledger'!$B$6:$B$1005,"&lt;="&amp;($A26+6)))</f>
        <v/>
      </c>
      <c r="F26" s="17" t="str">
        <f aca="true">IF($A26&gt;TODAY(),"",SUMIFS('Cash Ledger'!$E$6:$E$1005,'Cash Ledger'!$I$6:$I$1005,$D$4,'Cash Ledger'!$D$6:$D$1005,"Weekly pay",'Cash Ledger'!$B$6:$B$1005,"&gt;="&amp;$A26,'Cash Ledger'!$B$6:$B$1005,"&lt;="&amp;($A26+6)))</f>
        <v/>
      </c>
      <c r="G26" s="56" t="str">
        <f aca="true">IF($A26&gt;TODAY(),"",SUMPRODUCT((Weeks!$A$6:$A$58&lt;=$A26)*(Weeks!$Z$4:$AK$4=$D$4)*Weeks!$Z$6:$AK$58)-SUMIFS('Cash Ledger'!$E$6:$E$1005,'Cash Ledger'!$I$6:$I$1005,$D$4,'Cash Ledger'!$B$6:$B$1005,"&lt;="&amp;($A26+6)))</f>
        <v/>
      </c>
      <c r="H26" s="19" t="str">
        <f aca="true">IF(OR($A26&gt;TODAY(),$G26=""),"",IF(ROUND($G26,0)&lt;0,"owes you",IF(ROUND($G26,0)&gt;0,"you owe","settled")))</f>
        <v/>
      </c>
    </row>
    <row r="27" customFormat="false" ht="15" hidden="false" customHeight="false" outlineLevel="0" collapsed="false">
      <c r="A27" s="10" t="n">
        <f aca="false">Weeks!$A$26</f>
        <v>46426</v>
      </c>
      <c r="B27" s="15" t="str">
        <f aca="true">IF($A27&gt;TODAY(),"",IFERROR(INDEX(Weeks!$N$6:$Y$58,MATCH($A27,Weeks!$A$6:$A$58,0),MATCH($D$4,Weeks!$N$4:$Y$4,0)),0))</f>
        <v/>
      </c>
      <c r="C27" s="17" t="str">
        <f aca="true">IF($A27&gt;TODAY(),"",IFERROR(INDEX(Weeks!$Z$6:$AK$58,MATCH($A27,Weeks!$A$6:$A$58,0),MATCH($D$4,Weeks!$Z$4:$AK$4,0)),0))</f>
        <v/>
      </c>
      <c r="D27" s="17" t="str">
        <f aca="true">IF($A27&gt;TODAY(),"",SUMIFS('Cash Ledger'!$E$6:$E$1005,'Cash Ledger'!$I$6:$I$1005,$D$4,'Cash Ledger'!$D$6:$D$1005,"Advance",'Cash Ledger'!$B$6:$B$1005,"&gt;="&amp;$A27,'Cash Ledger'!$B$6:$B$1005,"&lt;="&amp;($A27+6)))</f>
        <v/>
      </c>
      <c r="E27" s="29" t="str">
        <f aca="true">IF($A27&gt;TODAY(),"",SUMIFS('Cash Ledger'!$E$6:$E$1005,'Cash Ledger'!$I$6:$I$1005,$D$4,'Cash Ledger'!$D$6:$D$1005,"Correction",'Cash Ledger'!$B$6:$B$1005,"&gt;="&amp;$A27,'Cash Ledger'!$B$6:$B$1005,"&lt;="&amp;($A27+6)))</f>
        <v/>
      </c>
      <c r="F27" s="17" t="str">
        <f aca="true">IF($A27&gt;TODAY(),"",SUMIFS('Cash Ledger'!$E$6:$E$1005,'Cash Ledger'!$I$6:$I$1005,$D$4,'Cash Ledger'!$D$6:$D$1005,"Weekly pay",'Cash Ledger'!$B$6:$B$1005,"&gt;="&amp;$A27,'Cash Ledger'!$B$6:$B$1005,"&lt;="&amp;($A27+6)))</f>
        <v/>
      </c>
      <c r="G27" s="56" t="str">
        <f aca="true">IF($A27&gt;TODAY(),"",SUMPRODUCT((Weeks!$A$6:$A$58&lt;=$A27)*(Weeks!$Z$4:$AK$4=$D$4)*Weeks!$Z$6:$AK$58)-SUMIFS('Cash Ledger'!$E$6:$E$1005,'Cash Ledger'!$I$6:$I$1005,$D$4,'Cash Ledger'!$B$6:$B$1005,"&lt;="&amp;($A27+6)))</f>
        <v/>
      </c>
      <c r="H27" s="19" t="str">
        <f aca="true">IF(OR($A27&gt;TODAY(),$G27=""),"",IF(ROUND($G27,0)&lt;0,"owes you",IF(ROUND($G27,0)&gt;0,"you owe","settled")))</f>
        <v/>
      </c>
    </row>
    <row r="28" customFormat="false" ht="15" hidden="false" customHeight="false" outlineLevel="0" collapsed="false">
      <c r="A28" s="10" t="n">
        <f aca="false">Weeks!$A$27</f>
        <v>46433</v>
      </c>
      <c r="B28" s="15" t="str">
        <f aca="true">IF($A28&gt;TODAY(),"",IFERROR(INDEX(Weeks!$N$6:$Y$58,MATCH($A28,Weeks!$A$6:$A$58,0),MATCH($D$4,Weeks!$N$4:$Y$4,0)),0))</f>
        <v/>
      </c>
      <c r="C28" s="17" t="str">
        <f aca="true">IF($A28&gt;TODAY(),"",IFERROR(INDEX(Weeks!$Z$6:$AK$58,MATCH($A28,Weeks!$A$6:$A$58,0),MATCH($D$4,Weeks!$Z$4:$AK$4,0)),0))</f>
        <v/>
      </c>
      <c r="D28" s="17" t="str">
        <f aca="true">IF($A28&gt;TODAY(),"",SUMIFS('Cash Ledger'!$E$6:$E$1005,'Cash Ledger'!$I$6:$I$1005,$D$4,'Cash Ledger'!$D$6:$D$1005,"Advance",'Cash Ledger'!$B$6:$B$1005,"&gt;="&amp;$A28,'Cash Ledger'!$B$6:$B$1005,"&lt;="&amp;($A28+6)))</f>
        <v/>
      </c>
      <c r="E28" s="29" t="str">
        <f aca="true">IF($A28&gt;TODAY(),"",SUMIFS('Cash Ledger'!$E$6:$E$1005,'Cash Ledger'!$I$6:$I$1005,$D$4,'Cash Ledger'!$D$6:$D$1005,"Correction",'Cash Ledger'!$B$6:$B$1005,"&gt;="&amp;$A28,'Cash Ledger'!$B$6:$B$1005,"&lt;="&amp;($A28+6)))</f>
        <v/>
      </c>
      <c r="F28" s="17" t="str">
        <f aca="true">IF($A28&gt;TODAY(),"",SUMIFS('Cash Ledger'!$E$6:$E$1005,'Cash Ledger'!$I$6:$I$1005,$D$4,'Cash Ledger'!$D$6:$D$1005,"Weekly pay",'Cash Ledger'!$B$6:$B$1005,"&gt;="&amp;$A28,'Cash Ledger'!$B$6:$B$1005,"&lt;="&amp;($A28+6)))</f>
        <v/>
      </c>
      <c r="G28" s="56" t="str">
        <f aca="true">IF($A28&gt;TODAY(),"",SUMPRODUCT((Weeks!$A$6:$A$58&lt;=$A28)*(Weeks!$Z$4:$AK$4=$D$4)*Weeks!$Z$6:$AK$58)-SUMIFS('Cash Ledger'!$E$6:$E$1005,'Cash Ledger'!$I$6:$I$1005,$D$4,'Cash Ledger'!$B$6:$B$1005,"&lt;="&amp;($A28+6)))</f>
        <v/>
      </c>
      <c r="H28" s="19" t="str">
        <f aca="true">IF(OR($A28&gt;TODAY(),$G28=""),"",IF(ROUND($G28,0)&lt;0,"owes you",IF(ROUND($G28,0)&gt;0,"you owe","settled")))</f>
        <v/>
      </c>
    </row>
    <row r="29" customFormat="false" ht="15" hidden="false" customHeight="false" outlineLevel="0" collapsed="false">
      <c r="A29" s="10" t="n">
        <f aca="false">Weeks!$A$28</f>
        <v>46440</v>
      </c>
      <c r="B29" s="15" t="str">
        <f aca="true">IF($A29&gt;TODAY(),"",IFERROR(INDEX(Weeks!$N$6:$Y$58,MATCH($A29,Weeks!$A$6:$A$58,0),MATCH($D$4,Weeks!$N$4:$Y$4,0)),0))</f>
        <v/>
      </c>
      <c r="C29" s="17" t="str">
        <f aca="true">IF($A29&gt;TODAY(),"",IFERROR(INDEX(Weeks!$Z$6:$AK$58,MATCH($A29,Weeks!$A$6:$A$58,0),MATCH($D$4,Weeks!$Z$4:$AK$4,0)),0))</f>
        <v/>
      </c>
      <c r="D29" s="17" t="str">
        <f aca="true">IF($A29&gt;TODAY(),"",SUMIFS('Cash Ledger'!$E$6:$E$1005,'Cash Ledger'!$I$6:$I$1005,$D$4,'Cash Ledger'!$D$6:$D$1005,"Advance",'Cash Ledger'!$B$6:$B$1005,"&gt;="&amp;$A29,'Cash Ledger'!$B$6:$B$1005,"&lt;="&amp;($A29+6)))</f>
        <v/>
      </c>
      <c r="E29" s="29" t="str">
        <f aca="true">IF($A29&gt;TODAY(),"",SUMIFS('Cash Ledger'!$E$6:$E$1005,'Cash Ledger'!$I$6:$I$1005,$D$4,'Cash Ledger'!$D$6:$D$1005,"Correction",'Cash Ledger'!$B$6:$B$1005,"&gt;="&amp;$A29,'Cash Ledger'!$B$6:$B$1005,"&lt;="&amp;($A29+6)))</f>
        <v/>
      </c>
      <c r="F29" s="17" t="str">
        <f aca="true">IF($A29&gt;TODAY(),"",SUMIFS('Cash Ledger'!$E$6:$E$1005,'Cash Ledger'!$I$6:$I$1005,$D$4,'Cash Ledger'!$D$6:$D$1005,"Weekly pay",'Cash Ledger'!$B$6:$B$1005,"&gt;="&amp;$A29,'Cash Ledger'!$B$6:$B$1005,"&lt;="&amp;($A29+6)))</f>
        <v/>
      </c>
      <c r="G29" s="56" t="str">
        <f aca="true">IF($A29&gt;TODAY(),"",SUMPRODUCT((Weeks!$A$6:$A$58&lt;=$A29)*(Weeks!$Z$4:$AK$4=$D$4)*Weeks!$Z$6:$AK$58)-SUMIFS('Cash Ledger'!$E$6:$E$1005,'Cash Ledger'!$I$6:$I$1005,$D$4,'Cash Ledger'!$B$6:$B$1005,"&lt;="&amp;($A29+6)))</f>
        <v/>
      </c>
      <c r="H29" s="19" t="str">
        <f aca="true">IF(OR($A29&gt;TODAY(),$G29=""),"",IF(ROUND($G29,0)&lt;0,"owes you",IF(ROUND($G29,0)&gt;0,"you owe","settled")))</f>
        <v/>
      </c>
    </row>
    <row r="30" customFormat="false" ht="15" hidden="false" customHeight="false" outlineLevel="0" collapsed="false">
      <c r="A30" s="10" t="n">
        <f aca="false">Weeks!$A$29</f>
        <v>46447</v>
      </c>
      <c r="B30" s="15" t="str">
        <f aca="true">IF($A30&gt;TODAY(),"",IFERROR(INDEX(Weeks!$N$6:$Y$58,MATCH($A30,Weeks!$A$6:$A$58,0),MATCH($D$4,Weeks!$N$4:$Y$4,0)),0))</f>
        <v/>
      </c>
      <c r="C30" s="17" t="str">
        <f aca="true">IF($A30&gt;TODAY(),"",IFERROR(INDEX(Weeks!$Z$6:$AK$58,MATCH($A30,Weeks!$A$6:$A$58,0),MATCH($D$4,Weeks!$Z$4:$AK$4,0)),0))</f>
        <v/>
      </c>
      <c r="D30" s="17" t="str">
        <f aca="true">IF($A30&gt;TODAY(),"",SUMIFS('Cash Ledger'!$E$6:$E$1005,'Cash Ledger'!$I$6:$I$1005,$D$4,'Cash Ledger'!$D$6:$D$1005,"Advance",'Cash Ledger'!$B$6:$B$1005,"&gt;="&amp;$A30,'Cash Ledger'!$B$6:$B$1005,"&lt;="&amp;($A30+6)))</f>
        <v/>
      </c>
      <c r="E30" s="29" t="str">
        <f aca="true">IF($A30&gt;TODAY(),"",SUMIFS('Cash Ledger'!$E$6:$E$1005,'Cash Ledger'!$I$6:$I$1005,$D$4,'Cash Ledger'!$D$6:$D$1005,"Correction",'Cash Ledger'!$B$6:$B$1005,"&gt;="&amp;$A30,'Cash Ledger'!$B$6:$B$1005,"&lt;="&amp;($A30+6)))</f>
        <v/>
      </c>
      <c r="F30" s="17" t="str">
        <f aca="true">IF($A30&gt;TODAY(),"",SUMIFS('Cash Ledger'!$E$6:$E$1005,'Cash Ledger'!$I$6:$I$1005,$D$4,'Cash Ledger'!$D$6:$D$1005,"Weekly pay",'Cash Ledger'!$B$6:$B$1005,"&gt;="&amp;$A30,'Cash Ledger'!$B$6:$B$1005,"&lt;="&amp;($A30+6)))</f>
        <v/>
      </c>
      <c r="G30" s="56" t="str">
        <f aca="true">IF($A30&gt;TODAY(),"",SUMPRODUCT((Weeks!$A$6:$A$58&lt;=$A30)*(Weeks!$Z$4:$AK$4=$D$4)*Weeks!$Z$6:$AK$58)-SUMIFS('Cash Ledger'!$E$6:$E$1005,'Cash Ledger'!$I$6:$I$1005,$D$4,'Cash Ledger'!$B$6:$B$1005,"&lt;="&amp;($A30+6)))</f>
        <v/>
      </c>
      <c r="H30" s="19" t="str">
        <f aca="true">IF(OR($A30&gt;TODAY(),$G30=""),"",IF(ROUND($G30,0)&lt;0,"owes you",IF(ROUND($G30,0)&gt;0,"you owe","settled")))</f>
        <v/>
      </c>
    </row>
    <row r="31" customFormat="false" ht="15" hidden="false" customHeight="false" outlineLevel="0" collapsed="false">
      <c r="A31" s="10" t="n">
        <f aca="false">Weeks!$A$30</f>
        <v>46454</v>
      </c>
      <c r="B31" s="15" t="str">
        <f aca="true">IF($A31&gt;TODAY(),"",IFERROR(INDEX(Weeks!$N$6:$Y$58,MATCH($A31,Weeks!$A$6:$A$58,0),MATCH($D$4,Weeks!$N$4:$Y$4,0)),0))</f>
        <v/>
      </c>
      <c r="C31" s="17" t="str">
        <f aca="true">IF($A31&gt;TODAY(),"",IFERROR(INDEX(Weeks!$Z$6:$AK$58,MATCH($A31,Weeks!$A$6:$A$58,0),MATCH($D$4,Weeks!$Z$4:$AK$4,0)),0))</f>
        <v/>
      </c>
      <c r="D31" s="17" t="str">
        <f aca="true">IF($A31&gt;TODAY(),"",SUMIFS('Cash Ledger'!$E$6:$E$1005,'Cash Ledger'!$I$6:$I$1005,$D$4,'Cash Ledger'!$D$6:$D$1005,"Advance",'Cash Ledger'!$B$6:$B$1005,"&gt;="&amp;$A31,'Cash Ledger'!$B$6:$B$1005,"&lt;="&amp;($A31+6)))</f>
        <v/>
      </c>
      <c r="E31" s="29" t="str">
        <f aca="true">IF($A31&gt;TODAY(),"",SUMIFS('Cash Ledger'!$E$6:$E$1005,'Cash Ledger'!$I$6:$I$1005,$D$4,'Cash Ledger'!$D$6:$D$1005,"Correction",'Cash Ledger'!$B$6:$B$1005,"&gt;="&amp;$A31,'Cash Ledger'!$B$6:$B$1005,"&lt;="&amp;($A31+6)))</f>
        <v/>
      </c>
      <c r="F31" s="17" t="str">
        <f aca="true">IF($A31&gt;TODAY(),"",SUMIFS('Cash Ledger'!$E$6:$E$1005,'Cash Ledger'!$I$6:$I$1005,$D$4,'Cash Ledger'!$D$6:$D$1005,"Weekly pay",'Cash Ledger'!$B$6:$B$1005,"&gt;="&amp;$A31,'Cash Ledger'!$B$6:$B$1005,"&lt;="&amp;($A31+6)))</f>
        <v/>
      </c>
      <c r="G31" s="56" t="str">
        <f aca="true">IF($A31&gt;TODAY(),"",SUMPRODUCT((Weeks!$A$6:$A$58&lt;=$A31)*(Weeks!$Z$4:$AK$4=$D$4)*Weeks!$Z$6:$AK$58)-SUMIFS('Cash Ledger'!$E$6:$E$1005,'Cash Ledger'!$I$6:$I$1005,$D$4,'Cash Ledger'!$B$6:$B$1005,"&lt;="&amp;($A31+6)))</f>
        <v/>
      </c>
      <c r="H31" s="19" t="str">
        <f aca="true">IF(OR($A31&gt;TODAY(),$G31=""),"",IF(ROUND($G31,0)&lt;0,"owes you",IF(ROUND($G31,0)&gt;0,"you owe","settled")))</f>
        <v/>
      </c>
    </row>
    <row r="32" customFormat="false" ht="15" hidden="false" customHeight="false" outlineLevel="0" collapsed="false">
      <c r="A32" s="10" t="n">
        <f aca="false">Weeks!$A$31</f>
        <v>46461</v>
      </c>
      <c r="B32" s="15" t="str">
        <f aca="true">IF($A32&gt;TODAY(),"",IFERROR(INDEX(Weeks!$N$6:$Y$58,MATCH($A32,Weeks!$A$6:$A$58,0),MATCH($D$4,Weeks!$N$4:$Y$4,0)),0))</f>
        <v/>
      </c>
      <c r="C32" s="17" t="str">
        <f aca="true">IF($A32&gt;TODAY(),"",IFERROR(INDEX(Weeks!$Z$6:$AK$58,MATCH($A32,Weeks!$A$6:$A$58,0),MATCH($D$4,Weeks!$Z$4:$AK$4,0)),0))</f>
        <v/>
      </c>
      <c r="D32" s="17" t="str">
        <f aca="true">IF($A32&gt;TODAY(),"",SUMIFS('Cash Ledger'!$E$6:$E$1005,'Cash Ledger'!$I$6:$I$1005,$D$4,'Cash Ledger'!$D$6:$D$1005,"Advance",'Cash Ledger'!$B$6:$B$1005,"&gt;="&amp;$A32,'Cash Ledger'!$B$6:$B$1005,"&lt;="&amp;($A32+6)))</f>
        <v/>
      </c>
      <c r="E32" s="29" t="str">
        <f aca="true">IF($A32&gt;TODAY(),"",SUMIFS('Cash Ledger'!$E$6:$E$1005,'Cash Ledger'!$I$6:$I$1005,$D$4,'Cash Ledger'!$D$6:$D$1005,"Correction",'Cash Ledger'!$B$6:$B$1005,"&gt;="&amp;$A32,'Cash Ledger'!$B$6:$B$1005,"&lt;="&amp;($A32+6)))</f>
        <v/>
      </c>
      <c r="F32" s="17" t="str">
        <f aca="true">IF($A32&gt;TODAY(),"",SUMIFS('Cash Ledger'!$E$6:$E$1005,'Cash Ledger'!$I$6:$I$1005,$D$4,'Cash Ledger'!$D$6:$D$1005,"Weekly pay",'Cash Ledger'!$B$6:$B$1005,"&gt;="&amp;$A32,'Cash Ledger'!$B$6:$B$1005,"&lt;="&amp;($A32+6)))</f>
        <v/>
      </c>
      <c r="G32" s="56" t="str">
        <f aca="true">IF($A32&gt;TODAY(),"",SUMPRODUCT((Weeks!$A$6:$A$58&lt;=$A32)*(Weeks!$Z$4:$AK$4=$D$4)*Weeks!$Z$6:$AK$58)-SUMIFS('Cash Ledger'!$E$6:$E$1005,'Cash Ledger'!$I$6:$I$1005,$D$4,'Cash Ledger'!$B$6:$B$1005,"&lt;="&amp;($A32+6)))</f>
        <v/>
      </c>
      <c r="H32" s="19" t="str">
        <f aca="true">IF(OR($A32&gt;TODAY(),$G32=""),"",IF(ROUND($G32,0)&lt;0,"owes you",IF(ROUND($G32,0)&gt;0,"you owe","settled")))</f>
        <v/>
      </c>
    </row>
    <row r="33" customFormat="false" ht="15" hidden="false" customHeight="false" outlineLevel="0" collapsed="false">
      <c r="A33" s="10" t="n">
        <f aca="false">Weeks!$A$32</f>
        <v>46468</v>
      </c>
      <c r="B33" s="15" t="str">
        <f aca="true">IF($A33&gt;TODAY(),"",IFERROR(INDEX(Weeks!$N$6:$Y$58,MATCH($A33,Weeks!$A$6:$A$58,0),MATCH($D$4,Weeks!$N$4:$Y$4,0)),0))</f>
        <v/>
      </c>
      <c r="C33" s="17" t="str">
        <f aca="true">IF($A33&gt;TODAY(),"",IFERROR(INDEX(Weeks!$Z$6:$AK$58,MATCH($A33,Weeks!$A$6:$A$58,0),MATCH($D$4,Weeks!$Z$4:$AK$4,0)),0))</f>
        <v/>
      </c>
      <c r="D33" s="17" t="str">
        <f aca="true">IF($A33&gt;TODAY(),"",SUMIFS('Cash Ledger'!$E$6:$E$1005,'Cash Ledger'!$I$6:$I$1005,$D$4,'Cash Ledger'!$D$6:$D$1005,"Advance",'Cash Ledger'!$B$6:$B$1005,"&gt;="&amp;$A33,'Cash Ledger'!$B$6:$B$1005,"&lt;="&amp;($A33+6)))</f>
        <v/>
      </c>
      <c r="E33" s="29" t="str">
        <f aca="true">IF($A33&gt;TODAY(),"",SUMIFS('Cash Ledger'!$E$6:$E$1005,'Cash Ledger'!$I$6:$I$1005,$D$4,'Cash Ledger'!$D$6:$D$1005,"Correction",'Cash Ledger'!$B$6:$B$1005,"&gt;="&amp;$A33,'Cash Ledger'!$B$6:$B$1005,"&lt;="&amp;($A33+6)))</f>
        <v/>
      </c>
      <c r="F33" s="17" t="str">
        <f aca="true">IF($A33&gt;TODAY(),"",SUMIFS('Cash Ledger'!$E$6:$E$1005,'Cash Ledger'!$I$6:$I$1005,$D$4,'Cash Ledger'!$D$6:$D$1005,"Weekly pay",'Cash Ledger'!$B$6:$B$1005,"&gt;="&amp;$A33,'Cash Ledger'!$B$6:$B$1005,"&lt;="&amp;($A33+6)))</f>
        <v/>
      </c>
      <c r="G33" s="56" t="str">
        <f aca="true">IF($A33&gt;TODAY(),"",SUMPRODUCT((Weeks!$A$6:$A$58&lt;=$A33)*(Weeks!$Z$4:$AK$4=$D$4)*Weeks!$Z$6:$AK$58)-SUMIFS('Cash Ledger'!$E$6:$E$1005,'Cash Ledger'!$I$6:$I$1005,$D$4,'Cash Ledger'!$B$6:$B$1005,"&lt;="&amp;($A33+6)))</f>
        <v/>
      </c>
      <c r="H33" s="19" t="str">
        <f aca="true">IF(OR($A33&gt;TODAY(),$G33=""),"",IF(ROUND($G33,0)&lt;0,"owes you",IF(ROUND($G33,0)&gt;0,"you owe","settled")))</f>
        <v/>
      </c>
    </row>
    <row r="34" customFormat="false" ht="15" hidden="false" customHeight="false" outlineLevel="0" collapsed="false">
      <c r="A34" s="10" t="n">
        <f aca="false">Weeks!$A$33</f>
        <v>46475</v>
      </c>
      <c r="B34" s="15" t="str">
        <f aca="true">IF($A34&gt;TODAY(),"",IFERROR(INDEX(Weeks!$N$6:$Y$58,MATCH($A34,Weeks!$A$6:$A$58,0),MATCH($D$4,Weeks!$N$4:$Y$4,0)),0))</f>
        <v/>
      </c>
      <c r="C34" s="17" t="str">
        <f aca="true">IF($A34&gt;TODAY(),"",IFERROR(INDEX(Weeks!$Z$6:$AK$58,MATCH($A34,Weeks!$A$6:$A$58,0),MATCH($D$4,Weeks!$Z$4:$AK$4,0)),0))</f>
        <v/>
      </c>
      <c r="D34" s="17" t="str">
        <f aca="true">IF($A34&gt;TODAY(),"",SUMIFS('Cash Ledger'!$E$6:$E$1005,'Cash Ledger'!$I$6:$I$1005,$D$4,'Cash Ledger'!$D$6:$D$1005,"Advance",'Cash Ledger'!$B$6:$B$1005,"&gt;="&amp;$A34,'Cash Ledger'!$B$6:$B$1005,"&lt;="&amp;($A34+6)))</f>
        <v/>
      </c>
      <c r="E34" s="29" t="str">
        <f aca="true">IF($A34&gt;TODAY(),"",SUMIFS('Cash Ledger'!$E$6:$E$1005,'Cash Ledger'!$I$6:$I$1005,$D$4,'Cash Ledger'!$D$6:$D$1005,"Correction",'Cash Ledger'!$B$6:$B$1005,"&gt;="&amp;$A34,'Cash Ledger'!$B$6:$B$1005,"&lt;="&amp;($A34+6)))</f>
        <v/>
      </c>
      <c r="F34" s="17" t="str">
        <f aca="true">IF($A34&gt;TODAY(),"",SUMIFS('Cash Ledger'!$E$6:$E$1005,'Cash Ledger'!$I$6:$I$1005,$D$4,'Cash Ledger'!$D$6:$D$1005,"Weekly pay",'Cash Ledger'!$B$6:$B$1005,"&gt;="&amp;$A34,'Cash Ledger'!$B$6:$B$1005,"&lt;="&amp;($A34+6)))</f>
        <v/>
      </c>
      <c r="G34" s="56" t="str">
        <f aca="true">IF($A34&gt;TODAY(),"",SUMPRODUCT((Weeks!$A$6:$A$58&lt;=$A34)*(Weeks!$Z$4:$AK$4=$D$4)*Weeks!$Z$6:$AK$58)-SUMIFS('Cash Ledger'!$E$6:$E$1005,'Cash Ledger'!$I$6:$I$1005,$D$4,'Cash Ledger'!$B$6:$B$1005,"&lt;="&amp;($A34+6)))</f>
        <v/>
      </c>
      <c r="H34" s="19" t="str">
        <f aca="true">IF(OR($A34&gt;TODAY(),$G34=""),"",IF(ROUND($G34,0)&lt;0,"owes you",IF(ROUND($G34,0)&gt;0,"you owe","settled")))</f>
        <v/>
      </c>
    </row>
    <row r="35" customFormat="false" ht="15" hidden="false" customHeight="false" outlineLevel="0" collapsed="false">
      <c r="A35" s="10" t="n">
        <f aca="false">Weeks!$A$34</f>
        <v>46482</v>
      </c>
      <c r="B35" s="15" t="str">
        <f aca="true">IF($A35&gt;TODAY(),"",IFERROR(INDEX(Weeks!$N$6:$Y$58,MATCH($A35,Weeks!$A$6:$A$58,0),MATCH($D$4,Weeks!$N$4:$Y$4,0)),0))</f>
        <v/>
      </c>
      <c r="C35" s="17" t="str">
        <f aca="true">IF($A35&gt;TODAY(),"",IFERROR(INDEX(Weeks!$Z$6:$AK$58,MATCH($A35,Weeks!$A$6:$A$58,0),MATCH($D$4,Weeks!$Z$4:$AK$4,0)),0))</f>
        <v/>
      </c>
      <c r="D35" s="17" t="str">
        <f aca="true">IF($A35&gt;TODAY(),"",SUMIFS('Cash Ledger'!$E$6:$E$1005,'Cash Ledger'!$I$6:$I$1005,$D$4,'Cash Ledger'!$D$6:$D$1005,"Advance",'Cash Ledger'!$B$6:$B$1005,"&gt;="&amp;$A35,'Cash Ledger'!$B$6:$B$1005,"&lt;="&amp;($A35+6)))</f>
        <v/>
      </c>
      <c r="E35" s="29" t="str">
        <f aca="true">IF($A35&gt;TODAY(),"",SUMIFS('Cash Ledger'!$E$6:$E$1005,'Cash Ledger'!$I$6:$I$1005,$D$4,'Cash Ledger'!$D$6:$D$1005,"Correction",'Cash Ledger'!$B$6:$B$1005,"&gt;="&amp;$A35,'Cash Ledger'!$B$6:$B$1005,"&lt;="&amp;($A35+6)))</f>
        <v/>
      </c>
      <c r="F35" s="17" t="str">
        <f aca="true">IF($A35&gt;TODAY(),"",SUMIFS('Cash Ledger'!$E$6:$E$1005,'Cash Ledger'!$I$6:$I$1005,$D$4,'Cash Ledger'!$D$6:$D$1005,"Weekly pay",'Cash Ledger'!$B$6:$B$1005,"&gt;="&amp;$A35,'Cash Ledger'!$B$6:$B$1005,"&lt;="&amp;($A35+6)))</f>
        <v/>
      </c>
      <c r="G35" s="56" t="str">
        <f aca="true">IF($A35&gt;TODAY(),"",SUMPRODUCT((Weeks!$A$6:$A$58&lt;=$A35)*(Weeks!$Z$4:$AK$4=$D$4)*Weeks!$Z$6:$AK$58)-SUMIFS('Cash Ledger'!$E$6:$E$1005,'Cash Ledger'!$I$6:$I$1005,$D$4,'Cash Ledger'!$B$6:$B$1005,"&lt;="&amp;($A35+6)))</f>
        <v/>
      </c>
      <c r="H35" s="19" t="str">
        <f aca="true">IF(OR($A35&gt;TODAY(),$G35=""),"",IF(ROUND($G35,0)&lt;0,"owes you",IF(ROUND($G35,0)&gt;0,"you owe","settled")))</f>
        <v/>
      </c>
    </row>
    <row r="36" customFormat="false" ht="15" hidden="false" customHeight="false" outlineLevel="0" collapsed="false">
      <c r="A36" s="10" t="n">
        <f aca="false">Weeks!$A$35</f>
        <v>46489</v>
      </c>
      <c r="B36" s="15" t="str">
        <f aca="true">IF($A36&gt;TODAY(),"",IFERROR(INDEX(Weeks!$N$6:$Y$58,MATCH($A36,Weeks!$A$6:$A$58,0),MATCH($D$4,Weeks!$N$4:$Y$4,0)),0))</f>
        <v/>
      </c>
      <c r="C36" s="17" t="str">
        <f aca="true">IF($A36&gt;TODAY(),"",IFERROR(INDEX(Weeks!$Z$6:$AK$58,MATCH($A36,Weeks!$A$6:$A$58,0),MATCH($D$4,Weeks!$Z$4:$AK$4,0)),0))</f>
        <v/>
      </c>
      <c r="D36" s="17" t="str">
        <f aca="true">IF($A36&gt;TODAY(),"",SUMIFS('Cash Ledger'!$E$6:$E$1005,'Cash Ledger'!$I$6:$I$1005,$D$4,'Cash Ledger'!$D$6:$D$1005,"Advance",'Cash Ledger'!$B$6:$B$1005,"&gt;="&amp;$A36,'Cash Ledger'!$B$6:$B$1005,"&lt;="&amp;($A36+6)))</f>
        <v/>
      </c>
      <c r="E36" s="29" t="str">
        <f aca="true">IF($A36&gt;TODAY(),"",SUMIFS('Cash Ledger'!$E$6:$E$1005,'Cash Ledger'!$I$6:$I$1005,$D$4,'Cash Ledger'!$D$6:$D$1005,"Correction",'Cash Ledger'!$B$6:$B$1005,"&gt;="&amp;$A36,'Cash Ledger'!$B$6:$B$1005,"&lt;="&amp;($A36+6)))</f>
        <v/>
      </c>
      <c r="F36" s="17" t="str">
        <f aca="true">IF($A36&gt;TODAY(),"",SUMIFS('Cash Ledger'!$E$6:$E$1005,'Cash Ledger'!$I$6:$I$1005,$D$4,'Cash Ledger'!$D$6:$D$1005,"Weekly pay",'Cash Ledger'!$B$6:$B$1005,"&gt;="&amp;$A36,'Cash Ledger'!$B$6:$B$1005,"&lt;="&amp;($A36+6)))</f>
        <v/>
      </c>
      <c r="G36" s="56" t="str">
        <f aca="true">IF($A36&gt;TODAY(),"",SUMPRODUCT((Weeks!$A$6:$A$58&lt;=$A36)*(Weeks!$Z$4:$AK$4=$D$4)*Weeks!$Z$6:$AK$58)-SUMIFS('Cash Ledger'!$E$6:$E$1005,'Cash Ledger'!$I$6:$I$1005,$D$4,'Cash Ledger'!$B$6:$B$1005,"&lt;="&amp;($A36+6)))</f>
        <v/>
      </c>
      <c r="H36" s="19" t="str">
        <f aca="true">IF(OR($A36&gt;TODAY(),$G36=""),"",IF(ROUND($G36,0)&lt;0,"owes you",IF(ROUND($G36,0)&gt;0,"you owe","settled")))</f>
        <v/>
      </c>
    </row>
    <row r="37" customFormat="false" ht="15" hidden="false" customHeight="false" outlineLevel="0" collapsed="false">
      <c r="A37" s="10" t="n">
        <f aca="false">Weeks!$A$36</f>
        <v>46496</v>
      </c>
      <c r="B37" s="15" t="str">
        <f aca="true">IF($A37&gt;TODAY(),"",IFERROR(INDEX(Weeks!$N$6:$Y$58,MATCH($A37,Weeks!$A$6:$A$58,0),MATCH($D$4,Weeks!$N$4:$Y$4,0)),0))</f>
        <v/>
      </c>
      <c r="C37" s="17" t="str">
        <f aca="true">IF($A37&gt;TODAY(),"",IFERROR(INDEX(Weeks!$Z$6:$AK$58,MATCH($A37,Weeks!$A$6:$A$58,0),MATCH($D$4,Weeks!$Z$4:$AK$4,0)),0))</f>
        <v/>
      </c>
      <c r="D37" s="17" t="str">
        <f aca="true">IF($A37&gt;TODAY(),"",SUMIFS('Cash Ledger'!$E$6:$E$1005,'Cash Ledger'!$I$6:$I$1005,$D$4,'Cash Ledger'!$D$6:$D$1005,"Advance",'Cash Ledger'!$B$6:$B$1005,"&gt;="&amp;$A37,'Cash Ledger'!$B$6:$B$1005,"&lt;="&amp;($A37+6)))</f>
        <v/>
      </c>
      <c r="E37" s="29" t="str">
        <f aca="true">IF($A37&gt;TODAY(),"",SUMIFS('Cash Ledger'!$E$6:$E$1005,'Cash Ledger'!$I$6:$I$1005,$D$4,'Cash Ledger'!$D$6:$D$1005,"Correction",'Cash Ledger'!$B$6:$B$1005,"&gt;="&amp;$A37,'Cash Ledger'!$B$6:$B$1005,"&lt;="&amp;($A37+6)))</f>
        <v/>
      </c>
      <c r="F37" s="17" t="str">
        <f aca="true">IF($A37&gt;TODAY(),"",SUMIFS('Cash Ledger'!$E$6:$E$1005,'Cash Ledger'!$I$6:$I$1005,$D$4,'Cash Ledger'!$D$6:$D$1005,"Weekly pay",'Cash Ledger'!$B$6:$B$1005,"&gt;="&amp;$A37,'Cash Ledger'!$B$6:$B$1005,"&lt;="&amp;($A37+6)))</f>
        <v/>
      </c>
      <c r="G37" s="56" t="str">
        <f aca="true">IF($A37&gt;TODAY(),"",SUMPRODUCT((Weeks!$A$6:$A$58&lt;=$A37)*(Weeks!$Z$4:$AK$4=$D$4)*Weeks!$Z$6:$AK$58)-SUMIFS('Cash Ledger'!$E$6:$E$1005,'Cash Ledger'!$I$6:$I$1005,$D$4,'Cash Ledger'!$B$6:$B$1005,"&lt;="&amp;($A37+6)))</f>
        <v/>
      </c>
      <c r="H37" s="19" t="str">
        <f aca="true">IF(OR($A37&gt;TODAY(),$G37=""),"",IF(ROUND($G37,0)&lt;0,"owes you",IF(ROUND($G37,0)&gt;0,"you owe","settled")))</f>
        <v/>
      </c>
    </row>
    <row r="38" customFormat="false" ht="15" hidden="false" customHeight="false" outlineLevel="0" collapsed="false">
      <c r="A38" s="10" t="n">
        <f aca="false">Weeks!$A$37</f>
        <v>46503</v>
      </c>
      <c r="B38" s="15" t="str">
        <f aca="true">IF($A38&gt;TODAY(),"",IFERROR(INDEX(Weeks!$N$6:$Y$58,MATCH($A38,Weeks!$A$6:$A$58,0),MATCH($D$4,Weeks!$N$4:$Y$4,0)),0))</f>
        <v/>
      </c>
      <c r="C38" s="17" t="str">
        <f aca="true">IF($A38&gt;TODAY(),"",IFERROR(INDEX(Weeks!$Z$6:$AK$58,MATCH($A38,Weeks!$A$6:$A$58,0),MATCH($D$4,Weeks!$Z$4:$AK$4,0)),0))</f>
        <v/>
      </c>
      <c r="D38" s="17" t="str">
        <f aca="true">IF($A38&gt;TODAY(),"",SUMIFS('Cash Ledger'!$E$6:$E$1005,'Cash Ledger'!$I$6:$I$1005,$D$4,'Cash Ledger'!$D$6:$D$1005,"Advance",'Cash Ledger'!$B$6:$B$1005,"&gt;="&amp;$A38,'Cash Ledger'!$B$6:$B$1005,"&lt;="&amp;($A38+6)))</f>
        <v/>
      </c>
      <c r="E38" s="29" t="str">
        <f aca="true">IF($A38&gt;TODAY(),"",SUMIFS('Cash Ledger'!$E$6:$E$1005,'Cash Ledger'!$I$6:$I$1005,$D$4,'Cash Ledger'!$D$6:$D$1005,"Correction",'Cash Ledger'!$B$6:$B$1005,"&gt;="&amp;$A38,'Cash Ledger'!$B$6:$B$1005,"&lt;="&amp;($A38+6)))</f>
        <v/>
      </c>
      <c r="F38" s="17" t="str">
        <f aca="true">IF($A38&gt;TODAY(),"",SUMIFS('Cash Ledger'!$E$6:$E$1005,'Cash Ledger'!$I$6:$I$1005,$D$4,'Cash Ledger'!$D$6:$D$1005,"Weekly pay",'Cash Ledger'!$B$6:$B$1005,"&gt;="&amp;$A38,'Cash Ledger'!$B$6:$B$1005,"&lt;="&amp;($A38+6)))</f>
        <v/>
      </c>
      <c r="G38" s="56" t="str">
        <f aca="true">IF($A38&gt;TODAY(),"",SUMPRODUCT((Weeks!$A$6:$A$58&lt;=$A38)*(Weeks!$Z$4:$AK$4=$D$4)*Weeks!$Z$6:$AK$58)-SUMIFS('Cash Ledger'!$E$6:$E$1005,'Cash Ledger'!$I$6:$I$1005,$D$4,'Cash Ledger'!$B$6:$B$1005,"&lt;="&amp;($A38+6)))</f>
        <v/>
      </c>
      <c r="H38" s="19" t="str">
        <f aca="true">IF(OR($A38&gt;TODAY(),$G38=""),"",IF(ROUND($G38,0)&lt;0,"owes you",IF(ROUND($G38,0)&gt;0,"you owe","settled")))</f>
        <v/>
      </c>
    </row>
    <row r="39" customFormat="false" ht="15" hidden="false" customHeight="false" outlineLevel="0" collapsed="false">
      <c r="A39" s="10" t="n">
        <f aca="false">Weeks!$A$38</f>
        <v>46510</v>
      </c>
      <c r="B39" s="15" t="str">
        <f aca="true">IF($A39&gt;TODAY(),"",IFERROR(INDEX(Weeks!$N$6:$Y$58,MATCH($A39,Weeks!$A$6:$A$58,0),MATCH($D$4,Weeks!$N$4:$Y$4,0)),0))</f>
        <v/>
      </c>
      <c r="C39" s="17" t="str">
        <f aca="true">IF($A39&gt;TODAY(),"",IFERROR(INDEX(Weeks!$Z$6:$AK$58,MATCH($A39,Weeks!$A$6:$A$58,0),MATCH($D$4,Weeks!$Z$4:$AK$4,0)),0))</f>
        <v/>
      </c>
      <c r="D39" s="17" t="str">
        <f aca="true">IF($A39&gt;TODAY(),"",SUMIFS('Cash Ledger'!$E$6:$E$1005,'Cash Ledger'!$I$6:$I$1005,$D$4,'Cash Ledger'!$D$6:$D$1005,"Advance",'Cash Ledger'!$B$6:$B$1005,"&gt;="&amp;$A39,'Cash Ledger'!$B$6:$B$1005,"&lt;="&amp;($A39+6)))</f>
        <v/>
      </c>
      <c r="E39" s="29" t="str">
        <f aca="true">IF($A39&gt;TODAY(),"",SUMIFS('Cash Ledger'!$E$6:$E$1005,'Cash Ledger'!$I$6:$I$1005,$D$4,'Cash Ledger'!$D$6:$D$1005,"Correction",'Cash Ledger'!$B$6:$B$1005,"&gt;="&amp;$A39,'Cash Ledger'!$B$6:$B$1005,"&lt;="&amp;($A39+6)))</f>
        <v/>
      </c>
      <c r="F39" s="17" t="str">
        <f aca="true">IF($A39&gt;TODAY(),"",SUMIFS('Cash Ledger'!$E$6:$E$1005,'Cash Ledger'!$I$6:$I$1005,$D$4,'Cash Ledger'!$D$6:$D$1005,"Weekly pay",'Cash Ledger'!$B$6:$B$1005,"&gt;="&amp;$A39,'Cash Ledger'!$B$6:$B$1005,"&lt;="&amp;($A39+6)))</f>
        <v/>
      </c>
      <c r="G39" s="56" t="str">
        <f aca="true">IF($A39&gt;TODAY(),"",SUMPRODUCT((Weeks!$A$6:$A$58&lt;=$A39)*(Weeks!$Z$4:$AK$4=$D$4)*Weeks!$Z$6:$AK$58)-SUMIFS('Cash Ledger'!$E$6:$E$1005,'Cash Ledger'!$I$6:$I$1005,$D$4,'Cash Ledger'!$B$6:$B$1005,"&lt;="&amp;($A39+6)))</f>
        <v/>
      </c>
      <c r="H39" s="19" t="str">
        <f aca="true">IF(OR($A39&gt;TODAY(),$G39=""),"",IF(ROUND($G39,0)&lt;0,"owes you",IF(ROUND($G39,0)&gt;0,"you owe","settled")))</f>
        <v/>
      </c>
    </row>
    <row r="40" customFormat="false" ht="15" hidden="false" customHeight="false" outlineLevel="0" collapsed="false">
      <c r="A40" s="10" t="n">
        <f aca="false">Weeks!$A$39</f>
        <v>46517</v>
      </c>
      <c r="B40" s="15" t="str">
        <f aca="true">IF($A40&gt;TODAY(),"",IFERROR(INDEX(Weeks!$N$6:$Y$58,MATCH($A40,Weeks!$A$6:$A$58,0),MATCH($D$4,Weeks!$N$4:$Y$4,0)),0))</f>
        <v/>
      </c>
      <c r="C40" s="17" t="str">
        <f aca="true">IF($A40&gt;TODAY(),"",IFERROR(INDEX(Weeks!$Z$6:$AK$58,MATCH($A40,Weeks!$A$6:$A$58,0),MATCH($D$4,Weeks!$Z$4:$AK$4,0)),0))</f>
        <v/>
      </c>
      <c r="D40" s="17" t="str">
        <f aca="true">IF($A40&gt;TODAY(),"",SUMIFS('Cash Ledger'!$E$6:$E$1005,'Cash Ledger'!$I$6:$I$1005,$D$4,'Cash Ledger'!$D$6:$D$1005,"Advance",'Cash Ledger'!$B$6:$B$1005,"&gt;="&amp;$A40,'Cash Ledger'!$B$6:$B$1005,"&lt;="&amp;($A40+6)))</f>
        <v/>
      </c>
      <c r="E40" s="29" t="str">
        <f aca="true">IF($A40&gt;TODAY(),"",SUMIFS('Cash Ledger'!$E$6:$E$1005,'Cash Ledger'!$I$6:$I$1005,$D$4,'Cash Ledger'!$D$6:$D$1005,"Correction",'Cash Ledger'!$B$6:$B$1005,"&gt;="&amp;$A40,'Cash Ledger'!$B$6:$B$1005,"&lt;="&amp;($A40+6)))</f>
        <v/>
      </c>
      <c r="F40" s="17" t="str">
        <f aca="true">IF($A40&gt;TODAY(),"",SUMIFS('Cash Ledger'!$E$6:$E$1005,'Cash Ledger'!$I$6:$I$1005,$D$4,'Cash Ledger'!$D$6:$D$1005,"Weekly pay",'Cash Ledger'!$B$6:$B$1005,"&gt;="&amp;$A40,'Cash Ledger'!$B$6:$B$1005,"&lt;="&amp;($A40+6)))</f>
        <v/>
      </c>
      <c r="G40" s="56" t="str">
        <f aca="true">IF($A40&gt;TODAY(),"",SUMPRODUCT((Weeks!$A$6:$A$58&lt;=$A40)*(Weeks!$Z$4:$AK$4=$D$4)*Weeks!$Z$6:$AK$58)-SUMIFS('Cash Ledger'!$E$6:$E$1005,'Cash Ledger'!$I$6:$I$1005,$D$4,'Cash Ledger'!$B$6:$B$1005,"&lt;="&amp;($A40+6)))</f>
        <v/>
      </c>
      <c r="H40" s="19" t="str">
        <f aca="true">IF(OR($A40&gt;TODAY(),$G40=""),"",IF(ROUND($G40,0)&lt;0,"owes you",IF(ROUND($G40,0)&gt;0,"you owe","settled")))</f>
        <v/>
      </c>
    </row>
    <row r="41" customFormat="false" ht="15" hidden="false" customHeight="false" outlineLevel="0" collapsed="false">
      <c r="A41" s="10" t="n">
        <f aca="false">Weeks!$A$40</f>
        <v>46524</v>
      </c>
      <c r="B41" s="15" t="str">
        <f aca="true">IF($A41&gt;TODAY(),"",IFERROR(INDEX(Weeks!$N$6:$Y$58,MATCH($A41,Weeks!$A$6:$A$58,0),MATCH($D$4,Weeks!$N$4:$Y$4,0)),0))</f>
        <v/>
      </c>
      <c r="C41" s="17" t="str">
        <f aca="true">IF($A41&gt;TODAY(),"",IFERROR(INDEX(Weeks!$Z$6:$AK$58,MATCH($A41,Weeks!$A$6:$A$58,0),MATCH($D$4,Weeks!$Z$4:$AK$4,0)),0))</f>
        <v/>
      </c>
      <c r="D41" s="17" t="str">
        <f aca="true">IF($A41&gt;TODAY(),"",SUMIFS('Cash Ledger'!$E$6:$E$1005,'Cash Ledger'!$I$6:$I$1005,$D$4,'Cash Ledger'!$D$6:$D$1005,"Advance",'Cash Ledger'!$B$6:$B$1005,"&gt;="&amp;$A41,'Cash Ledger'!$B$6:$B$1005,"&lt;="&amp;($A41+6)))</f>
        <v/>
      </c>
      <c r="E41" s="29" t="str">
        <f aca="true">IF($A41&gt;TODAY(),"",SUMIFS('Cash Ledger'!$E$6:$E$1005,'Cash Ledger'!$I$6:$I$1005,$D$4,'Cash Ledger'!$D$6:$D$1005,"Correction",'Cash Ledger'!$B$6:$B$1005,"&gt;="&amp;$A41,'Cash Ledger'!$B$6:$B$1005,"&lt;="&amp;($A41+6)))</f>
        <v/>
      </c>
      <c r="F41" s="17" t="str">
        <f aca="true">IF($A41&gt;TODAY(),"",SUMIFS('Cash Ledger'!$E$6:$E$1005,'Cash Ledger'!$I$6:$I$1005,$D$4,'Cash Ledger'!$D$6:$D$1005,"Weekly pay",'Cash Ledger'!$B$6:$B$1005,"&gt;="&amp;$A41,'Cash Ledger'!$B$6:$B$1005,"&lt;="&amp;($A41+6)))</f>
        <v/>
      </c>
      <c r="G41" s="56" t="str">
        <f aca="true">IF($A41&gt;TODAY(),"",SUMPRODUCT((Weeks!$A$6:$A$58&lt;=$A41)*(Weeks!$Z$4:$AK$4=$D$4)*Weeks!$Z$6:$AK$58)-SUMIFS('Cash Ledger'!$E$6:$E$1005,'Cash Ledger'!$I$6:$I$1005,$D$4,'Cash Ledger'!$B$6:$B$1005,"&lt;="&amp;($A41+6)))</f>
        <v/>
      </c>
      <c r="H41" s="19" t="str">
        <f aca="true">IF(OR($A41&gt;TODAY(),$G41=""),"",IF(ROUND($G41,0)&lt;0,"owes you",IF(ROUND($G41,0)&gt;0,"you owe","settled")))</f>
        <v/>
      </c>
    </row>
    <row r="42" customFormat="false" ht="15" hidden="false" customHeight="false" outlineLevel="0" collapsed="false">
      <c r="A42" s="10" t="n">
        <f aca="false">Weeks!$A$41</f>
        <v>46531</v>
      </c>
      <c r="B42" s="15" t="str">
        <f aca="true">IF($A42&gt;TODAY(),"",IFERROR(INDEX(Weeks!$N$6:$Y$58,MATCH($A42,Weeks!$A$6:$A$58,0),MATCH($D$4,Weeks!$N$4:$Y$4,0)),0))</f>
        <v/>
      </c>
      <c r="C42" s="17" t="str">
        <f aca="true">IF($A42&gt;TODAY(),"",IFERROR(INDEX(Weeks!$Z$6:$AK$58,MATCH($A42,Weeks!$A$6:$A$58,0),MATCH($D$4,Weeks!$Z$4:$AK$4,0)),0))</f>
        <v/>
      </c>
      <c r="D42" s="17" t="str">
        <f aca="true">IF($A42&gt;TODAY(),"",SUMIFS('Cash Ledger'!$E$6:$E$1005,'Cash Ledger'!$I$6:$I$1005,$D$4,'Cash Ledger'!$D$6:$D$1005,"Advance",'Cash Ledger'!$B$6:$B$1005,"&gt;="&amp;$A42,'Cash Ledger'!$B$6:$B$1005,"&lt;="&amp;($A42+6)))</f>
        <v/>
      </c>
      <c r="E42" s="29" t="str">
        <f aca="true">IF($A42&gt;TODAY(),"",SUMIFS('Cash Ledger'!$E$6:$E$1005,'Cash Ledger'!$I$6:$I$1005,$D$4,'Cash Ledger'!$D$6:$D$1005,"Correction",'Cash Ledger'!$B$6:$B$1005,"&gt;="&amp;$A42,'Cash Ledger'!$B$6:$B$1005,"&lt;="&amp;($A42+6)))</f>
        <v/>
      </c>
      <c r="F42" s="17" t="str">
        <f aca="true">IF($A42&gt;TODAY(),"",SUMIFS('Cash Ledger'!$E$6:$E$1005,'Cash Ledger'!$I$6:$I$1005,$D$4,'Cash Ledger'!$D$6:$D$1005,"Weekly pay",'Cash Ledger'!$B$6:$B$1005,"&gt;="&amp;$A42,'Cash Ledger'!$B$6:$B$1005,"&lt;="&amp;($A42+6)))</f>
        <v/>
      </c>
      <c r="G42" s="56" t="str">
        <f aca="true">IF($A42&gt;TODAY(),"",SUMPRODUCT((Weeks!$A$6:$A$58&lt;=$A42)*(Weeks!$Z$4:$AK$4=$D$4)*Weeks!$Z$6:$AK$58)-SUMIFS('Cash Ledger'!$E$6:$E$1005,'Cash Ledger'!$I$6:$I$1005,$D$4,'Cash Ledger'!$B$6:$B$1005,"&lt;="&amp;($A42+6)))</f>
        <v/>
      </c>
      <c r="H42" s="19" t="str">
        <f aca="true">IF(OR($A42&gt;TODAY(),$G42=""),"",IF(ROUND($G42,0)&lt;0,"owes you",IF(ROUND($G42,0)&gt;0,"you owe","settled")))</f>
        <v/>
      </c>
    </row>
    <row r="43" customFormat="false" ht="15" hidden="false" customHeight="false" outlineLevel="0" collapsed="false">
      <c r="A43" s="10" t="n">
        <f aca="false">Weeks!$A$42</f>
        <v>46538</v>
      </c>
      <c r="B43" s="15" t="str">
        <f aca="true">IF($A43&gt;TODAY(),"",IFERROR(INDEX(Weeks!$N$6:$Y$58,MATCH($A43,Weeks!$A$6:$A$58,0),MATCH($D$4,Weeks!$N$4:$Y$4,0)),0))</f>
        <v/>
      </c>
      <c r="C43" s="17" t="str">
        <f aca="true">IF($A43&gt;TODAY(),"",IFERROR(INDEX(Weeks!$Z$6:$AK$58,MATCH($A43,Weeks!$A$6:$A$58,0),MATCH($D$4,Weeks!$Z$4:$AK$4,0)),0))</f>
        <v/>
      </c>
      <c r="D43" s="17" t="str">
        <f aca="true">IF($A43&gt;TODAY(),"",SUMIFS('Cash Ledger'!$E$6:$E$1005,'Cash Ledger'!$I$6:$I$1005,$D$4,'Cash Ledger'!$D$6:$D$1005,"Advance",'Cash Ledger'!$B$6:$B$1005,"&gt;="&amp;$A43,'Cash Ledger'!$B$6:$B$1005,"&lt;="&amp;($A43+6)))</f>
        <v/>
      </c>
      <c r="E43" s="29" t="str">
        <f aca="true">IF($A43&gt;TODAY(),"",SUMIFS('Cash Ledger'!$E$6:$E$1005,'Cash Ledger'!$I$6:$I$1005,$D$4,'Cash Ledger'!$D$6:$D$1005,"Correction",'Cash Ledger'!$B$6:$B$1005,"&gt;="&amp;$A43,'Cash Ledger'!$B$6:$B$1005,"&lt;="&amp;($A43+6)))</f>
        <v/>
      </c>
      <c r="F43" s="17" t="str">
        <f aca="true">IF($A43&gt;TODAY(),"",SUMIFS('Cash Ledger'!$E$6:$E$1005,'Cash Ledger'!$I$6:$I$1005,$D$4,'Cash Ledger'!$D$6:$D$1005,"Weekly pay",'Cash Ledger'!$B$6:$B$1005,"&gt;="&amp;$A43,'Cash Ledger'!$B$6:$B$1005,"&lt;="&amp;($A43+6)))</f>
        <v/>
      </c>
      <c r="G43" s="56" t="str">
        <f aca="true">IF($A43&gt;TODAY(),"",SUMPRODUCT((Weeks!$A$6:$A$58&lt;=$A43)*(Weeks!$Z$4:$AK$4=$D$4)*Weeks!$Z$6:$AK$58)-SUMIFS('Cash Ledger'!$E$6:$E$1005,'Cash Ledger'!$I$6:$I$1005,$D$4,'Cash Ledger'!$B$6:$B$1005,"&lt;="&amp;($A43+6)))</f>
        <v/>
      </c>
      <c r="H43" s="19" t="str">
        <f aca="true">IF(OR($A43&gt;TODAY(),$G43=""),"",IF(ROUND($G43,0)&lt;0,"owes you",IF(ROUND($G43,0)&gt;0,"you owe","settled")))</f>
        <v/>
      </c>
    </row>
    <row r="44" customFormat="false" ht="15" hidden="false" customHeight="false" outlineLevel="0" collapsed="false">
      <c r="A44" s="10" t="n">
        <f aca="false">Weeks!$A$43</f>
        <v>46545</v>
      </c>
      <c r="B44" s="15" t="str">
        <f aca="true">IF($A44&gt;TODAY(),"",IFERROR(INDEX(Weeks!$N$6:$Y$58,MATCH($A44,Weeks!$A$6:$A$58,0),MATCH($D$4,Weeks!$N$4:$Y$4,0)),0))</f>
        <v/>
      </c>
      <c r="C44" s="17" t="str">
        <f aca="true">IF($A44&gt;TODAY(),"",IFERROR(INDEX(Weeks!$Z$6:$AK$58,MATCH($A44,Weeks!$A$6:$A$58,0),MATCH($D$4,Weeks!$Z$4:$AK$4,0)),0))</f>
        <v/>
      </c>
      <c r="D44" s="17" t="str">
        <f aca="true">IF($A44&gt;TODAY(),"",SUMIFS('Cash Ledger'!$E$6:$E$1005,'Cash Ledger'!$I$6:$I$1005,$D$4,'Cash Ledger'!$D$6:$D$1005,"Advance",'Cash Ledger'!$B$6:$B$1005,"&gt;="&amp;$A44,'Cash Ledger'!$B$6:$B$1005,"&lt;="&amp;($A44+6)))</f>
        <v/>
      </c>
      <c r="E44" s="29" t="str">
        <f aca="true">IF($A44&gt;TODAY(),"",SUMIFS('Cash Ledger'!$E$6:$E$1005,'Cash Ledger'!$I$6:$I$1005,$D$4,'Cash Ledger'!$D$6:$D$1005,"Correction",'Cash Ledger'!$B$6:$B$1005,"&gt;="&amp;$A44,'Cash Ledger'!$B$6:$B$1005,"&lt;="&amp;($A44+6)))</f>
        <v/>
      </c>
      <c r="F44" s="17" t="str">
        <f aca="true">IF($A44&gt;TODAY(),"",SUMIFS('Cash Ledger'!$E$6:$E$1005,'Cash Ledger'!$I$6:$I$1005,$D$4,'Cash Ledger'!$D$6:$D$1005,"Weekly pay",'Cash Ledger'!$B$6:$B$1005,"&gt;="&amp;$A44,'Cash Ledger'!$B$6:$B$1005,"&lt;="&amp;($A44+6)))</f>
        <v/>
      </c>
      <c r="G44" s="56" t="str">
        <f aca="true">IF($A44&gt;TODAY(),"",SUMPRODUCT((Weeks!$A$6:$A$58&lt;=$A44)*(Weeks!$Z$4:$AK$4=$D$4)*Weeks!$Z$6:$AK$58)-SUMIFS('Cash Ledger'!$E$6:$E$1005,'Cash Ledger'!$I$6:$I$1005,$D$4,'Cash Ledger'!$B$6:$B$1005,"&lt;="&amp;($A44+6)))</f>
        <v/>
      </c>
      <c r="H44" s="19" t="str">
        <f aca="true">IF(OR($A44&gt;TODAY(),$G44=""),"",IF(ROUND($G44,0)&lt;0,"owes you",IF(ROUND($G44,0)&gt;0,"you owe","settled")))</f>
        <v/>
      </c>
    </row>
    <row r="45" customFormat="false" ht="15" hidden="false" customHeight="false" outlineLevel="0" collapsed="false">
      <c r="A45" s="10" t="n">
        <f aca="false">Weeks!$A$44</f>
        <v>46552</v>
      </c>
      <c r="B45" s="15" t="str">
        <f aca="true">IF($A45&gt;TODAY(),"",IFERROR(INDEX(Weeks!$N$6:$Y$58,MATCH($A45,Weeks!$A$6:$A$58,0),MATCH($D$4,Weeks!$N$4:$Y$4,0)),0))</f>
        <v/>
      </c>
      <c r="C45" s="17" t="str">
        <f aca="true">IF($A45&gt;TODAY(),"",IFERROR(INDEX(Weeks!$Z$6:$AK$58,MATCH($A45,Weeks!$A$6:$A$58,0),MATCH($D$4,Weeks!$Z$4:$AK$4,0)),0))</f>
        <v/>
      </c>
      <c r="D45" s="17" t="str">
        <f aca="true">IF($A45&gt;TODAY(),"",SUMIFS('Cash Ledger'!$E$6:$E$1005,'Cash Ledger'!$I$6:$I$1005,$D$4,'Cash Ledger'!$D$6:$D$1005,"Advance",'Cash Ledger'!$B$6:$B$1005,"&gt;="&amp;$A45,'Cash Ledger'!$B$6:$B$1005,"&lt;="&amp;($A45+6)))</f>
        <v/>
      </c>
      <c r="E45" s="29" t="str">
        <f aca="true">IF($A45&gt;TODAY(),"",SUMIFS('Cash Ledger'!$E$6:$E$1005,'Cash Ledger'!$I$6:$I$1005,$D$4,'Cash Ledger'!$D$6:$D$1005,"Correction",'Cash Ledger'!$B$6:$B$1005,"&gt;="&amp;$A45,'Cash Ledger'!$B$6:$B$1005,"&lt;="&amp;($A45+6)))</f>
        <v/>
      </c>
      <c r="F45" s="17" t="str">
        <f aca="true">IF($A45&gt;TODAY(),"",SUMIFS('Cash Ledger'!$E$6:$E$1005,'Cash Ledger'!$I$6:$I$1005,$D$4,'Cash Ledger'!$D$6:$D$1005,"Weekly pay",'Cash Ledger'!$B$6:$B$1005,"&gt;="&amp;$A45,'Cash Ledger'!$B$6:$B$1005,"&lt;="&amp;($A45+6)))</f>
        <v/>
      </c>
      <c r="G45" s="56" t="str">
        <f aca="true">IF($A45&gt;TODAY(),"",SUMPRODUCT((Weeks!$A$6:$A$58&lt;=$A45)*(Weeks!$Z$4:$AK$4=$D$4)*Weeks!$Z$6:$AK$58)-SUMIFS('Cash Ledger'!$E$6:$E$1005,'Cash Ledger'!$I$6:$I$1005,$D$4,'Cash Ledger'!$B$6:$B$1005,"&lt;="&amp;($A45+6)))</f>
        <v/>
      </c>
      <c r="H45" s="19" t="str">
        <f aca="true">IF(OR($A45&gt;TODAY(),$G45=""),"",IF(ROUND($G45,0)&lt;0,"owes you",IF(ROUND($G45,0)&gt;0,"you owe","settled")))</f>
        <v/>
      </c>
    </row>
    <row r="46" customFormat="false" ht="15" hidden="false" customHeight="false" outlineLevel="0" collapsed="false">
      <c r="A46" s="10" t="n">
        <f aca="false">Weeks!$A$45</f>
        <v>46559</v>
      </c>
      <c r="B46" s="15" t="str">
        <f aca="true">IF($A46&gt;TODAY(),"",IFERROR(INDEX(Weeks!$N$6:$Y$58,MATCH($A46,Weeks!$A$6:$A$58,0),MATCH($D$4,Weeks!$N$4:$Y$4,0)),0))</f>
        <v/>
      </c>
      <c r="C46" s="17" t="str">
        <f aca="true">IF($A46&gt;TODAY(),"",IFERROR(INDEX(Weeks!$Z$6:$AK$58,MATCH($A46,Weeks!$A$6:$A$58,0),MATCH($D$4,Weeks!$Z$4:$AK$4,0)),0))</f>
        <v/>
      </c>
      <c r="D46" s="17" t="str">
        <f aca="true">IF($A46&gt;TODAY(),"",SUMIFS('Cash Ledger'!$E$6:$E$1005,'Cash Ledger'!$I$6:$I$1005,$D$4,'Cash Ledger'!$D$6:$D$1005,"Advance",'Cash Ledger'!$B$6:$B$1005,"&gt;="&amp;$A46,'Cash Ledger'!$B$6:$B$1005,"&lt;="&amp;($A46+6)))</f>
        <v/>
      </c>
      <c r="E46" s="29" t="str">
        <f aca="true">IF($A46&gt;TODAY(),"",SUMIFS('Cash Ledger'!$E$6:$E$1005,'Cash Ledger'!$I$6:$I$1005,$D$4,'Cash Ledger'!$D$6:$D$1005,"Correction",'Cash Ledger'!$B$6:$B$1005,"&gt;="&amp;$A46,'Cash Ledger'!$B$6:$B$1005,"&lt;="&amp;($A46+6)))</f>
        <v/>
      </c>
      <c r="F46" s="17" t="str">
        <f aca="true">IF($A46&gt;TODAY(),"",SUMIFS('Cash Ledger'!$E$6:$E$1005,'Cash Ledger'!$I$6:$I$1005,$D$4,'Cash Ledger'!$D$6:$D$1005,"Weekly pay",'Cash Ledger'!$B$6:$B$1005,"&gt;="&amp;$A46,'Cash Ledger'!$B$6:$B$1005,"&lt;="&amp;($A46+6)))</f>
        <v/>
      </c>
      <c r="G46" s="56" t="str">
        <f aca="true">IF($A46&gt;TODAY(),"",SUMPRODUCT((Weeks!$A$6:$A$58&lt;=$A46)*(Weeks!$Z$4:$AK$4=$D$4)*Weeks!$Z$6:$AK$58)-SUMIFS('Cash Ledger'!$E$6:$E$1005,'Cash Ledger'!$I$6:$I$1005,$D$4,'Cash Ledger'!$B$6:$B$1005,"&lt;="&amp;($A46+6)))</f>
        <v/>
      </c>
      <c r="H46" s="19" t="str">
        <f aca="true">IF(OR($A46&gt;TODAY(),$G46=""),"",IF(ROUND($G46,0)&lt;0,"owes you",IF(ROUND($G46,0)&gt;0,"you owe","settled")))</f>
        <v/>
      </c>
    </row>
    <row r="47" customFormat="false" ht="15" hidden="false" customHeight="false" outlineLevel="0" collapsed="false">
      <c r="A47" s="10" t="n">
        <f aca="false">Weeks!$A$46</f>
        <v>46566</v>
      </c>
      <c r="B47" s="15" t="str">
        <f aca="true">IF($A47&gt;TODAY(),"",IFERROR(INDEX(Weeks!$N$6:$Y$58,MATCH($A47,Weeks!$A$6:$A$58,0),MATCH($D$4,Weeks!$N$4:$Y$4,0)),0))</f>
        <v/>
      </c>
      <c r="C47" s="17" t="str">
        <f aca="true">IF($A47&gt;TODAY(),"",IFERROR(INDEX(Weeks!$Z$6:$AK$58,MATCH($A47,Weeks!$A$6:$A$58,0),MATCH($D$4,Weeks!$Z$4:$AK$4,0)),0))</f>
        <v/>
      </c>
      <c r="D47" s="17" t="str">
        <f aca="true">IF($A47&gt;TODAY(),"",SUMIFS('Cash Ledger'!$E$6:$E$1005,'Cash Ledger'!$I$6:$I$1005,$D$4,'Cash Ledger'!$D$6:$D$1005,"Advance",'Cash Ledger'!$B$6:$B$1005,"&gt;="&amp;$A47,'Cash Ledger'!$B$6:$B$1005,"&lt;="&amp;($A47+6)))</f>
        <v/>
      </c>
      <c r="E47" s="29" t="str">
        <f aca="true">IF($A47&gt;TODAY(),"",SUMIFS('Cash Ledger'!$E$6:$E$1005,'Cash Ledger'!$I$6:$I$1005,$D$4,'Cash Ledger'!$D$6:$D$1005,"Correction",'Cash Ledger'!$B$6:$B$1005,"&gt;="&amp;$A47,'Cash Ledger'!$B$6:$B$1005,"&lt;="&amp;($A47+6)))</f>
        <v/>
      </c>
      <c r="F47" s="17" t="str">
        <f aca="true">IF($A47&gt;TODAY(),"",SUMIFS('Cash Ledger'!$E$6:$E$1005,'Cash Ledger'!$I$6:$I$1005,$D$4,'Cash Ledger'!$D$6:$D$1005,"Weekly pay",'Cash Ledger'!$B$6:$B$1005,"&gt;="&amp;$A47,'Cash Ledger'!$B$6:$B$1005,"&lt;="&amp;($A47+6)))</f>
        <v/>
      </c>
      <c r="G47" s="56" t="str">
        <f aca="true">IF($A47&gt;TODAY(),"",SUMPRODUCT((Weeks!$A$6:$A$58&lt;=$A47)*(Weeks!$Z$4:$AK$4=$D$4)*Weeks!$Z$6:$AK$58)-SUMIFS('Cash Ledger'!$E$6:$E$1005,'Cash Ledger'!$I$6:$I$1005,$D$4,'Cash Ledger'!$B$6:$B$1005,"&lt;="&amp;($A47+6)))</f>
        <v/>
      </c>
      <c r="H47" s="19" t="str">
        <f aca="true">IF(OR($A47&gt;TODAY(),$G47=""),"",IF(ROUND($G47,0)&lt;0,"owes you",IF(ROUND($G47,0)&gt;0,"you owe","settled")))</f>
        <v/>
      </c>
    </row>
    <row r="48" customFormat="false" ht="15" hidden="false" customHeight="false" outlineLevel="0" collapsed="false">
      <c r="A48" s="10" t="n">
        <f aca="false">Weeks!$A$47</f>
        <v>46573</v>
      </c>
      <c r="B48" s="15" t="str">
        <f aca="true">IF($A48&gt;TODAY(),"",IFERROR(INDEX(Weeks!$N$6:$Y$58,MATCH($A48,Weeks!$A$6:$A$58,0),MATCH($D$4,Weeks!$N$4:$Y$4,0)),0))</f>
        <v/>
      </c>
      <c r="C48" s="17" t="str">
        <f aca="true">IF($A48&gt;TODAY(),"",IFERROR(INDEX(Weeks!$Z$6:$AK$58,MATCH($A48,Weeks!$A$6:$A$58,0),MATCH($D$4,Weeks!$Z$4:$AK$4,0)),0))</f>
        <v/>
      </c>
      <c r="D48" s="17" t="str">
        <f aca="true">IF($A48&gt;TODAY(),"",SUMIFS('Cash Ledger'!$E$6:$E$1005,'Cash Ledger'!$I$6:$I$1005,$D$4,'Cash Ledger'!$D$6:$D$1005,"Advance",'Cash Ledger'!$B$6:$B$1005,"&gt;="&amp;$A48,'Cash Ledger'!$B$6:$B$1005,"&lt;="&amp;($A48+6)))</f>
        <v/>
      </c>
      <c r="E48" s="29" t="str">
        <f aca="true">IF($A48&gt;TODAY(),"",SUMIFS('Cash Ledger'!$E$6:$E$1005,'Cash Ledger'!$I$6:$I$1005,$D$4,'Cash Ledger'!$D$6:$D$1005,"Correction",'Cash Ledger'!$B$6:$B$1005,"&gt;="&amp;$A48,'Cash Ledger'!$B$6:$B$1005,"&lt;="&amp;($A48+6)))</f>
        <v/>
      </c>
      <c r="F48" s="17" t="str">
        <f aca="true">IF($A48&gt;TODAY(),"",SUMIFS('Cash Ledger'!$E$6:$E$1005,'Cash Ledger'!$I$6:$I$1005,$D$4,'Cash Ledger'!$D$6:$D$1005,"Weekly pay",'Cash Ledger'!$B$6:$B$1005,"&gt;="&amp;$A48,'Cash Ledger'!$B$6:$B$1005,"&lt;="&amp;($A48+6)))</f>
        <v/>
      </c>
      <c r="G48" s="56" t="str">
        <f aca="true">IF($A48&gt;TODAY(),"",SUMPRODUCT((Weeks!$A$6:$A$58&lt;=$A48)*(Weeks!$Z$4:$AK$4=$D$4)*Weeks!$Z$6:$AK$58)-SUMIFS('Cash Ledger'!$E$6:$E$1005,'Cash Ledger'!$I$6:$I$1005,$D$4,'Cash Ledger'!$B$6:$B$1005,"&lt;="&amp;($A48+6)))</f>
        <v/>
      </c>
      <c r="H48" s="19" t="str">
        <f aca="true">IF(OR($A48&gt;TODAY(),$G48=""),"",IF(ROUND($G48,0)&lt;0,"owes you",IF(ROUND($G48,0)&gt;0,"you owe","settled")))</f>
        <v/>
      </c>
    </row>
    <row r="49" customFormat="false" ht="15" hidden="false" customHeight="false" outlineLevel="0" collapsed="false">
      <c r="A49" s="10" t="n">
        <f aca="false">Weeks!$A$48</f>
        <v>46580</v>
      </c>
      <c r="B49" s="15" t="str">
        <f aca="true">IF($A49&gt;TODAY(),"",IFERROR(INDEX(Weeks!$N$6:$Y$58,MATCH($A49,Weeks!$A$6:$A$58,0),MATCH($D$4,Weeks!$N$4:$Y$4,0)),0))</f>
        <v/>
      </c>
      <c r="C49" s="17" t="str">
        <f aca="true">IF($A49&gt;TODAY(),"",IFERROR(INDEX(Weeks!$Z$6:$AK$58,MATCH($A49,Weeks!$A$6:$A$58,0),MATCH($D$4,Weeks!$Z$4:$AK$4,0)),0))</f>
        <v/>
      </c>
      <c r="D49" s="17" t="str">
        <f aca="true">IF($A49&gt;TODAY(),"",SUMIFS('Cash Ledger'!$E$6:$E$1005,'Cash Ledger'!$I$6:$I$1005,$D$4,'Cash Ledger'!$D$6:$D$1005,"Advance",'Cash Ledger'!$B$6:$B$1005,"&gt;="&amp;$A49,'Cash Ledger'!$B$6:$B$1005,"&lt;="&amp;($A49+6)))</f>
        <v/>
      </c>
      <c r="E49" s="29" t="str">
        <f aca="true">IF($A49&gt;TODAY(),"",SUMIFS('Cash Ledger'!$E$6:$E$1005,'Cash Ledger'!$I$6:$I$1005,$D$4,'Cash Ledger'!$D$6:$D$1005,"Correction",'Cash Ledger'!$B$6:$B$1005,"&gt;="&amp;$A49,'Cash Ledger'!$B$6:$B$1005,"&lt;="&amp;($A49+6)))</f>
        <v/>
      </c>
      <c r="F49" s="17" t="str">
        <f aca="true">IF($A49&gt;TODAY(),"",SUMIFS('Cash Ledger'!$E$6:$E$1005,'Cash Ledger'!$I$6:$I$1005,$D$4,'Cash Ledger'!$D$6:$D$1005,"Weekly pay",'Cash Ledger'!$B$6:$B$1005,"&gt;="&amp;$A49,'Cash Ledger'!$B$6:$B$1005,"&lt;="&amp;($A49+6)))</f>
        <v/>
      </c>
      <c r="G49" s="56" t="str">
        <f aca="true">IF($A49&gt;TODAY(),"",SUMPRODUCT((Weeks!$A$6:$A$58&lt;=$A49)*(Weeks!$Z$4:$AK$4=$D$4)*Weeks!$Z$6:$AK$58)-SUMIFS('Cash Ledger'!$E$6:$E$1005,'Cash Ledger'!$I$6:$I$1005,$D$4,'Cash Ledger'!$B$6:$B$1005,"&lt;="&amp;($A49+6)))</f>
        <v/>
      </c>
      <c r="H49" s="19" t="str">
        <f aca="true">IF(OR($A49&gt;TODAY(),$G49=""),"",IF(ROUND($G49,0)&lt;0,"owes you",IF(ROUND($G49,0)&gt;0,"you owe","settled")))</f>
        <v/>
      </c>
    </row>
    <row r="50" customFormat="false" ht="15" hidden="false" customHeight="false" outlineLevel="0" collapsed="false">
      <c r="A50" s="10" t="n">
        <f aca="false">Weeks!$A$49</f>
        <v>46587</v>
      </c>
      <c r="B50" s="15" t="str">
        <f aca="true">IF($A50&gt;TODAY(),"",IFERROR(INDEX(Weeks!$N$6:$Y$58,MATCH($A50,Weeks!$A$6:$A$58,0),MATCH($D$4,Weeks!$N$4:$Y$4,0)),0))</f>
        <v/>
      </c>
      <c r="C50" s="17" t="str">
        <f aca="true">IF($A50&gt;TODAY(),"",IFERROR(INDEX(Weeks!$Z$6:$AK$58,MATCH($A50,Weeks!$A$6:$A$58,0),MATCH($D$4,Weeks!$Z$4:$AK$4,0)),0))</f>
        <v/>
      </c>
      <c r="D50" s="17" t="str">
        <f aca="true">IF($A50&gt;TODAY(),"",SUMIFS('Cash Ledger'!$E$6:$E$1005,'Cash Ledger'!$I$6:$I$1005,$D$4,'Cash Ledger'!$D$6:$D$1005,"Advance",'Cash Ledger'!$B$6:$B$1005,"&gt;="&amp;$A50,'Cash Ledger'!$B$6:$B$1005,"&lt;="&amp;($A50+6)))</f>
        <v/>
      </c>
      <c r="E50" s="29" t="str">
        <f aca="true">IF($A50&gt;TODAY(),"",SUMIFS('Cash Ledger'!$E$6:$E$1005,'Cash Ledger'!$I$6:$I$1005,$D$4,'Cash Ledger'!$D$6:$D$1005,"Correction",'Cash Ledger'!$B$6:$B$1005,"&gt;="&amp;$A50,'Cash Ledger'!$B$6:$B$1005,"&lt;="&amp;($A50+6)))</f>
        <v/>
      </c>
      <c r="F50" s="17" t="str">
        <f aca="true">IF($A50&gt;TODAY(),"",SUMIFS('Cash Ledger'!$E$6:$E$1005,'Cash Ledger'!$I$6:$I$1005,$D$4,'Cash Ledger'!$D$6:$D$1005,"Weekly pay",'Cash Ledger'!$B$6:$B$1005,"&gt;="&amp;$A50,'Cash Ledger'!$B$6:$B$1005,"&lt;="&amp;($A50+6)))</f>
        <v/>
      </c>
      <c r="G50" s="56" t="str">
        <f aca="true">IF($A50&gt;TODAY(),"",SUMPRODUCT((Weeks!$A$6:$A$58&lt;=$A50)*(Weeks!$Z$4:$AK$4=$D$4)*Weeks!$Z$6:$AK$58)-SUMIFS('Cash Ledger'!$E$6:$E$1005,'Cash Ledger'!$I$6:$I$1005,$D$4,'Cash Ledger'!$B$6:$B$1005,"&lt;="&amp;($A50+6)))</f>
        <v/>
      </c>
      <c r="H50" s="19" t="str">
        <f aca="true">IF(OR($A50&gt;TODAY(),$G50=""),"",IF(ROUND($G50,0)&lt;0,"owes you",IF(ROUND($G50,0)&gt;0,"you owe","settled")))</f>
        <v/>
      </c>
    </row>
    <row r="51" customFormat="false" ht="15" hidden="false" customHeight="false" outlineLevel="0" collapsed="false">
      <c r="A51" s="10" t="n">
        <f aca="false">Weeks!$A$50</f>
        <v>46594</v>
      </c>
      <c r="B51" s="15" t="str">
        <f aca="true">IF($A51&gt;TODAY(),"",IFERROR(INDEX(Weeks!$N$6:$Y$58,MATCH($A51,Weeks!$A$6:$A$58,0),MATCH($D$4,Weeks!$N$4:$Y$4,0)),0))</f>
        <v/>
      </c>
      <c r="C51" s="17" t="str">
        <f aca="true">IF($A51&gt;TODAY(),"",IFERROR(INDEX(Weeks!$Z$6:$AK$58,MATCH($A51,Weeks!$A$6:$A$58,0),MATCH($D$4,Weeks!$Z$4:$AK$4,0)),0))</f>
        <v/>
      </c>
      <c r="D51" s="17" t="str">
        <f aca="true">IF($A51&gt;TODAY(),"",SUMIFS('Cash Ledger'!$E$6:$E$1005,'Cash Ledger'!$I$6:$I$1005,$D$4,'Cash Ledger'!$D$6:$D$1005,"Advance",'Cash Ledger'!$B$6:$B$1005,"&gt;="&amp;$A51,'Cash Ledger'!$B$6:$B$1005,"&lt;="&amp;($A51+6)))</f>
        <v/>
      </c>
      <c r="E51" s="29" t="str">
        <f aca="true">IF($A51&gt;TODAY(),"",SUMIFS('Cash Ledger'!$E$6:$E$1005,'Cash Ledger'!$I$6:$I$1005,$D$4,'Cash Ledger'!$D$6:$D$1005,"Correction",'Cash Ledger'!$B$6:$B$1005,"&gt;="&amp;$A51,'Cash Ledger'!$B$6:$B$1005,"&lt;="&amp;($A51+6)))</f>
        <v/>
      </c>
      <c r="F51" s="17" t="str">
        <f aca="true">IF($A51&gt;TODAY(),"",SUMIFS('Cash Ledger'!$E$6:$E$1005,'Cash Ledger'!$I$6:$I$1005,$D$4,'Cash Ledger'!$D$6:$D$1005,"Weekly pay",'Cash Ledger'!$B$6:$B$1005,"&gt;="&amp;$A51,'Cash Ledger'!$B$6:$B$1005,"&lt;="&amp;($A51+6)))</f>
        <v/>
      </c>
      <c r="G51" s="56" t="str">
        <f aca="true">IF($A51&gt;TODAY(),"",SUMPRODUCT((Weeks!$A$6:$A$58&lt;=$A51)*(Weeks!$Z$4:$AK$4=$D$4)*Weeks!$Z$6:$AK$58)-SUMIFS('Cash Ledger'!$E$6:$E$1005,'Cash Ledger'!$I$6:$I$1005,$D$4,'Cash Ledger'!$B$6:$B$1005,"&lt;="&amp;($A51+6)))</f>
        <v/>
      </c>
      <c r="H51" s="19" t="str">
        <f aca="true">IF(OR($A51&gt;TODAY(),$G51=""),"",IF(ROUND($G51,0)&lt;0,"owes you",IF(ROUND($G51,0)&gt;0,"you owe","settled")))</f>
        <v/>
      </c>
    </row>
    <row r="52" customFormat="false" ht="15" hidden="false" customHeight="false" outlineLevel="0" collapsed="false">
      <c r="A52" s="10" t="n">
        <f aca="false">Weeks!$A$51</f>
        <v>46601</v>
      </c>
      <c r="B52" s="15" t="str">
        <f aca="true">IF($A52&gt;TODAY(),"",IFERROR(INDEX(Weeks!$N$6:$Y$58,MATCH($A52,Weeks!$A$6:$A$58,0),MATCH($D$4,Weeks!$N$4:$Y$4,0)),0))</f>
        <v/>
      </c>
      <c r="C52" s="17" t="str">
        <f aca="true">IF($A52&gt;TODAY(),"",IFERROR(INDEX(Weeks!$Z$6:$AK$58,MATCH($A52,Weeks!$A$6:$A$58,0),MATCH($D$4,Weeks!$Z$4:$AK$4,0)),0))</f>
        <v/>
      </c>
      <c r="D52" s="17" t="str">
        <f aca="true">IF($A52&gt;TODAY(),"",SUMIFS('Cash Ledger'!$E$6:$E$1005,'Cash Ledger'!$I$6:$I$1005,$D$4,'Cash Ledger'!$D$6:$D$1005,"Advance",'Cash Ledger'!$B$6:$B$1005,"&gt;="&amp;$A52,'Cash Ledger'!$B$6:$B$1005,"&lt;="&amp;($A52+6)))</f>
        <v/>
      </c>
      <c r="E52" s="29" t="str">
        <f aca="true">IF($A52&gt;TODAY(),"",SUMIFS('Cash Ledger'!$E$6:$E$1005,'Cash Ledger'!$I$6:$I$1005,$D$4,'Cash Ledger'!$D$6:$D$1005,"Correction",'Cash Ledger'!$B$6:$B$1005,"&gt;="&amp;$A52,'Cash Ledger'!$B$6:$B$1005,"&lt;="&amp;($A52+6)))</f>
        <v/>
      </c>
      <c r="F52" s="17" t="str">
        <f aca="true">IF($A52&gt;TODAY(),"",SUMIFS('Cash Ledger'!$E$6:$E$1005,'Cash Ledger'!$I$6:$I$1005,$D$4,'Cash Ledger'!$D$6:$D$1005,"Weekly pay",'Cash Ledger'!$B$6:$B$1005,"&gt;="&amp;$A52,'Cash Ledger'!$B$6:$B$1005,"&lt;="&amp;($A52+6)))</f>
        <v/>
      </c>
      <c r="G52" s="56" t="str">
        <f aca="true">IF($A52&gt;TODAY(),"",SUMPRODUCT((Weeks!$A$6:$A$58&lt;=$A52)*(Weeks!$Z$4:$AK$4=$D$4)*Weeks!$Z$6:$AK$58)-SUMIFS('Cash Ledger'!$E$6:$E$1005,'Cash Ledger'!$I$6:$I$1005,$D$4,'Cash Ledger'!$B$6:$B$1005,"&lt;="&amp;($A52+6)))</f>
        <v/>
      </c>
      <c r="H52" s="19" t="str">
        <f aca="true">IF(OR($A52&gt;TODAY(),$G52=""),"",IF(ROUND($G52,0)&lt;0,"owes you",IF(ROUND($G52,0)&gt;0,"you owe","settled")))</f>
        <v/>
      </c>
    </row>
    <row r="53" customFormat="false" ht="15" hidden="false" customHeight="false" outlineLevel="0" collapsed="false">
      <c r="A53" s="10" t="n">
        <f aca="false">Weeks!$A$52</f>
        <v>46608</v>
      </c>
      <c r="B53" s="15" t="str">
        <f aca="true">IF($A53&gt;TODAY(),"",IFERROR(INDEX(Weeks!$N$6:$Y$58,MATCH($A53,Weeks!$A$6:$A$58,0),MATCH($D$4,Weeks!$N$4:$Y$4,0)),0))</f>
        <v/>
      </c>
      <c r="C53" s="17" t="str">
        <f aca="true">IF($A53&gt;TODAY(),"",IFERROR(INDEX(Weeks!$Z$6:$AK$58,MATCH($A53,Weeks!$A$6:$A$58,0),MATCH($D$4,Weeks!$Z$4:$AK$4,0)),0))</f>
        <v/>
      </c>
      <c r="D53" s="17" t="str">
        <f aca="true">IF($A53&gt;TODAY(),"",SUMIFS('Cash Ledger'!$E$6:$E$1005,'Cash Ledger'!$I$6:$I$1005,$D$4,'Cash Ledger'!$D$6:$D$1005,"Advance",'Cash Ledger'!$B$6:$B$1005,"&gt;="&amp;$A53,'Cash Ledger'!$B$6:$B$1005,"&lt;="&amp;($A53+6)))</f>
        <v/>
      </c>
      <c r="E53" s="29" t="str">
        <f aca="true">IF($A53&gt;TODAY(),"",SUMIFS('Cash Ledger'!$E$6:$E$1005,'Cash Ledger'!$I$6:$I$1005,$D$4,'Cash Ledger'!$D$6:$D$1005,"Correction",'Cash Ledger'!$B$6:$B$1005,"&gt;="&amp;$A53,'Cash Ledger'!$B$6:$B$1005,"&lt;="&amp;($A53+6)))</f>
        <v/>
      </c>
      <c r="F53" s="17" t="str">
        <f aca="true">IF($A53&gt;TODAY(),"",SUMIFS('Cash Ledger'!$E$6:$E$1005,'Cash Ledger'!$I$6:$I$1005,$D$4,'Cash Ledger'!$D$6:$D$1005,"Weekly pay",'Cash Ledger'!$B$6:$B$1005,"&gt;="&amp;$A53,'Cash Ledger'!$B$6:$B$1005,"&lt;="&amp;($A53+6)))</f>
        <v/>
      </c>
      <c r="G53" s="56" t="str">
        <f aca="true">IF($A53&gt;TODAY(),"",SUMPRODUCT((Weeks!$A$6:$A$58&lt;=$A53)*(Weeks!$Z$4:$AK$4=$D$4)*Weeks!$Z$6:$AK$58)-SUMIFS('Cash Ledger'!$E$6:$E$1005,'Cash Ledger'!$I$6:$I$1005,$D$4,'Cash Ledger'!$B$6:$B$1005,"&lt;="&amp;($A53+6)))</f>
        <v/>
      </c>
      <c r="H53" s="19" t="str">
        <f aca="true">IF(OR($A53&gt;TODAY(),$G53=""),"",IF(ROUND($G53,0)&lt;0,"owes you",IF(ROUND($G53,0)&gt;0,"you owe","settled")))</f>
        <v/>
      </c>
    </row>
    <row r="54" customFormat="false" ht="15" hidden="false" customHeight="false" outlineLevel="0" collapsed="false">
      <c r="A54" s="10" t="n">
        <f aca="false">Weeks!$A$53</f>
        <v>46615</v>
      </c>
      <c r="B54" s="15" t="str">
        <f aca="true">IF($A54&gt;TODAY(),"",IFERROR(INDEX(Weeks!$N$6:$Y$58,MATCH($A54,Weeks!$A$6:$A$58,0),MATCH($D$4,Weeks!$N$4:$Y$4,0)),0))</f>
        <v/>
      </c>
      <c r="C54" s="17" t="str">
        <f aca="true">IF($A54&gt;TODAY(),"",IFERROR(INDEX(Weeks!$Z$6:$AK$58,MATCH($A54,Weeks!$A$6:$A$58,0),MATCH($D$4,Weeks!$Z$4:$AK$4,0)),0))</f>
        <v/>
      </c>
      <c r="D54" s="17" t="str">
        <f aca="true">IF($A54&gt;TODAY(),"",SUMIFS('Cash Ledger'!$E$6:$E$1005,'Cash Ledger'!$I$6:$I$1005,$D$4,'Cash Ledger'!$D$6:$D$1005,"Advance",'Cash Ledger'!$B$6:$B$1005,"&gt;="&amp;$A54,'Cash Ledger'!$B$6:$B$1005,"&lt;="&amp;($A54+6)))</f>
        <v/>
      </c>
      <c r="E54" s="29" t="str">
        <f aca="true">IF($A54&gt;TODAY(),"",SUMIFS('Cash Ledger'!$E$6:$E$1005,'Cash Ledger'!$I$6:$I$1005,$D$4,'Cash Ledger'!$D$6:$D$1005,"Correction",'Cash Ledger'!$B$6:$B$1005,"&gt;="&amp;$A54,'Cash Ledger'!$B$6:$B$1005,"&lt;="&amp;($A54+6)))</f>
        <v/>
      </c>
      <c r="F54" s="17" t="str">
        <f aca="true">IF($A54&gt;TODAY(),"",SUMIFS('Cash Ledger'!$E$6:$E$1005,'Cash Ledger'!$I$6:$I$1005,$D$4,'Cash Ledger'!$D$6:$D$1005,"Weekly pay",'Cash Ledger'!$B$6:$B$1005,"&gt;="&amp;$A54,'Cash Ledger'!$B$6:$B$1005,"&lt;="&amp;($A54+6)))</f>
        <v/>
      </c>
      <c r="G54" s="56" t="str">
        <f aca="true">IF($A54&gt;TODAY(),"",SUMPRODUCT((Weeks!$A$6:$A$58&lt;=$A54)*(Weeks!$Z$4:$AK$4=$D$4)*Weeks!$Z$6:$AK$58)-SUMIFS('Cash Ledger'!$E$6:$E$1005,'Cash Ledger'!$I$6:$I$1005,$D$4,'Cash Ledger'!$B$6:$B$1005,"&lt;="&amp;($A54+6)))</f>
        <v/>
      </c>
      <c r="H54" s="19" t="str">
        <f aca="true">IF(OR($A54&gt;TODAY(),$G54=""),"",IF(ROUND($G54,0)&lt;0,"owes you",IF(ROUND($G54,0)&gt;0,"you owe","settled")))</f>
        <v/>
      </c>
    </row>
    <row r="55" customFormat="false" ht="15" hidden="false" customHeight="false" outlineLevel="0" collapsed="false">
      <c r="A55" s="10" t="n">
        <f aca="false">Weeks!$A$54</f>
        <v>46622</v>
      </c>
      <c r="B55" s="15" t="str">
        <f aca="true">IF($A55&gt;TODAY(),"",IFERROR(INDEX(Weeks!$N$6:$Y$58,MATCH($A55,Weeks!$A$6:$A$58,0),MATCH($D$4,Weeks!$N$4:$Y$4,0)),0))</f>
        <v/>
      </c>
      <c r="C55" s="17" t="str">
        <f aca="true">IF($A55&gt;TODAY(),"",IFERROR(INDEX(Weeks!$Z$6:$AK$58,MATCH($A55,Weeks!$A$6:$A$58,0),MATCH($D$4,Weeks!$Z$4:$AK$4,0)),0))</f>
        <v/>
      </c>
      <c r="D55" s="17" t="str">
        <f aca="true">IF($A55&gt;TODAY(),"",SUMIFS('Cash Ledger'!$E$6:$E$1005,'Cash Ledger'!$I$6:$I$1005,$D$4,'Cash Ledger'!$D$6:$D$1005,"Advance",'Cash Ledger'!$B$6:$B$1005,"&gt;="&amp;$A55,'Cash Ledger'!$B$6:$B$1005,"&lt;="&amp;($A55+6)))</f>
        <v/>
      </c>
      <c r="E55" s="29" t="str">
        <f aca="true">IF($A55&gt;TODAY(),"",SUMIFS('Cash Ledger'!$E$6:$E$1005,'Cash Ledger'!$I$6:$I$1005,$D$4,'Cash Ledger'!$D$6:$D$1005,"Correction",'Cash Ledger'!$B$6:$B$1005,"&gt;="&amp;$A55,'Cash Ledger'!$B$6:$B$1005,"&lt;="&amp;($A55+6)))</f>
        <v/>
      </c>
      <c r="F55" s="17" t="str">
        <f aca="true">IF($A55&gt;TODAY(),"",SUMIFS('Cash Ledger'!$E$6:$E$1005,'Cash Ledger'!$I$6:$I$1005,$D$4,'Cash Ledger'!$D$6:$D$1005,"Weekly pay",'Cash Ledger'!$B$6:$B$1005,"&gt;="&amp;$A55,'Cash Ledger'!$B$6:$B$1005,"&lt;="&amp;($A55+6)))</f>
        <v/>
      </c>
      <c r="G55" s="56" t="str">
        <f aca="true">IF($A55&gt;TODAY(),"",SUMPRODUCT((Weeks!$A$6:$A$58&lt;=$A55)*(Weeks!$Z$4:$AK$4=$D$4)*Weeks!$Z$6:$AK$58)-SUMIFS('Cash Ledger'!$E$6:$E$1005,'Cash Ledger'!$I$6:$I$1005,$D$4,'Cash Ledger'!$B$6:$B$1005,"&lt;="&amp;($A55+6)))</f>
        <v/>
      </c>
      <c r="H55" s="19" t="str">
        <f aca="true">IF(OR($A55&gt;TODAY(),$G55=""),"",IF(ROUND($G55,0)&lt;0,"owes you",IF(ROUND($G55,0)&gt;0,"you owe","settled")))</f>
        <v/>
      </c>
    </row>
    <row r="56" customFormat="false" ht="15" hidden="false" customHeight="false" outlineLevel="0" collapsed="false">
      <c r="A56" s="10" t="n">
        <f aca="false">Weeks!$A$55</f>
        <v>46629</v>
      </c>
      <c r="B56" s="15" t="str">
        <f aca="true">IF($A56&gt;TODAY(),"",IFERROR(INDEX(Weeks!$N$6:$Y$58,MATCH($A56,Weeks!$A$6:$A$58,0),MATCH($D$4,Weeks!$N$4:$Y$4,0)),0))</f>
        <v/>
      </c>
      <c r="C56" s="17" t="str">
        <f aca="true">IF($A56&gt;TODAY(),"",IFERROR(INDEX(Weeks!$Z$6:$AK$58,MATCH($A56,Weeks!$A$6:$A$58,0),MATCH($D$4,Weeks!$Z$4:$AK$4,0)),0))</f>
        <v/>
      </c>
      <c r="D56" s="17" t="str">
        <f aca="true">IF($A56&gt;TODAY(),"",SUMIFS('Cash Ledger'!$E$6:$E$1005,'Cash Ledger'!$I$6:$I$1005,$D$4,'Cash Ledger'!$D$6:$D$1005,"Advance",'Cash Ledger'!$B$6:$B$1005,"&gt;="&amp;$A56,'Cash Ledger'!$B$6:$B$1005,"&lt;="&amp;($A56+6)))</f>
        <v/>
      </c>
      <c r="E56" s="29" t="str">
        <f aca="true">IF($A56&gt;TODAY(),"",SUMIFS('Cash Ledger'!$E$6:$E$1005,'Cash Ledger'!$I$6:$I$1005,$D$4,'Cash Ledger'!$D$6:$D$1005,"Correction",'Cash Ledger'!$B$6:$B$1005,"&gt;="&amp;$A56,'Cash Ledger'!$B$6:$B$1005,"&lt;="&amp;($A56+6)))</f>
        <v/>
      </c>
      <c r="F56" s="17" t="str">
        <f aca="true">IF($A56&gt;TODAY(),"",SUMIFS('Cash Ledger'!$E$6:$E$1005,'Cash Ledger'!$I$6:$I$1005,$D$4,'Cash Ledger'!$D$6:$D$1005,"Weekly pay",'Cash Ledger'!$B$6:$B$1005,"&gt;="&amp;$A56,'Cash Ledger'!$B$6:$B$1005,"&lt;="&amp;($A56+6)))</f>
        <v/>
      </c>
      <c r="G56" s="56" t="str">
        <f aca="true">IF($A56&gt;TODAY(),"",SUMPRODUCT((Weeks!$A$6:$A$58&lt;=$A56)*(Weeks!$Z$4:$AK$4=$D$4)*Weeks!$Z$6:$AK$58)-SUMIFS('Cash Ledger'!$E$6:$E$1005,'Cash Ledger'!$I$6:$I$1005,$D$4,'Cash Ledger'!$B$6:$B$1005,"&lt;="&amp;($A56+6)))</f>
        <v/>
      </c>
      <c r="H56" s="19" t="str">
        <f aca="true">IF(OR($A56&gt;TODAY(),$G56=""),"",IF(ROUND($G56,0)&lt;0,"owes you",IF(ROUND($G56,0)&gt;0,"you owe","settled")))</f>
        <v/>
      </c>
    </row>
    <row r="57" customFormat="false" ht="15" hidden="false" customHeight="false" outlineLevel="0" collapsed="false">
      <c r="A57" s="10" t="n">
        <f aca="false">Weeks!$A$56</f>
        <v>46636</v>
      </c>
      <c r="B57" s="15" t="str">
        <f aca="true">IF($A57&gt;TODAY(),"",IFERROR(INDEX(Weeks!$N$6:$Y$58,MATCH($A57,Weeks!$A$6:$A$58,0),MATCH($D$4,Weeks!$N$4:$Y$4,0)),0))</f>
        <v/>
      </c>
      <c r="C57" s="17" t="str">
        <f aca="true">IF($A57&gt;TODAY(),"",IFERROR(INDEX(Weeks!$Z$6:$AK$58,MATCH($A57,Weeks!$A$6:$A$58,0),MATCH($D$4,Weeks!$Z$4:$AK$4,0)),0))</f>
        <v/>
      </c>
      <c r="D57" s="17" t="str">
        <f aca="true">IF($A57&gt;TODAY(),"",SUMIFS('Cash Ledger'!$E$6:$E$1005,'Cash Ledger'!$I$6:$I$1005,$D$4,'Cash Ledger'!$D$6:$D$1005,"Advance",'Cash Ledger'!$B$6:$B$1005,"&gt;="&amp;$A57,'Cash Ledger'!$B$6:$B$1005,"&lt;="&amp;($A57+6)))</f>
        <v/>
      </c>
      <c r="E57" s="29" t="str">
        <f aca="true">IF($A57&gt;TODAY(),"",SUMIFS('Cash Ledger'!$E$6:$E$1005,'Cash Ledger'!$I$6:$I$1005,$D$4,'Cash Ledger'!$D$6:$D$1005,"Correction",'Cash Ledger'!$B$6:$B$1005,"&gt;="&amp;$A57,'Cash Ledger'!$B$6:$B$1005,"&lt;="&amp;($A57+6)))</f>
        <v/>
      </c>
      <c r="F57" s="17" t="str">
        <f aca="true">IF($A57&gt;TODAY(),"",SUMIFS('Cash Ledger'!$E$6:$E$1005,'Cash Ledger'!$I$6:$I$1005,$D$4,'Cash Ledger'!$D$6:$D$1005,"Weekly pay",'Cash Ledger'!$B$6:$B$1005,"&gt;="&amp;$A57,'Cash Ledger'!$B$6:$B$1005,"&lt;="&amp;($A57+6)))</f>
        <v/>
      </c>
      <c r="G57" s="56" t="str">
        <f aca="true">IF($A57&gt;TODAY(),"",SUMPRODUCT((Weeks!$A$6:$A$58&lt;=$A57)*(Weeks!$Z$4:$AK$4=$D$4)*Weeks!$Z$6:$AK$58)-SUMIFS('Cash Ledger'!$E$6:$E$1005,'Cash Ledger'!$I$6:$I$1005,$D$4,'Cash Ledger'!$B$6:$B$1005,"&lt;="&amp;($A57+6)))</f>
        <v/>
      </c>
      <c r="H57" s="19" t="str">
        <f aca="true">IF(OR($A57&gt;TODAY(),$G57=""),"",IF(ROUND($G57,0)&lt;0,"owes you",IF(ROUND($G57,0)&gt;0,"you owe","settled")))</f>
        <v/>
      </c>
    </row>
    <row r="58" customFormat="false" ht="15" hidden="false" customHeight="false" outlineLevel="0" collapsed="false">
      <c r="A58" s="10" t="n">
        <f aca="false">Weeks!$A$57</f>
        <v>46643</v>
      </c>
      <c r="B58" s="15" t="str">
        <f aca="true">IF($A58&gt;TODAY(),"",IFERROR(INDEX(Weeks!$N$6:$Y$58,MATCH($A58,Weeks!$A$6:$A$58,0),MATCH($D$4,Weeks!$N$4:$Y$4,0)),0))</f>
        <v/>
      </c>
      <c r="C58" s="17" t="str">
        <f aca="true">IF($A58&gt;TODAY(),"",IFERROR(INDEX(Weeks!$Z$6:$AK$58,MATCH($A58,Weeks!$A$6:$A$58,0),MATCH($D$4,Weeks!$Z$4:$AK$4,0)),0))</f>
        <v/>
      </c>
      <c r="D58" s="17" t="str">
        <f aca="true">IF($A58&gt;TODAY(),"",SUMIFS('Cash Ledger'!$E$6:$E$1005,'Cash Ledger'!$I$6:$I$1005,$D$4,'Cash Ledger'!$D$6:$D$1005,"Advance",'Cash Ledger'!$B$6:$B$1005,"&gt;="&amp;$A58,'Cash Ledger'!$B$6:$B$1005,"&lt;="&amp;($A58+6)))</f>
        <v/>
      </c>
      <c r="E58" s="29" t="str">
        <f aca="true">IF($A58&gt;TODAY(),"",SUMIFS('Cash Ledger'!$E$6:$E$1005,'Cash Ledger'!$I$6:$I$1005,$D$4,'Cash Ledger'!$D$6:$D$1005,"Correction",'Cash Ledger'!$B$6:$B$1005,"&gt;="&amp;$A58,'Cash Ledger'!$B$6:$B$1005,"&lt;="&amp;($A58+6)))</f>
        <v/>
      </c>
      <c r="F58" s="17" t="str">
        <f aca="true">IF($A58&gt;TODAY(),"",SUMIFS('Cash Ledger'!$E$6:$E$1005,'Cash Ledger'!$I$6:$I$1005,$D$4,'Cash Ledger'!$D$6:$D$1005,"Weekly pay",'Cash Ledger'!$B$6:$B$1005,"&gt;="&amp;$A58,'Cash Ledger'!$B$6:$B$1005,"&lt;="&amp;($A58+6)))</f>
        <v/>
      </c>
      <c r="G58" s="56" t="str">
        <f aca="true">IF($A58&gt;TODAY(),"",SUMPRODUCT((Weeks!$A$6:$A$58&lt;=$A58)*(Weeks!$Z$4:$AK$4=$D$4)*Weeks!$Z$6:$AK$58)-SUMIFS('Cash Ledger'!$E$6:$E$1005,'Cash Ledger'!$I$6:$I$1005,$D$4,'Cash Ledger'!$B$6:$B$1005,"&lt;="&amp;($A58+6)))</f>
        <v/>
      </c>
      <c r="H58" s="19" t="str">
        <f aca="true">IF(OR($A58&gt;TODAY(),$G58=""),"",IF(ROUND($G58,0)&lt;0,"owes you",IF(ROUND($G58,0)&gt;0,"you owe","settled")))</f>
        <v/>
      </c>
    </row>
    <row r="59" customFormat="false" ht="15" hidden="false" customHeight="false" outlineLevel="0" collapsed="false">
      <c r="A59" s="10" t="n">
        <f aca="false">Weeks!$A$58</f>
        <v>46650</v>
      </c>
      <c r="B59" s="15" t="str">
        <f aca="true">IF($A59&gt;TODAY(),"",IFERROR(INDEX(Weeks!$N$6:$Y$58,MATCH($A59,Weeks!$A$6:$A$58,0),MATCH($D$4,Weeks!$N$4:$Y$4,0)),0))</f>
        <v/>
      </c>
      <c r="C59" s="17" t="str">
        <f aca="true">IF($A59&gt;TODAY(),"",IFERROR(INDEX(Weeks!$Z$6:$AK$58,MATCH($A59,Weeks!$A$6:$A$58,0),MATCH($D$4,Weeks!$Z$4:$AK$4,0)),0))</f>
        <v/>
      </c>
      <c r="D59" s="17" t="str">
        <f aca="true">IF($A59&gt;TODAY(),"",SUMIFS('Cash Ledger'!$E$6:$E$1005,'Cash Ledger'!$I$6:$I$1005,$D$4,'Cash Ledger'!$D$6:$D$1005,"Advance",'Cash Ledger'!$B$6:$B$1005,"&gt;="&amp;$A59,'Cash Ledger'!$B$6:$B$1005,"&lt;="&amp;($A59+6)))</f>
        <v/>
      </c>
      <c r="E59" s="29" t="str">
        <f aca="true">IF($A59&gt;TODAY(),"",SUMIFS('Cash Ledger'!$E$6:$E$1005,'Cash Ledger'!$I$6:$I$1005,$D$4,'Cash Ledger'!$D$6:$D$1005,"Correction",'Cash Ledger'!$B$6:$B$1005,"&gt;="&amp;$A59,'Cash Ledger'!$B$6:$B$1005,"&lt;="&amp;($A59+6)))</f>
        <v/>
      </c>
      <c r="F59" s="17" t="str">
        <f aca="true">IF($A59&gt;TODAY(),"",SUMIFS('Cash Ledger'!$E$6:$E$1005,'Cash Ledger'!$I$6:$I$1005,$D$4,'Cash Ledger'!$D$6:$D$1005,"Weekly pay",'Cash Ledger'!$B$6:$B$1005,"&gt;="&amp;$A59,'Cash Ledger'!$B$6:$B$1005,"&lt;="&amp;($A59+6)))</f>
        <v/>
      </c>
      <c r="G59" s="56" t="str">
        <f aca="true">IF($A59&gt;TODAY(),"",SUMPRODUCT((Weeks!$A$6:$A$58&lt;=$A59)*(Weeks!$Z$4:$AK$4=$D$4)*Weeks!$Z$6:$AK$58)-SUMIFS('Cash Ledger'!$E$6:$E$1005,'Cash Ledger'!$I$6:$I$1005,$D$4,'Cash Ledger'!$B$6:$B$1005,"&lt;="&amp;($A59+6)))</f>
        <v/>
      </c>
      <c r="H59" s="19" t="str">
        <f aca="true">IF(OR($A59&gt;TODAY(),$G59=""),"",IF(ROUND($G59,0)&lt;0,"owes you",IF(ROUND($G59,0)&gt;0,"you owe","settled")))</f>
        <v/>
      </c>
    </row>
  </sheetData>
  <dataValidations count="1">
    <dataValidation allowBlank="true" error="Pick a value from the list." errorStyle="stop" operator="between" showDropDown="false" showErrorMessage="true" showInputMessage="false" sqref="C4" type="list">
      <formula1>WorkerNames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16"/>
    <col collapsed="false" customWidth="true" hidden="false" outlineLevel="0" max="7" min="7" style="0" width="30"/>
    <col collapsed="false" customWidth="true" hidden="false" outlineLevel="0" max="8" min="8" style="0" width="34"/>
  </cols>
  <sheetData>
    <row r="1" customFormat="false" ht="24" hidden="false" customHeight="true" outlineLevel="0" collapsed="false">
      <c r="A1" s="1" t="s">
        <v>123</v>
      </c>
    </row>
    <row r="2" customFormat="false" ht="15" hidden="false" customHeight="false" outlineLevel="0" collapsed="false">
      <c r="A2" s="2" t="s">
        <v>124</v>
      </c>
    </row>
    <row r="4" customFormat="false" ht="30" hidden="false" customHeight="true" outlineLevel="0" collapsed="false">
      <c r="A4" s="9" t="s">
        <v>68</v>
      </c>
      <c r="B4" s="9" t="s">
        <v>125</v>
      </c>
      <c r="C4" s="9" t="s">
        <v>78</v>
      </c>
      <c r="D4" s="9" t="s">
        <v>126</v>
      </c>
      <c r="E4" s="9" t="s">
        <v>127</v>
      </c>
      <c r="F4" s="9" t="s">
        <v>128</v>
      </c>
      <c r="G4" s="9" t="s">
        <v>55</v>
      </c>
      <c r="H4" s="9" t="s">
        <v>54</v>
      </c>
    </row>
    <row r="5" customFormat="false" ht="15" hidden="false" customHeight="false" outlineLevel="0" collapsed="false">
      <c r="A5" s="63" t="s">
        <v>129</v>
      </c>
      <c r="B5" s="20" t="s">
        <v>130</v>
      </c>
      <c r="C5" s="26" t="s">
        <v>131</v>
      </c>
      <c r="D5" s="25" t="n">
        <v>46286</v>
      </c>
      <c r="E5" s="25"/>
      <c r="F5" s="64"/>
      <c r="G5" s="20"/>
      <c r="H5" s="19" t="str">
        <f aca="false">IF($B5="",IF($C5&lt;&gt;"","status set but no name",""),IF(COUNTIF($B$5:$B$16,$B5)&gt;1,"same name twice - make it unique",IF($C5="","choose Active or Left","")))</f>
        <v/>
      </c>
    </row>
    <row r="6" customFormat="false" ht="15" hidden="false" customHeight="false" outlineLevel="0" collapsed="false">
      <c r="A6" s="63" t="s">
        <v>132</v>
      </c>
      <c r="B6" s="20" t="s">
        <v>133</v>
      </c>
      <c r="C6" s="26" t="s">
        <v>131</v>
      </c>
      <c r="D6" s="25" t="n">
        <v>46286</v>
      </c>
      <c r="E6" s="25"/>
      <c r="F6" s="64"/>
      <c r="G6" s="20"/>
      <c r="H6" s="19" t="str">
        <f aca="false">IF($B6="",IF($C6&lt;&gt;"","status set but no name",""),IF(COUNTIF($B$5:$B$16,$B6)&gt;1,"same name twice - make it unique",IF($C6="","choose Active or Left","")))</f>
        <v/>
      </c>
    </row>
    <row r="7" customFormat="false" ht="15" hidden="false" customHeight="false" outlineLevel="0" collapsed="false">
      <c r="A7" s="63" t="s">
        <v>134</v>
      </c>
      <c r="B7" s="20" t="s">
        <v>135</v>
      </c>
      <c r="C7" s="26" t="s">
        <v>131</v>
      </c>
      <c r="D7" s="25" t="n">
        <v>46286</v>
      </c>
      <c r="E7" s="25"/>
      <c r="F7" s="64"/>
      <c r="G7" s="20"/>
      <c r="H7" s="19" t="str">
        <f aca="false">IF($B7="",IF($C7&lt;&gt;"","status set but no name",""),IF(COUNTIF($B$5:$B$16,$B7)&gt;1,"same name twice - make it unique",IF($C7="","choose Active or Left","")))</f>
        <v/>
      </c>
    </row>
    <row r="8" customFormat="false" ht="15" hidden="false" customHeight="false" outlineLevel="0" collapsed="false">
      <c r="A8" s="63" t="s">
        <v>136</v>
      </c>
      <c r="B8" s="20" t="s">
        <v>137</v>
      </c>
      <c r="C8" s="26" t="s">
        <v>131</v>
      </c>
      <c r="D8" s="25" t="n">
        <v>46286</v>
      </c>
      <c r="E8" s="25"/>
      <c r="F8" s="64"/>
      <c r="G8" s="20"/>
      <c r="H8" s="19" t="str">
        <f aca="false">IF($B8="",IF($C8&lt;&gt;"","status set but no name",""),IF(COUNTIF($B$5:$B$16,$B8)&gt;1,"same name twice - make it unique",IF($C8="","choose Active or Left","")))</f>
        <v/>
      </c>
    </row>
    <row r="9" customFormat="false" ht="15" hidden="false" customHeight="false" outlineLevel="0" collapsed="false">
      <c r="A9" s="63" t="s">
        <v>138</v>
      </c>
      <c r="B9" s="20"/>
      <c r="C9" s="26"/>
      <c r="D9" s="25"/>
      <c r="E9" s="25"/>
      <c r="F9" s="64"/>
      <c r="G9" s="20"/>
      <c r="H9" s="19" t="str">
        <f aca="false">IF($B9="",IF($C9&lt;&gt;"","status set but no name",""),IF(COUNTIF($B$5:$B$16,$B9)&gt;1,"same name twice - make it unique",IF($C9="","choose Active or Left","")))</f>
        <v/>
      </c>
    </row>
    <row r="10" customFormat="false" ht="15" hidden="false" customHeight="false" outlineLevel="0" collapsed="false">
      <c r="A10" s="63" t="s">
        <v>139</v>
      </c>
      <c r="B10" s="20"/>
      <c r="C10" s="26"/>
      <c r="D10" s="25"/>
      <c r="E10" s="25"/>
      <c r="F10" s="64"/>
      <c r="G10" s="20"/>
      <c r="H10" s="19" t="str">
        <f aca="false">IF($B10="",IF($C10&lt;&gt;"","status set but no name",""),IF(COUNTIF($B$5:$B$16,$B10)&gt;1,"same name twice - make it unique",IF($C10="","choose Active or Left","")))</f>
        <v/>
      </c>
    </row>
    <row r="11" customFormat="false" ht="15" hidden="false" customHeight="false" outlineLevel="0" collapsed="false">
      <c r="A11" s="63" t="s">
        <v>140</v>
      </c>
      <c r="B11" s="20"/>
      <c r="C11" s="26"/>
      <c r="D11" s="25"/>
      <c r="E11" s="25"/>
      <c r="F11" s="64"/>
      <c r="G11" s="20"/>
      <c r="H11" s="19" t="str">
        <f aca="false">IF($B11="",IF($C11&lt;&gt;"","status set but no name",""),IF(COUNTIF($B$5:$B$16,$B11)&gt;1,"same name twice - make it unique",IF($C11="","choose Active or Left","")))</f>
        <v/>
      </c>
    </row>
    <row r="12" customFormat="false" ht="15" hidden="false" customHeight="false" outlineLevel="0" collapsed="false">
      <c r="A12" s="63" t="s">
        <v>141</v>
      </c>
      <c r="B12" s="20"/>
      <c r="C12" s="26"/>
      <c r="D12" s="25"/>
      <c r="E12" s="25"/>
      <c r="F12" s="64"/>
      <c r="G12" s="20"/>
      <c r="H12" s="19" t="str">
        <f aca="false">IF($B12="",IF($C12&lt;&gt;"","status set but no name",""),IF(COUNTIF($B$5:$B$16,$B12)&gt;1,"same name twice - make it unique",IF($C12="","choose Active or Left","")))</f>
        <v/>
      </c>
    </row>
    <row r="13" customFormat="false" ht="15" hidden="false" customHeight="false" outlineLevel="0" collapsed="false">
      <c r="A13" s="63" t="s">
        <v>142</v>
      </c>
      <c r="B13" s="20"/>
      <c r="C13" s="26"/>
      <c r="D13" s="25"/>
      <c r="E13" s="25"/>
      <c r="F13" s="64"/>
      <c r="G13" s="20"/>
      <c r="H13" s="19" t="str">
        <f aca="false">IF($B13="",IF($C13&lt;&gt;"","status set but no name",""),IF(COUNTIF($B$5:$B$16,$B13)&gt;1,"same name twice - make it unique",IF($C13="","choose Active or Left","")))</f>
        <v/>
      </c>
    </row>
    <row r="14" customFormat="false" ht="15" hidden="false" customHeight="false" outlineLevel="0" collapsed="false">
      <c r="A14" s="63" t="s">
        <v>143</v>
      </c>
      <c r="B14" s="20"/>
      <c r="C14" s="26"/>
      <c r="D14" s="25"/>
      <c r="E14" s="25"/>
      <c r="F14" s="64"/>
      <c r="G14" s="20"/>
      <c r="H14" s="19" t="str">
        <f aca="false">IF($B14="",IF($C14&lt;&gt;"","status set but no name",""),IF(COUNTIF($B$5:$B$16,$B14)&gt;1,"same name twice - make it unique",IF($C14="","choose Active or Left","")))</f>
        <v/>
      </c>
    </row>
    <row r="15" customFormat="false" ht="15" hidden="false" customHeight="false" outlineLevel="0" collapsed="false">
      <c r="A15" s="63" t="s">
        <v>144</v>
      </c>
      <c r="B15" s="20"/>
      <c r="C15" s="26"/>
      <c r="D15" s="25"/>
      <c r="E15" s="25"/>
      <c r="F15" s="64"/>
      <c r="G15" s="20"/>
      <c r="H15" s="19" t="str">
        <f aca="false">IF($B15="",IF($C15&lt;&gt;"","status set but no name",""),IF(COUNTIF($B$5:$B$16,$B15)&gt;1,"same name twice - make it unique",IF($C15="","choose Active or Left","")))</f>
        <v/>
      </c>
    </row>
    <row r="16" customFormat="false" ht="15" hidden="false" customHeight="false" outlineLevel="0" collapsed="false">
      <c r="A16" s="63" t="s">
        <v>145</v>
      </c>
      <c r="B16" s="20"/>
      <c r="C16" s="26"/>
      <c r="D16" s="25"/>
      <c r="E16" s="25"/>
      <c r="F16" s="64"/>
      <c r="G16" s="20"/>
      <c r="H16" s="19" t="str">
        <f aca="false">IF($B16="",IF($C16&lt;&gt;"","status set but no name",""),IF(COUNTIF($B$5:$B$16,$B16)&gt;1,"same name twice - make it unique",IF($C16="","choose Active or Left","")))</f>
        <v/>
      </c>
    </row>
  </sheetData>
  <conditionalFormatting sqref="H5:H16">
    <cfRule type="expression" priority="2" aboveAverage="0" equalAverage="0" bottom="0" percent="0" rank="0" text="" dxfId="1">
      <formula>LEN(H5)&gt;0</formula>
    </cfRule>
  </conditionalFormatting>
  <dataValidations count="2">
    <dataValidation allowBlank="true" error="Type a date, e.g. 2026-09-23." errorStyle="stop" operator="greaterThan" showDropDown="false" showErrorMessage="true" showInputMessage="false" sqref="D5:E16" type="date">
      <formula1>36526</formula1>
      <formula2>0</formula2>
    </dataValidation>
    <dataValidation allowBlank="true" error="Pick a value from the list." errorStyle="stop" operator="between" showDropDown="false" showErrorMessage="true" showInputMessage="false" sqref="C5:C16" type="list">
      <formula1>StatusList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24" hidden="false" customHeight="tru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15" hidden="false" customHeight="false" outlineLevel="0" collapsed="false">
      <c r="B4" s="5" t="s">
        <v>148</v>
      </c>
      <c r="F4" s="2" t="s">
        <v>149</v>
      </c>
    </row>
    <row r="5" customFormat="false" ht="48" hidden="false" customHeight="true" outlineLevel="0" collapsed="false">
      <c r="B5" s="52" t="s">
        <v>150</v>
      </c>
      <c r="C5" s="65" t="n">
        <v>0</v>
      </c>
      <c r="D5" s="66" t="s">
        <v>151</v>
      </c>
      <c r="F5" s="2" t="s">
        <v>152</v>
      </c>
      <c r="G5" s="2" t="s">
        <v>131</v>
      </c>
      <c r="H5" s="2" t="s">
        <v>153</v>
      </c>
    </row>
    <row r="6" customFormat="false" ht="48" hidden="false" customHeight="true" outlineLevel="0" collapsed="false">
      <c r="B6" s="52" t="s">
        <v>154</v>
      </c>
      <c r="C6" s="65" t="n">
        <v>1</v>
      </c>
      <c r="D6" s="66" t="s">
        <v>155</v>
      </c>
      <c r="F6" s="2" t="s">
        <v>59</v>
      </c>
      <c r="G6" s="2" t="s">
        <v>156</v>
      </c>
      <c r="H6" s="2" t="s">
        <v>157</v>
      </c>
    </row>
    <row r="7" customFormat="false" ht="48" hidden="false" customHeight="true" outlineLevel="0" collapsed="false">
      <c r="B7" s="52" t="s">
        <v>158</v>
      </c>
      <c r="C7" s="65" t="n">
        <v>0.08</v>
      </c>
      <c r="D7" s="66" t="s">
        <v>159</v>
      </c>
      <c r="F7" s="2" t="s">
        <v>160</v>
      </c>
    </row>
    <row r="8" customFormat="false" ht="48" hidden="false" customHeight="true" outlineLevel="0" collapsed="false">
      <c r="B8" s="52" t="s">
        <v>161</v>
      </c>
      <c r="C8" s="67"/>
      <c r="D8" s="66" t="s">
        <v>162</v>
      </c>
    </row>
    <row r="11" customFormat="false" ht="15" hidden="false" customHeight="false" outlineLevel="0" collapsed="false">
      <c r="B11" s="5" t="s">
        <v>163</v>
      </c>
    </row>
    <row r="12" customFormat="false" ht="30" hidden="false" customHeight="true" outlineLevel="0" collapsed="false">
      <c r="B12" s="9" t="s">
        <v>164</v>
      </c>
      <c r="C12" s="9" t="s">
        <v>165</v>
      </c>
    </row>
    <row r="13" customFormat="false" ht="15" hidden="false" customHeight="false" outlineLevel="0" collapsed="false">
      <c r="B13" s="25" t="n">
        <v>46286</v>
      </c>
      <c r="C13" s="68"/>
      <c r="D13" s="66" t="s">
        <v>166</v>
      </c>
    </row>
    <row r="14" customFormat="false" ht="15" hidden="false" customHeight="false" outlineLevel="0" collapsed="false">
      <c r="B14" s="25"/>
      <c r="C14" s="68"/>
    </row>
    <row r="15" customFormat="false" ht="15" hidden="false" customHeight="false" outlineLevel="0" collapsed="false">
      <c r="B15" s="25"/>
      <c r="C15" s="68"/>
    </row>
    <row r="16" customFormat="false" ht="15" hidden="false" customHeight="false" outlineLevel="0" collapsed="false">
      <c r="B16" s="25"/>
      <c r="C16" s="68"/>
    </row>
    <row r="17" customFormat="false" ht="15" hidden="false" customHeight="false" outlineLevel="0" collapsed="false">
      <c r="B17" s="25"/>
      <c r="C17" s="68"/>
    </row>
    <row r="18" customFormat="false" ht="15" hidden="false" customHeight="false" outlineLevel="0" collapsed="false">
      <c r="B18" s="25"/>
      <c r="C18" s="68"/>
    </row>
    <row r="19" customFormat="false" ht="15" hidden="false" customHeight="false" outlineLevel="0" collapsed="false">
      <c r="B19" s="25"/>
      <c r="C19" s="68"/>
    </row>
    <row r="20" customFormat="false" ht="15" hidden="false" customHeight="false" outlineLevel="0" collapsed="false">
      <c r="B20" s="25"/>
      <c r="C20" s="68"/>
    </row>
    <row r="21" customFormat="false" ht="15" hidden="false" customHeight="false" outlineLevel="0" collapsed="false">
      <c r="B21" s="25"/>
      <c r="C21" s="68"/>
    </row>
    <row r="22" customFormat="false" ht="15" hidden="false" customHeight="false" outlineLevel="0" collapsed="false">
      <c r="B22" s="25"/>
      <c r="C22" s="68"/>
    </row>
    <row r="23" customFormat="false" ht="15" hidden="false" customHeight="false" outlineLevel="0" collapsed="false">
      <c r="B23" s="25"/>
      <c r="C23" s="68"/>
    </row>
    <row r="24" customFormat="false" ht="15" hidden="false" customHeight="false" outlineLevel="0" collapsed="false">
      <c r="B24" s="25"/>
      <c r="C24" s="68"/>
    </row>
    <row r="25" customFormat="false" ht="15" hidden="false" customHeight="false" outlineLevel="0" collapsed="false">
      <c r="B25" s="25"/>
      <c r="C25" s="68"/>
    </row>
    <row r="26" customFormat="false" ht="15" hidden="false" customHeight="false" outlineLevel="0" collapsed="false">
      <c r="B26" s="25"/>
      <c r="C26" s="68"/>
    </row>
    <row r="27" customFormat="false" ht="15" hidden="false" customHeight="false" outlineLevel="0" collapsed="false">
      <c r="B27" s="25"/>
      <c r="C27" s="68"/>
    </row>
    <row r="28" customFormat="false" ht="15" hidden="false" customHeight="false" outlineLevel="0" collapsed="false">
      <c r="B28" s="25"/>
      <c r="C28" s="68"/>
    </row>
    <row r="29" customFormat="false" ht="15" hidden="false" customHeight="false" outlineLevel="0" collapsed="false">
      <c r="B29" s="25"/>
      <c r="C29" s="68"/>
    </row>
    <row r="30" customFormat="false" ht="15" hidden="false" customHeight="false" outlineLevel="0" collapsed="false">
      <c r="B30" s="25"/>
      <c r="C30" s="68"/>
    </row>
    <row r="31" customFormat="false" ht="15" hidden="false" customHeight="false" outlineLevel="0" collapsed="false">
      <c r="B31" s="25"/>
      <c r="C31" s="68"/>
    </row>
    <row r="32" customFormat="false" ht="15" hidden="false" customHeight="false" outlineLevel="0" collapsed="false">
      <c r="B32" s="25"/>
      <c r="C32" s="68"/>
    </row>
  </sheetData>
  <dataValidations count="2">
    <dataValidation allowBlank="true" error="Type a date, e.g. 2026-09-23." errorStyle="stop" operator="greaterThan" showDropDown="false" showErrorMessage="true" showInputMessage="false" sqref="B13:B32" type="date">
      <formula1>36526</formula1>
      <formula2>0</formula2>
    </dataValidation>
    <dataValidation allowBlank="true" error="Type the rate in so'm per block." errorStyle="stop" operator="between" showDropDown="false" showErrorMessage="true" showInputMessage="false" sqref="C13:C32" type="decimal">
      <formula1>0</formula1>
      <formula2>1000000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50"/>
  </cols>
  <sheetData>
    <row r="1" customFormat="false" ht="24" hidden="false" customHeight="true" outlineLevel="0" collapsed="false">
      <c r="A1" s="1" t="s">
        <v>167</v>
      </c>
    </row>
    <row r="2" customFormat="false" ht="15" hidden="false" customHeight="false" outlineLevel="0" collapsed="false">
      <c r="A2" s="2" t="s">
        <v>168</v>
      </c>
    </row>
    <row r="4" customFormat="false" ht="15" hidden="false" customHeight="false" outlineLevel="0" collapsed="false">
      <c r="B4" s="5" t="s">
        <v>169</v>
      </c>
      <c r="C4" s="69" t="str">
        <f aca="false">IF(COUNTIF($C$7:$C$15,"OK")=9,"ALL CHECKS OK",(9-COUNTIF($C$7:$C$15,"OK"))&amp;" check(s) need attention")</f>
        <v>1 check(s) need attention</v>
      </c>
      <c r="D4" s="69"/>
    </row>
    <row r="6" customFormat="false" ht="21.75" hidden="false" customHeight="true" outlineLevel="0" collapsed="false">
      <c r="B6" s="9" t="s">
        <v>54</v>
      </c>
      <c r="C6" s="9" t="s">
        <v>170</v>
      </c>
      <c r="D6" s="9" t="s">
        <v>171</v>
      </c>
    </row>
    <row r="7" customFormat="false" ht="15" hidden="false" customHeight="false" outlineLevel="0" collapsed="false">
      <c r="B7" s="70" t="s">
        <v>172</v>
      </c>
      <c r="C7" s="38" t="str">
        <f aca="false">IF((COUNTIF(Workers!$H$5:$H$16,"?*"))=0,"OK",(COUNTIF(Workers!$H$5:$H$16,"?*"))&amp;" to fix")</f>
        <v>OK</v>
      </c>
      <c r="D7" s="71" t="s">
        <v>123</v>
      </c>
    </row>
    <row r="8" customFormat="false" ht="15" hidden="false" customHeight="false" outlineLevel="0" collapsed="false">
      <c r="B8" s="70" t="s">
        <v>173</v>
      </c>
      <c r="C8" s="38" t="str">
        <f aca="false">IF((COUNTIF('Daily Log'!$X$6:$X$376,"?*"))=0,"OK",(COUNTIF('Daily Log'!$X$6:$X$376,"?*"))&amp;" to fix")</f>
        <v>OK</v>
      </c>
      <c r="D8" s="71" t="s">
        <v>174</v>
      </c>
    </row>
    <row r="9" customFormat="false" ht="15" hidden="false" customHeight="false" outlineLevel="0" collapsed="false">
      <c r="B9" s="70" t="s">
        <v>175</v>
      </c>
      <c r="C9" s="38" t="str">
        <f aca="false">IF((COUNTIF('Cash Ledger'!$M$6:$M$1005,"?*")-COUNTIF('Cash Ledger'!$M$6:$M$1005,"Warning*"))=0,"OK",(COUNTIF('Cash Ledger'!$M$6:$M$1005,"?*")-COUNTIF('Cash Ledger'!$M$6:$M$1005,"Warning*"))&amp;" to fix")</f>
        <v>OK</v>
      </c>
      <c r="D9" s="71" t="s">
        <v>176</v>
      </c>
    </row>
    <row r="10" customFormat="false" ht="15" hidden="false" customHeight="false" outlineLevel="0" collapsed="false">
      <c r="B10" s="70" t="s">
        <v>177</v>
      </c>
      <c r="C10" s="38" t="str">
        <f aca="false">IF((COUNTIF(Weeks!$M$6:$M$58,"pot*"))=0,"OK",(COUNTIF(Weeks!$M$6:$M$58,"pot*"))&amp;" to fix")</f>
        <v>OK</v>
      </c>
      <c r="D10" s="71" t="s">
        <v>178</v>
      </c>
    </row>
    <row r="11" customFormat="false" ht="15" hidden="false" customHeight="false" outlineLevel="0" collapsed="false">
      <c r="B11" s="70" t="s">
        <v>179</v>
      </c>
      <c r="C11" s="38" t="str">
        <f aca="false">IF((SUMPRODUCT(--(ABS(Weeks!$AM$6:$AM$58)&gt;12)))=0,"OK",(SUMPRODUCT(--(ABS(Weeks!$AM$6:$AM$58)&gt;12)))&amp;" to fix")</f>
        <v>OK</v>
      </c>
      <c r="D11" s="71" t="s">
        <v>178</v>
      </c>
    </row>
    <row r="12" customFormat="false" ht="15" hidden="false" customHeight="false" outlineLevel="0" collapsed="false">
      <c r="B12" s="70" t="s">
        <v>180</v>
      </c>
      <c r="C12" s="38" t="str">
        <f aca="false">IF((IF(COUNTIF(RateValues,"&gt;0")=0,1,0))=0,"OK",(IF(COUNTIF(RateValues,"&gt;0")=0,1,0))&amp;" to fix")</f>
        <v>1 to fix</v>
      </c>
      <c r="D12" s="71" t="s">
        <v>146</v>
      </c>
    </row>
    <row r="13" customFormat="false" ht="15" hidden="false" customHeight="false" outlineLevel="0" collapsed="false">
      <c r="B13" s="70" t="s">
        <v>181</v>
      </c>
      <c r="C13" s="38" t="str">
        <f aca="false">IF((SUMPRODUCT((Settings!$B$14:$B$32&lt;&gt;"")*(Settings!$B$14:$B$32&lt;=Settings!$B$13:$B$31)))=0,"OK",(SUMPRODUCT((Settings!$B$14:$B$32&lt;&gt;"")*(Settings!$B$14:$B$32&lt;=Settings!$B$13:$B$31)))&amp;" to fix")</f>
        <v>OK</v>
      </c>
      <c r="D13" s="71" t="s">
        <v>146</v>
      </c>
    </row>
    <row r="14" customFormat="false" ht="15" hidden="false" customHeight="false" outlineLevel="0" collapsed="false">
      <c r="B14" s="70" t="s">
        <v>182</v>
      </c>
      <c r="C14" s="38" t="str">
        <f aca="false">IF((IF(COUNT('Cash Ledger'!$B$6:$B$1005)&gt;950,1,0))=0,"OK",(IF(COUNT('Cash Ledger'!$B$6:$B$1005)&gt;950,1,0))&amp;" to fix")</f>
        <v>OK</v>
      </c>
      <c r="D14" s="71" t="s">
        <v>183</v>
      </c>
    </row>
    <row r="15" customFormat="false" ht="15" hidden="false" customHeight="false" outlineLevel="0" collapsed="false">
      <c r="B15" s="70" t="s">
        <v>184</v>
      </c>
      <c r="C15" s="38" t="str">
        <f aca="false">IF((IF(COUNTA(Workers!$B$5:$B$16)&gt;=12,1,0))=0,"OK",(IF(COUNTA(Workers!$B$5:$B$16)&gt;=12,1,0))&amp;" to fix")</f>
        <v>OK</v>
      </c>
      <c r="D15" s="71" t="s">
        <v>185</v>
      </c>
    </row>
    <row r="17" customFormat="false" ht="15" hidden="false" customHeight="false" outlineLevel="0" collapsed="false">
      <c r="B17" s="5" t="s">
        <v>186</v>
      </c>
    </row>
    <row r="18" customFormat="false" ht="15" hidden="false" customHeight="false" outlineLevel="0" collapsed="false">
      <c r="B18" s="70" t="s">
        <v>187</v>
      </c>
      <c r="C18" s="72" t="n">
        <f aca="false">COUNTIF('Cash Ledger'!$M$6:$M$1005,"Warning*")</f>
        <v>0</v>
      </c>
      <c r="D18" s="71" t="s">
        <v>188</v>
      </c>
    </row>
    <row r="19" customFormat="false" ht="15" hidden="false" customHeight="false" outlineLevel="0" collapsed="false">
      <c r="B19" s="70" t="s">
        <v>189</v>
      </c>
      <c r="C19" s="72" t="n">
        <f aca="false">COUNTIF(Weeks!$M$6:$M$58,"?*")-COUNTIF(Weeks!$M$6:$M$58,"pot*")</f>
        <v>0</v>
      </c>
      <c r="D19" s="71" t="s">
        <v>178</v>
      </c>
    </row>
  </sheetData>
  <mergeCells count="1">
    <mergeCell ref="C4:D4"/>
  </mergeCells>
  <conditionalFormatting sqref="C7:C15">
    <cfRule type="expression" priority="2" aboveAverage="0" equalAverage="0" bottom="0" percent="0" rank="0" text="" dxfId="1">
      <formula>C7&lt;&gt;"OK"</formula>
    </cfRule>
    <cfRule type="expression" priority="3" aboveAverage="0" equalAverage="0" bottom="0" percent="0" rank="0" text="" dxfId="0">
      <formula>C7="OK"</formula>
    </cfRule>
  </conditionalFormatting>
  <conditionalFormatting sqref="C4">
    <cfRule type="expression" priority="4" aboveAverage="0" equalAverage="0" bottom="0" percent="0" rank="0" text="" dxfId="0">
      <formula>C4="ALL CHECKS OK"</formula>
    </cfRule>
    <cfRule type="expression" priority="5" aboveAverage="0" equalAverage="0" bottom="0" percent="0" rank="0" text="" dxfId="1">
      <formula>C4&lt;&gt;"ALL CHECKS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6" min="5" style="0" width="1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2" min="11" style="0" width="9"/>
    <col collapsed="false" customWidth="true" hidden="false" outlineLevel="0" max="13" min="13" style="0" width="30"/>
    <col collapsed="false" customWidth="true" hidden="false" outlineLevel="0" max="25" min="14" style="0" width="8"/>
    <col collapsed="false" customWidth="true" hidden="false" outlineLevel="0" max="37" min="26" style="0" width="11"/>
    <col collapsed="false" customWidth="true" hidden="false" outlineLevel="0" max="38" min="38" style="0" width="13"/>
    <col collapsed="false" customWidth="true" hidden="false" outlineLevel="0" max="39" min="39" style="0" width="11"/>
  </cols>
  <sheetData>
    <row r="1" customFormat="false" ht="24" hidden="false" customHeight="true" outlineLevel="0" collapsed="false">
      <c r="A1" s="1" t="s">
        <v>178</v>
      </c>
    </row>
    <row r="2" customFormat="false" ht="15" hidden="false" customHeight="false" outlineLevel="0" collapsed="false">
      <c r="A2" s="2" t="s">
        <v>190</v>
      </c>
    </row>
    <row r="3" customFormat="false" ht="15" hidden="false" customHeight="false" outlineLevel="0" collapsed="false">
      <c r="N3" s="5" t="s">
        <v>191</v>
      </c>
      <c r="Z3" s="5" t="s">
        <v>192</v>
      </c>
    </row>
    <row r="4" customFormat="false" ht="15" hidden="false" customHeight="false" outlineLevel="0" collapsed="false">
      <c r="N4" s="62" t="s">
        <v>129</v>
      </c>
      <c r="O4" s="62" t="s">
        <v>132</v>
      </c>
      <c r="P4" s="62" t="s">
        <v>134</v>
      </c>
      <c r="Q4" s="62" t="s">
        <v>136</v>
      </c>
      <c r="R4" s="62" t="s">
        <v>138</v>
      </c>
      <c r="S4" s="62" t="s">
        <v>139</v>
      </c>
      <c r="T4" s="62" t="s">
        <v>140</v>
      </c>
      <c r="U4" s="62" t="s">
        <v>141</v>
      </c>
      <c r="V4" s="62" t="s">
        <v>142</v>
      </c>
      <c r="W4" s="62" t="s">
        <v>143</v>
      </c>
      <c r="X4" s="62" t="s">
        <v>144</v>
      </c>
      <c r="Y4" s="62" t="s">
        <v>145</v>
      </c>
      <c r="Z4" s="62" t="s">
        <v>129</v>
      </c>
      <c r="AA4" s="62" t="s">
        <v>132</v>
      </c>
      <c r="AB4" s="62" t="s">
        <v>134</v>
      </c>
      <c r="AC4" s="62" t="s">
        <v>136</v>
      </c>
      <c r="AD4" s="62" t="s">
        <v>138</v>
      </c>
      <c r="AE4" s="62" t="s">
        <v>139</v>
      </c>
      <c r="AF4" s="62" t="s">
        <v>140</v>
      </c>
      <c r="AG4" s="62" t="s">
        <v>141</v>
      </c>
      <c r="AH4" s="62" t="s">
        <v>142</v>
      </c>
      <c r="AI4" s="62" t="s">
        <v>143</v>
      </c>
      <c r="AJ4" s="62" t="s">
        <v>144</v>
      </c>
      <c r="AK4" s="62" t="s">
        <v>145</v>
      </c>
    </row>
    <row r="5" customFormat="false" ht="42" hidden="false" customHeight="true" outlineLevel="0" collapsed="false">
      <c r="A5" s="9" t="s">
        <v>53</v>
      </c>
      <c r="B5" s="9" t="s">
        <v>193</v>
      </c>
      <c r="C5" s="9" t="s">
        <v>45</v>
      </c>
      <c r="D5" s="9" t="s">
        <v>46</v>
      </c>
      <c r="E5" s="9" t="s">
        <v>47</v>
      </c>
      <c r="F5" s="9" t="s">
        <v>48</v>
      </c>
      <c r="G5" s="9" t="s">
        <v>75</v>
      </c>
      <c r="H5" s="9" t="s">
        <v>50</v>
      </c>
      <c r="I5" s="9" t="s">
        <v>194</v>
      </c>
      <c r="J5" s="9" t="s">
        <v>195</v>
      </c>
      <c r="K5" s="9" t="s">
        <v>49</v>
      </c>
      <c r="L5" s="9" t="s">
        <v>196</v>
      </c>
      <c r="M5" s="9" t="s">
        <v>54</v>
      </c>
      <c r="N5" s="9" t="str">
        <f aca="false">IF(Workers!$B$5="",Workers!$A$5,Workers!$B$5)</f>
        <v>Worker 1</v>
      </c>
      <c r="O5" s="9" t="str">
        <f aca="false">IF(Workers!$B$6="",Workers!$A$6,Workers!$B$6)</f>
        <v>Worker 2</v>
      </c>
      <c r="P5" s="9" t="str">
        <f aca="false">IF(Workers!$B$7="",Workers!$A$7,Workers!$B$7)</f>
        <v>Worker 3</v>
      </c>
      <c r="Q5" s="9" t="str">
        <f aca="false">IF(Workers!$B$8="",Workers!$A$8,Workers!$B$8)</f>
        <v>Worker 4</v>
      </c>
      <c r="R5" s="9" t="str">
        <f aca="false">IF(Workers!$B$9="",Workers!$A$9,Workers!$B$9)</f>
        <v>W05</v>
      </c>
      <c r="S5" s="9" t="str">
        <f aca="false">IF(Workers!$B$10="",Workers!$A$10,Workers!$B$10)</f>
        <v>W06</v>
      </c>
      <c r="T5" s="9" t="str">
        <f aca="false">IF(Workers!$B$11="",Workers!$A$11,Workers!$B$11)</f>
        <v>W07</v>
      </c>
      <c r="U5" s="9" t="str">
        <f aca="false">IF(Workers!$B$12="",Workers!$A$12,Workers!$B$12)</f>
        <v>W08</v>
      </c>
      <c r="V5" s="9" t="str">
        <f aca="false">IF(Workers!$B$13="",Workers!$A$13,Workers!$B$13)</f>
        <v>W09</v>
      </c>
      <c r="W5" s="9" t="str">
        <f aca="false">IF(Workers!$B$14="",Workers!$A$14,Workers!$B$14)</f>
        <v>W10</v>
      </c>
      <c r="X5" s="9" t="str">
        <f aca="false">IF(Workers!$B$15="",Workers!$A$15,Workers!$B$15)</f>
        <v>W11</v>
      </c>
      <c r="Y5" s="9" t="str">
        <f aca="false">IF(Workers!$B$16="",Workers!$A$16,Workers!$B$16)</f>
        <v>W12</v>
      </c>
      <c r="Z5" s="9" t="str">
        <f aca="false">IF(Workers!$B$5="",Workers!$A$5,Workers!$B$5)</f>
        <v>Worker 1</v>
      </c>
      <c r="AA5" s="9" t="str">
        <f aca="false">IF(Workers!$B$6="",Workers!$A$6,Workers!$B$6)</f>
        <v>Worker 2</v>
      </c>
      <c r="AB5" s="9" t="str">
        <f aca="false">IF(Workers!$B$7="",Workers!$A$7,Workers!$B$7)</f>
        <v>Worker 3</v>
      </c>
      <c r="AC5" s="9" t="str">
        <f aca="false">IF(Workers!$B$8="",Workers!$A$8,Workers!$B$8)</f>
        <v>Worker 4</v>
      </c>
      <c r="AD5" s="9" t="str">
        <f aca="false">IF(Workers!$B$9="",Workers!$A$9,Workers!$B$9)</f>
        <v>W05</v>
      </c>
      <c r="AE5" s="9" t="str">
        <f aca="false">IF(Workers!$B$10="",Workers!$A$10,Workers!$B$10)</f>
        <v>W06</v>
      </c>
      <c r="AF5" s="9" t="str">
        <f aca="false">IF(Workers!$B$11="",Workers!$A$11,Workers!$B$11)</f>
        <v>W07</v>
      </c>
      <c r="AG5" s="9" t="str">
        <f aca="false">IF(Workers!$B$12="",Workers!$A$12,Workers!$B$12)</f>
        <v>W08</v>
      </c>
      <c r="AH5" s="9" t="str">
        <f aca="false">IF(Workers!$B$13="",Workers!$A$13,Workers!$B$13)</f>
        <v>W09</v>
      </c>
      <c r="AI5" s="9" t="str">
        <f aca="false">IF(Workers!$B$14="",Workers!$A$14,Workers!$B$14)</f>
        <v>W10</v>
      </c>
      <c r="AJ5" s="9" t="str">
        <f aca="false">IF(Workers!$B$15="",Workers!$A$15,Workers!$B$15)</f>
        <v>W11</v>
      </c>
      <c r="AK5" s="9" t="str">
        <f aca="false">IF(Workers!$B$16="",Workers!$A$16,Workers!$B$16)</f>
        <v>W12</v>
      </c>
      <c r="AL5" s="9" t="s">
        <v>197</v>
      </c>
      <c r="AM5" s="9" t="s">
        <v>198</v>
      </c>
    </row>
    <row r="6" customFormat="false" ht="15" hidden="false" customHeight="false" outlineLevel="0" collapsed="false">
      <c r="A6" s="73" t="n">
        <v>46286</v>
      </c>
      <c r="B6" s="74" t="n">
        <f aca="false">$A6+6</f>
        <v>46292</v>
      </c>
      <c r="C6" s="75" t="n">
        <f aca="false">SUMIFS('Daily Log'!$C$6:$C$376,'Daily Log'!$W$6:$W$376,$A6)</f>
        <v>0</v>
      </c>
      <c r="D6" s="75" t="n">
        <f aca="false">SUMIFS('Daily Log'!$D$6:$D$376,'Daily Log'!$W$6:$W$376,$A6)</f>
        <v>0</v>
      </c>
      <c r="E6" s="75" t="n">
        <f aca="false">SUMIFS('Daily Log'!$E$6:$E$376,'Daily Log'!$W$6:$W$376,$A6)</f>
        <v>0</v>
      </c>
      <c r="F6" s="75" t="n">
        <f aca="false">SUMIFS('Daily Log'!$F$6:$F$376,'Daily Log'!$W$6:$W$376,$A6)</f>
        <v>0</v>
      </c>
      <c r="G6" s="17" t="n">
        <f aca="false">SUMIFS('Daily Log'!$V$6:$V$376,'Daily Log'!$W$6:$W$376,$A6)</f>
        <v>0</v>
      </c>
      <c r="H6" s="75" t="n">
        <f aca="false">SUMIFS('Daily Log'!$T$6:$T$376,'Daily Log'!$W$6:$W$376,$A6)</f>
        <v>0</v>
      </c>
      <c r="I6" s="43" t="str">
        <f aca="false">IF($C6=0,"",$D6/$C6)</f>
        <v/>
      </c>
      <c r="J6" s="13" t="str">
        <f aca="false">IF($H6=0,"",$E6/$H6)</f>
        <v/>
      </c>
      <c r="K6" s="75" t="n">
        <f aca="false">SUMIFS('Daily Log'!$G$6:$G$376,'Daily Log'!$W$6:$W$376,$A6)</f>
        <v>0</v>
      </c>
      <c r="L6" s="76" t="str">
        <f aca="false">IF(OR($E6=0,$K6=0),"",$K6/$E6*1000)</f>
        <v/>
      </c>
      <c r="M6" s="19" t="str">
        <f aca="false">IF(AND($G6&gt;0,$H6=0),"pot not shared - no attendance marked",IF(AND($I6&lt;&gt;"",N($I6)&gt;RejectAlarm),"reject rate high",IF(AND($L6&lt;&gt;"",N(CementNorm)&gt;0),IF(ABS($L6/CementNorm-1)&gt;0.3,"cement use off by &gt;30% - check counts",""),"")))</f>
        <v/>
      </c>
      <c r="N6" s="15" t="n">
        <f aca="false">SUMIFS('Daily Log'!$H$6:$H$376,'Daily Log'!$W$6:$W$376,$A6)</f>
        <v>0</v>
      </c>
      <c r="O6" s="15" t="n">
        <f aca="false">SUMIFS('Daily Log'!$I$6:$I$376,'Daily Log'!$W$6:$W$376,$A6)</f>
        <v>0</v>
      </c>
      <c r="P6" s="15" t="n">
        <f aca="false">SUMIFS('Daily Log'!$J$6:$J$376,'Daily Log'!$W$6:$W$376,$A6)</f>
        <v>0</v>
      </c>
      <c r="Q6" s="15" t="n">
        <f aca="false">SUMIFS('Daily Log'!$K$6:$K$376,'Daily Log'!$W$6:$W$376,$A6)</f>
        <v>0</v>
      </c>
      <c r="R6" s="15" t="n">
        <f aca="false">SUMIFS('Daily Log'!$L$6:$L$376,'Daily Log'!$W$6:$W$376,$A6)</f>
        <v>0</v>
      </c>
      <c r="S6" s="15" t="n">
        <f aca="false">SUMIFS('Daily Log'!$M$6:$M$376,'Daily Log'!$W$6:$W$376,$A6)</f>
        <v>0</v>
      </c>
      <c r="T6" s="15" t="n">
        <f aca="false">SUMIFS('Daily Log'!$N$6:$N$376,'Daily Log'!$W$6:$W$376,$A6)</f>
        <v>0</v>
      </c>
      <c r="U6" s="15" t="n">
        <f aca="false">SUMIFS('Daily Log'!$O$6:$O$376,'Daily Log'!$W$6:$W$376,$A6)</f>
        <v>0</v>
      </c>
      <c r="V6" s="15" t="n">
        <f aca="false">SUMIFS('Daily Log'!$P$6:$P$376,'Daily Log'!$W$6:$W$376,$A6)</f>
        <v>0</v>
      </c>
      <c r="W6" s="15" t="n">
        <f aca="false">SUMIFS('Daily Log'!$Q$6:$Q$376,'Daily Log'!$W$6:$W$376,$A6)</f>
        <v>0</v>
      </c>
      <c r="X6" s="15" t="n">
        <f aca="false">SUMIFS('Daily Log'!$R$6:$R$376,'Daily Log'!$W$6:$W$376,$A6)</f>
        <v>0</v>
      </c>
      <c r="Y6" s="15" t="n">
        <f aca="false">SUMIFS('Daily Log'!$S$6:$S$376,'Daily Log'!$W$6:$W$376,$A6)</f>
        <v>0</v>
      </c>
      <c r="Z6" s="17" t="n">
        <f aca="false">IF($H6=0,0,ROUND($G6*N6/$H6,0))</f>
        <v>0</v>
      </c>
      <c r="AA6" s="17" t="n">
        <f aca="false">IF($H6=0,0,ROUND($G6*O6/$H6,0))</f>
        <v>0</v>
      </c>
      <c r="AB6" s="17" t="n">
        <f aca="false">IF($H6=0,0,ROUND($G6*P6/$H6,0))</f>
        <v>0</v>
      </c>
      <c r="AC6" s="17" t="n">
        <f aca="false">IF($H6=0,0,ROUND($G6*Q6/$H6,0))</f>
        <v>0</v>
      </c>
      <c r="AD6" s="17" t="n">
        <f aca="false">IF($H6=0,0,ROUND($G6*R6/$H6,0))</f>
        <v>0</v>
      </c>
      <c r="AE6" s="17" t="n">
        <f aca="false">IF($H6=0,0,ROUND($G6*S6/$H6,0))</f>
        <v>0</v>
      </c>
      <c r="AF6" s="17" t="n">
        <f aca="false">IF($H6=0,0,ROUND($G6*T6/$H6,0))</f>
        <v>0</v>
      </c>
      <c r="AG6" s="17" t="n">
        <f aca="false">IF($H6=0,0,ROUND($G6*U6/$H6,0))</f>
        <v>0</v>
      </c>
      <c r="AH6" s="17" t="n">
        <f aca="false">IF($H6=0,0,ROUND($G6*V6/$H6,0))</f>
        <v>0</v>
      </c>
      <c r="AI6" s="17" t="n">
        <f aca="false">IF($H6=0,0,ROUND($G6*W6/$H6,0))</f>
        <v>0</v>
      </c>
      <c r="AJ6" s="17" t="n">
        <f aca="false">IF($H6=0,0,ROUND($G6*X6/$H6,0))</f>
        <v>0</v>
      </c>
      <c r="AK6" s="17" t="n">
        <f aca="false">IF($H6=0,0,ROUND($G6*Y6/$H6,0))</f>
        <v>0</v>
      </c>
      <c r="AL6" s="17" t="n">
        <f aca="false">SUM(Z6:AK6)</f>
        <v>0</v>
      </c>
      <c r="AM6" s="29" t="n">
        <f aca="false">$AL6-$G6</f>
        <v>0</v>
      </c>
    </row>
    <row r="7" customFormat="false" ht="15" hidden="false" customHeight="false" outlineLevel="0" collapsed="false">
      <c r="A7" s="73" t="n">
        <v>46293</v>
      </c>
      <c r="B7" s="74" t="n">
        <f aca="false">$A7+6</f>
        <v>46299</v>
      </c>
      <c r="C7" s="75" t="n">
        <f aca="false">SUMIFS('Daily Log'!$C$6:$C$376,'Daily Log'!$W$6:$W$376,$A7)</f>
        <v>0</v>
      </c>
      <c r="D7" s="75" t="n">
        <f aca="false">SUMIFS('Daily Log'!$D$6:$D$376,'Daily Log'!$W$6:$W$376,$A7)</f>
        <v>0</v>
      </c>
      <c r="E7" s="75" t="n">
        <f aca="false">SUMIFS('Daily Log'!$E$6:$E$376,'Daily Log'!$W$6:$W$376,$A7)</f>
        <v>0</v>
      </c>
      <c r="F7" s="75" t="n">
        <f aca="false">SUMIFS('Daily Log'!$F$6:$F$376,'Daily Log'!$W$6:$W$376,$A7)</f>
        <v>0</v>
      </c>
      <c r="G7" s="17" t="n">
        <f aca="false">SUMIFS('Daily Log'!$V$6:$V$376,'Daily Log'!$W$6:$W$376,$A7)</f>
        <v>0</v>
      </c>
      <c r="H7" s="75" t="n">
        <f aca="false">SUMIFS('Daily Log'!$T$6:$T$376,'Daily Log'!$W$6:$W$376,$A7)</f>
        <v>0</v>
      </c>
      <c r="I7" s="43" t="str">
        <f aca="false">IF($C7=0,"",$D7/$C7)</f>
        <v/>
      </c>
      <c r="J7" s="13" t="str">
        <f aca="false">IF($H7=0,"",$E7/$H7)</f>
        <v/>
      </c>
      <c r="K7" s="75" t="n">
        <f aca="false">SUMIFS('Daily Log'!$G$6:$G$376,'Daily Log'!$W$6:$W$376,$A7)</f>
        <v>0</v>
      </c>
      <c r="L7" s="76" t="str">
        <f aca="false">IF(OR($E7=0,$K7=0),"",$K7/$E7*1000)</f>
        <v/>
      </c>
      <c r="M7" s="19" t="str">
        <f aca="false">IF(AND($G7&gt;0,$H7=0),"pot not shared - no attendance marked",IF(AND($I7&lt;&gt;"",N($I7)&gt;RejectAlarm),"reject rate high",IF(AND($L7&lt;&gt;"",N(CementNorm)&gt;0),IF(ABS($L7/CementNorm-1)&gt;0.3,"cement use off by &gt;30% - check counts",""),"")))</f>
        <v/>
      </c>
      <c r="N7" s="15" t="n">
        <f aca="false">SUMIFS('Daily Log'!$H$6:$H$376,'Daily Log'!$W$6:$W$376,$A7)</f>
        <v>0</v>
      </c>
      <c r="O7" s="15" t="n">
        <f aca="false">SUMIFS('Daily Log'!$I$6:$I$376,'Daily Log'!$W$6:$W$376,$A7)</f>
        <v>0</v>
      </c>
      <c r="P7" s="15" t="n">
        <f aca="false">SUMIFS('Daily Log'!$J$6:$J$376,'Daily Log'!$W$6:$W$376,$A7)</f>
        <v>0</v>
      </c>
      <c r="Q7" s="15" t="n">
        <f aca="false">SUMIFS('Daily Log'!$K$6:$K$376,'Daily Log'!$W$6:$W$376,$A7)</f>
        <v>0</v>
      </c>
      <c r="R7" s="15" t="n">
        <f aca="false">SUMIFS('Daily Log'!$L$6:$L$376,'Daily Log'!$W$6:$W$376,$A7)</f>
        <v>0</v>
      </c>
      <c r="S7" s="15" t="n">
        <f aca="false">SUMIFS('Daily Log'!$M$6:$M$376,'Daily Log'!$W$6:$W$376,$A7)</f>
        <v>0</v>
      </c>
      <c r="T7" s="15" t="n">
        <f aca="false">SUMIFS('Daily Log'!$N$6:$N$376,'Daily Log'!$W$6:$W$376,$A7)</f>
        <v>0</v>
      </c>
      <c r="U7" s="15" t="n">
        <f aca="false">SUMIFS('Daily Log'!$O$6:$O$376,'Daily Log'!$W$6:$W$376,$A7)</f>
        <v>0</v>
      </c>
      <c r="V7" s="15" t="n">
        <f aca="false">SUMIFS('Daily Log'!$P$6:$P$376,'Daily Log'!$W$6:$W$376,$A7)</f>
        <v>0</v>
      </c>
      <c r="W7" s="15" t="n">
        <f aca="false">SUMIFS('Daily Log'!$Q$6:$Q$376,'Daily Log'!$W$6:$W$376,$A7)</f>
        <v>0</v>
      </c>
      <c r="X7" s="15" t="n">
        <f aca="false">SUMIFS('Daily Log'!$R$6:$R$376,'Daily Log'!$W$6:$W$376,$A7)</f>
        <v>0</v>
      </c>
      <c r="Y7" s="15" t="n">
        <f aca="false">SUMIFS('Daily Log'!$S$6:$S$376,'Daily Log'!$W$6:$W$376,$A7)</f>
        <v>0</v>
      </c>
      <c r="Z7" s="17" t="n">
        <f aca="false">IF($H7=0,0,ROUND($G7*N7/$H7,0))</f>
        <v>0</v>
      </c>
      <c r="AA7" s="17" t="n">
        <f aca="false">IF($H7=0,0,ROUND($G7*O7/$H7,0))</f>
        <v>0</v>
      </c>
      <c r="AB7" s="17" t="n">
        <f aca="false">IF($H7=0,0,ROUND($G7*P7/$H7,0))</f>
        <v>0</v>
      </c>
      <c r="AC7" s="17" t="n">
        <f aca="false">IF($H7=0,0,ROUND($G7*Q7/$H7,0))</f>
        <v>0</v>
      </c>
      <c r="AD7" s="17" t="n">
        <f aca="false">IF($H7=0,0,ROUND($G7*R7/$H7,0))</f>
        <v>0</v>
      </c>
      <c r="AE7" s="17" t="n">
        <f aca="false">IF($H7=0,0,ROUND($G7*S7/$H7,0))</f>
        <v>0</v>
      </c>
      <c r="AF7" s="17" t="n">
        <f aca="false">IF($H7=0,0,ROUND($G7*T7/$H7,0))</f>
        <v>0</v>
      </c>
      <c r="AG7" s="17" t="n">
        <f aca="false">IF($H7=0,0,ROUND($G7*U7/$H7,0))</f>
        <v>0</v>
      </c>
      <c r="AH7" s="17" t="n">
        <f aca="false">IF($H7=0,0,ROUND($G7*V7/$H7,0))</f>
        <v>0</v>
      </c>
      <c r="AI7" s="17" t="n">
        <f aca="false">IF($H7=0,0,ROUND($G7*W7/$H7,0))</f>
        <v>0</v>
      </c>
      <c r="AJ7" s="17" t="n">
        <f aca="false">IF($H7=0,0,ROUND($G7*X7/$H7,0))</f>
        <v>0</v>
      </c>
      <c r="AK7" s="17" t="n">
        <f aca="false">IF($H7=0,0,ROUND($G7*Y7/$H7,0))</f>
        <v>0</v>
      </c>
      <c r="AL7" s="17" t="n">
        <f aca="false">SUM(Z7:AK7)</f>
        <v>0</v>
      </c>
      <c r="AM7" s="29" t="n">
        <f aca="false">$AL7-$G7</f>
        <v>0</v>
      </c>
    </row>
    <row r="8" customFormat="false" ht="15" hidden="false" customHeight="false" outlineLevel="0" collapsed="false">
      <c r="A8" s="73" t="n">
        <v>46300</v>
      </c>
      <c r="B8" s="74" t="n">
        <f aca="false">$A8+6</f>
        <v>46306</v>
      </c>
      <c r="C8" s="75" t="n">
        <f aca="false">SUMIFS('Daily Log'!$C$6:$C$376,'Daily Log'!$W$6:$W$376,$A8)</f>
        <v>0</v>
      </c>
      <c r="D8" s="75" t="n">
        <f aca="false">SUMIFS('Daily Log'!$D$6:$D$376,'Daily Log'!$W$6:$W$376,$A8)</f>
        <v>0</v>
      </c>
      <c r="E8" s="75" t="n">
        <f aca="false">SUMIFS('Daily Log'!$E$6:$E$376,'Daily Log'!$W$6:$W$376,$A8)</f>
        <v>0</v>
      </c>
      <c r="F8" s="75" t="n">
        <f aca="false">SUMIFS('Daily Log'!$F$6:$F$376,'Daily Log'!$W$6:$W$376,$A8)</f>
        <v>0</v>
      </c>
      <c r="G8" s="17" t="n">
        <f aca="false">SUMIFS('Daily Log'!$V$6:$V$376,'Daily Log'!$W$6:$W$376,$A8)</f>
        <v>0</v>
      </c>
      <c r="H8" s="75" t="n">
        <f aca="false">SUMIFS('Daily Log'!$T$6:$T$376,'Daily Log'!$W$6:$W$376,$A8)</f>
        <v>0</v>
      </c>
      <c r="I8" s="43" t="str">
        <f aca="false">IF($C8=0,"",$D8/$C8)</f>
        <v/>
      </c>
      <c r="J8" s="13" t="str">
        <f aca="false">IF($H8=0,"",$E8/$H8)</f>
        <v/>
      </c>
      <c r="K8" s="75" t="n">
        <f aca="false">SUMIFS('Daily Log'!$G$6:$G$376,'Daily Log'!$W$6:$W$376,$A8)</f>
        <v>0</v>
      </c>
      <c r="L8" s="76" t="str">
        <f aca="false">IF(OR($E8=0,$K8=0),"",$K8/$E8*1000)</f>
        <v/>
      </c>
      <c r="M8" s="19" t="str">
        <f aca="false">IF(AND($G8&gt;0,$H8=0),"pot not shared - no attendance marked",IF(AND($I8&lt;&gt;"",N($I8)&gt;RejectAlarm),"reject rate high",IF(AND($L8&lt;&gt;"",N(CementNorm)&gt;0),IF(ABS($L8/CementNorm-1)&gt;0.3,"cement use off by &gt;30% - check counts",""),"")))</f>
        <v/>
      </c>
      <c r="N8" s="15" t="n">
        <f aca="false">SUMIFS('Daily Log'!$H$6:$H$376,'Daily Log'!$W$6:$W$376,$A8)</f>
        <v>0</v>
      </c>
      <c r="O8" s="15" t="n">
        <f aca="false">SUMIFS('Daily Log'!$I$6:$I$376,'Daily Log'!$W$6:$W$376,$A8)</f>
        <v>0</v>
      </c>
      <c r="P8" s="15" t="n">
        <f aca="false">SUMIFS('Daily Log'!$J$6:$J$376,'Daily Log'!$W$6:$W$376,$A8)</f>
        <v>0</v>
      </c>
      <c r="Q8" s="15" t="n">
        <f aca="false">SUMIFS('Daily Log'!$K$6:$K$376,'Daily Log'!$W$6:$W$376,$A8)</f>
        <v>0</v>
      </c>
      <c r="R8" s="15" t="n">
        <f aca="false">SUMIFS('Daily Log'!$L$6:$L$376,'Daily Log'!$W$6:$W$376,$A8)</f>
        <v>0</v>
      </c>
      <c r="S8" s="15" t="n">
        <f aca="false">SUMIFS('Daily Log'!$M$6:$M$376,'Daily Log'!$W$6:$W$376,$A8)</f>
        <v>0</v>
      </c>
      <c r="T8" s="15" t="n">
        <f aca="false">SUMIFS('Daily Log'!$N$6:$N$376,'Daily Log'!$W$6:$W$376,$A8)</f>
        <v>0</v>
      </c>
      <c r="U8" s="15" t="n">
        <f aca="false">SUMIFS('Daily Log'!$O$6:$O$376,'Daily Log'!$W$6:$W$376,$A8)</f>
        <v>0</v>
      </c>
      <c r="V8" s="15" t="n">
        <f aca="false">SUMIFS('Daily Log'!$P$6:$P$376,'Daily Log'!$W$6:$W$376,$A8)</f>
        <v>0</v>
      </c>
      <c r="W8" s="15" t="n">
        <f aca="false">SUMIFS('Daily Log'!$Q$6:$Q$376,'Daily Log'!$W$6:$W$376,$A8)</f>
        <v>0</v>
      </c>
      <c r="X8" s="15" t="n">
        <f aca="false">SUMIFS('Daily Log'!$R$6:$R$376,'Daily Log'!$W$6:$W$376,$A8)</f>
        <v>0</v>
      </c>
      <c r="Y8" s="15" t="n">
        <f aca="false">SUMIFS('Daily Log'!$S$6:$S$376,'Daily Log'!$W$6:$W$376,$A8)</f>
        <v>0</v>
      </c>
      <c r="Z8" s="17" t="n">
        <f aca="false">IF($H8=0,0,ROUND($G8*N8/$H8,0))</f>
        <v>0</v>
      </c>
      <c r="AA8" s="17" t="n">
        <f aca="false">IF($H8=0,0,ROUND($G8*O8/$H8,0))</f>
        <v>0</v>
      </c>
      <c r="AB8" s="17" t="n">
        <f aca="false">IF($H8=0,0,ROUND($G8*P8/$H8,0))</f>
        <v>0</v>
      </c>
      <c r="AC8" s="17" t="n">
        <f aca="false">IF($H8=0,0,ROUND($G8*Q8/$H8,0))</f>
        <v>0</v>
      </c>
      <c r="AD8" s="17" t="n">
        <f aca="false">IF($H8=0,0,ROUND($G8*R8/$H8,0))</f>
        <v>0</v>
      </c>
      <c r="AE8" s="17" t="n">
        <f aca="false">IF($H8=0,0,ROUND($G8*S8/$H8,0))</f>
        <v>0</v>
      </c>
      <c r="AF8" s="17" t="n">
        <f aca="false">IF($H8=0,0,ROUND($G8*T8/$H8,0))</f>
        <v>0</v>
      </c>
      <c r="AG8" s="17" t="n">
        <f aca="false">IF($H8=0,0,ROUND($G8*U8/$H8,0))</f>
        <v>0</v>
      </c>
      <c r="AH8" s="17" t="n">
        <f aca="false">IF($H8=0,0,ROUND($G8*V8/$H8,0))</f>
        <v>0</v>
      </c>
      <c r="AI8" s="17" t="n">
        <f aca="false">IF($H8=0,0,ROUND($G8*W8/$H8,0))</f>
        <v>0</v>
      </c>
      <c r="AJ8" s="17" t="n">
        <f aca="false">IF($H8=0,0,ROUND($G8*X8/$H8,0))</f>
        <v>0</v>
      </c>
      <c r="AK8" s="17" t="n">
        <f aca="false">IF($H8=0,0,ROUND($G8*Y8/$H8,0))</f>
        <v>0</v>
      </c>
      <c r="AL8" s="17" t="n">
        <f aca="false">SUM(Z8:AK8)</f>
        <v>0</v>
      </c>
      <c r="AM8" s="29" t="n">
        <f aca="false">$AL8-$G8</f>
        <v>0</v>
      </c>
    </row>
    <row r="9" customFormat="false" ht="15" hidden="false" customHeight="false" outlineLevel="0" collapsed="false">
      <c r="A9" s="73" t="n">
        <v>46307</v>
      </c>
      <c r="B9" s="74" t="n">
        <f aca="false">$A9+6</f>
        <v>46313</v>
      </c>
      <c r="C9" s="75" t="n">
        <f aca="false">SUMIFS('Daily Log'!$C$6:$C$376,'Daily Log'!$W$6:$W$376,$A9)</f>
        <v>0</v>
      </c>
      <c r="D9" s="75" t="n">
        <f aca="false">SUMIFS('Daily Log'!$D$6:$D$376,'Daily Log'!$W$6:$W$376,$A9)</f>
        <v>0</v>
      </c>
      <c r="E9" s="75" t="n">
        <f aca="false">SUMIFS('Daily Log'!$E$6:$E$376,'Daily Log'!$W$6:$W$376,$A9)</f>
        <v>0</v>
      </c>
      <c r="F9" s="75" t="n">
        <f aca="false">SUMIFS('Daily Log'!$F$6:$F$376,'Daily Log'!$W$6:$W$376,$A9)</f>
        <v>0</v>
      </c>
      <c r="G9" s="17" t="n">
        <f aca="false">SUMIFS('Daily Log'!$V$6:$V$376,'Daily Log'!$W$6:$W$376,$A9)</f>
        <v>0</v>
      </c>
      <c r="H9" s="75" t="n">
        <f aca="false">SUMIFS('Daily Log'!$T$6:$T$376,'Daily Log'!$W$6:$W$376,$A9)</f>
        <v>0</v>
      </c>
      <c r="I9" s="43" t="str">
        <f aca="false">IF($C9=0,"",$D9/$C9)</f>
        <v/>
      </c>
      <c r="J9" s="13" t="str">
        <f aca="false">IF($H9=0,"",$E9/$H9)</f>
        <v/>
      </c>
      <c r="K9" s="75" t="n">
        <f aca="false">SUMIFS('Daily Log'!$G$6:$G$376,'Daily Log'!$W$6:$W$376,$A9)</f>
        <v>0</v>
      </c>
      <c r="L9" s="76" t="str">
        <f aca="false">IF(OR($E9=0,$K9=0),"",$K9/$E9*1000)</f>
        <v/>
      </c>
      <c r="M9" s="19" t="str">
        <f aca="false">IF(AND($G9&gt;0,$H9=0),"pot not shared - no attendance marked",IF(AND($I9&lt;&gt;"",N($I9)&gt;RejectAlarm),"reject rate high",IF(AND($L9&lt;&gt;"",N(CementNorm)&gt;0),IF(ABS($L9/CementNorm-1)&gt;0.3,"cement use off by &gt;30% - check counts",""),"")))</f>
        <v/>
      </c>
      <c r="N9" s="15" t="n">
        <f aca="false">SUMIFS('Daily Log'!$H$6:$H$376,'Daily Log'!$W$6:$W$376,$A9)</f>
        <v>0</v>
      </c>
      <c r="O9" s="15" t="n">
        <f aca="false">SUMIFS('Daily Log'!$I$6:$I$376,'Daily Log'!$W$6:$W$376,$A9)</f>
        <v>0</v>
      </c>
      <c r="P9" s="15" t="n">
        <f aca="false">SUMIFS('Daily Log'!$J$6:$J$376,'Daily Log'!$W$6:$W$376,$A9)</f>
        <v>0</v>
      </c>
      <c r="Q9" s="15" t="n">
        <f aca="false">SUMIFS('Daily Log'!$K$6:$K$376,'Daily Log'!$W$6:$W$376,$A9)</f>
        <v>0</v>
      </c>
      <c r="R9" s="15" t="n">
        <f aca="false">SUMIFS('Daily Log'!$L$6:$L$376,'Daily Log'!$W$6:$W$376,$A9)</f>
        <v>0</v>
      </c>
      <c r="S9" s="15" t="n">
        <f aca="false">SUMIFS('Daily Log'!$M$6:$M$376,'Daily Log'!$W$6:$W$376,$A9)</f>
        <v>0</v>
      </c>
      <c r="T9" s="15" t="n">
        <f aca="false">SUMIFS('Daily Log'!$N$6:$N$376,'Daily Log'!$W$6:$W$376,$A9)</f>
        <v>0</v>
      </c>
      <c r="U9" s="15" t="n">
        <f aca="false">SUMIFS('Daily Log'!$O$6:$O$376,'Daily Log'!$W$6:$W$376,$A9)</f>
        <v>0</v>
      </c>
      <c r="V9" s="15" t="n">
        <f aca="false">SUMIFS('Daily Log'!$P$6:$P$376,'Daily Log'!$W$6:$W$376,$A9)</f>
        <v>0</v>
      </c>
      <c r="W9" s="15" t="n">
        <f aca="false">SUMIFS('Daily Log'!$Q$6:$Q$376,'Daily Log'!$W$6:$W$376,$A9)</f>
        <v>0</v>
      </c>
      <c r="X9" s="15" t="n">
        <f aca="false">SUMIFS('Daily Log'!$R$6:$R$376,'Daily Log'!$W$6:$W$376,$A9)</f>
        <v>0</v>
      </c>
      <c r="Y9" s="15" t="n">
        <f aca="false">SUMIFS('Daily Log'!$S$6:$S$376,'Daily Log'!$W$6:$W$376,$A9)</f>
        <v>0</v>
      </c>
      <c r="Z9" s="17" t="n">
        <f aca="false">IF($H9=0,0,ROUND($G9*N9/$H9,0))</f>
        <v>0</v>
      </c>
      <c r="AA9" s="17" t="n">
        <f aca="false">IF($H9=0,0,ROUND($G9*O9/$H9,0))</f>
        <v>0</v>
      </c>
      <c r="AB9" s="17" t="n">
        <f aca="false">IF($H9=0,0,ROUND($G9*P9/$H9,0))</f>
        <v>0</v>
      </c>
      <c r="AC9" s="17" t="n">
        <f aca="false">IF($H9=0,0,ROUND($G9*Q9/$H9,0))</f>
        <v>0</v>
      </c>
      <c r="AD9" s="17" t="n">
        <f aca="false">IF($H9=0,0,ROUND($G9*R9/$H9,0))</f>
        <v>0</v>
      </c>
      <c r="AE9" s="17" t="n">
        <f aca="false">IF($H9=0,0,ROUND($G9*S9/$H9,0))</f>
        <v>0</v>
      </c>
      <c r="AF9" s="17" t="n">
        <f aca="false">IF($H9=0,0,ROUND($G9*T9/$H9,0))</f>
        <v>0</v>
      </c>
      <c r="AG9" s="17" t="n">
        <f aca="false">IF($H9=0,0,ROUND($G9*U9/$H9,0))</f>
        <v>0</v>
      </c>
      <c r="AH9" s="17" t="n">
        <f aca="false">IF($H9=0,0,ROUND($G9*V9/$H9,0))</f>
        <v>0</v>
      </c>
      <c r="AI9" s="17" t="n">
        <f aca="false">IF($H9=0,0,ROUND($G9*W9/$H9,0))</f>
        <v>0</v>
      </c>
      <c r="AJ9" s="17" t="n">
        <f aca="false">IF($H9=0,0,ROUND($G9*X9/$H9,0))</f>
        <v>0</v>
      </c>
      <c r="AK9" s="17" t="n">
        <f aca="false">IF($H9=0,0,ROUND($G9*Y9/$H9,0))</f>
        <v>0</v>
      </c>
      <c r="AL9" s="17" t="n">
        <f aca="false">SUM(Z9:AK9)</f>
        <v>0</v>
      </c>
      <c r="AM9" s="29" t="n">
        <f aca="false">$AL9-$G9</f>
        <v>0</v>
      </c>
    </row>
    <row r="10" customFormat="false" ht="15" hidden="false" customHeight="false" outlineLevel="0" collapsed="false">
      <c r="A10" s="73" t="n">
        <v>46314</v>
      </c>
      <c r="B10" s="74" t="n">
        <f aca="false">$A10+6</f>
        <v>46320</v>
      </c>
      <c r="C10" s="75" t="n">
        <f aca="false">SUMIFS('Daily Log'!$C$6:$C$376,'Daily Log'!$W$6:$W$376,$A10)</f>
        <v>0</v>
      </c>
      <c r="D10" s="75" t="n">
        <f aca="false">SUMIFS('Daily Log'!$D$6:$D$376,'Daily Log'!$W$6:$W$376,$A10)</f>
        <v>0</v>
      </c>
      <c r="E10" s="75" t="n">
        <f aca="false">SUMIFS('Daily Log'!$E$6:$E$376,'Daily Log'!$W$6:$W$376,$A10)</f>
        <v>0</v>
      </c>
      <c r="F10" s="75" t="n">
        <f aca="false">SUMIFS('Daily Log'!$F$6:$F$376,'Daily Log'!$W$6:$W$376,$A10)</f>
        <v>0</v>
      </c>
      <c r="G10" s="17" t="n">
        <f aca="false">SUMIFS('Daily Log'!$V$6:$V$376,'Daily Log'!$W$6:$W$376,$A10)</f>
        <v>0</v>
      </c>
      <c r="H10" s="75" t="n">
        <f aca="false">SUMIFS('Daily Log'!$T$6:$T$376,'Daily Log'!$W$6:$W$376,$A10)</f>
        <v>0</v>
      </c>
      <c r="I10" s="43" t="str">
        <f aca="false">IF($C10=0,"",$D10/$C10)</f>
        <v/>
      </c>
      <c r="J10" s="13" t="str">
        <f aca="false">IF($H10=0,"",$E10/$H10)</f>
        <v/>
      </c>
      <c r="K10" s="75" t="n">
        <f aca="false">SUMIFS('Daily Log'!$G$6:$G$376,'Daily Log'!$W$6:$W$376,$A10)</f>
        <v>0</v>
      </c>
      <c r="L10" s="76" t="str">
        <f aca="false">IF(OR($E10=0,$K10=0),"",$K10/$E10*1000)</f>
        <v/>
      </c>
      <c r="M10" s="19" t="str">
        <f aca="false">IF(AND($G10&gt;0,$H10=0),"pot not shared - no attendance marked",IF(AND($I10&lt;&gt;"",N($I10)&gt;RejectAlarm),"reject rate high",IF(AND($L10&lt;&gt;"",N(CementNorm)&gt;0),IF(ABS($L10/CementNorm-1)&gt;0.3,"cement use off by &gt;30% - check counts",""),"")))</f>
        <v/>
      </c>
      <c r="N10" s="15" t="n">
        <f aca="false">SUMIFS('Daily Log'!$H$6:$H$376,'Daily Log'!$W$6:$W$376,$A10)</f>
        <v>0</v>
      </c>
      <c r="O10" s="15" t="n">
        <f aca="false">SUMIFS('Daily Log'!$I$6:$I$376,'Daily Log'!$W$6:$W$376,$A10)</f>
        <v>0</v>
      </c>
      <c r="P10" s="15" t="n">
        <f aca="false">SUMIFS('Daily Log'!$J$6:$J$376,'Daily Log'!$W$6:$W$376,$A10)</f>
        <v>0</v>
      </c>
      <c r="Q10" s="15" t="n">
        <f aca="false">SUMIFS('Daily Log'!$K$6:$K$376,'Daily Log'!$W$6:$W$376,$A10)</f>
        <v>0</v>
      </c>
      <c r="R10" s="15" t="n">
        <f aca="false">SUMIFS('Daily Log'!$L$6:$L$376,'Daily Log'!$W$6:$W$376,$A10)</f>
        <v>0</v>
      </c>
      <c r="S10" s="15" t="n">
        <f aca="false">SUMIFS('Daily Log'!$M$6:$M$376,'Daily Log'!$W$6:$W$376,$A10)</f>
        <v>0</v>
      </c>
      <c r="T10" s="15" t="n">
        <f aca="false">SUMIFS('Daily Log'!$N$6:$N$376,'Daily Log'!$W$6:$W$376,$A10)</f>
        <v>0</v>
      </c>
      <c r="U10" s="15" t="n">
        <f aca="false">SUMIFS('Daily Log'!$O$6:$O$376,'Daily Log'!$W$6:$W$376,$A10)</f>
        <v>0</v>
      </c>
      <c r="V10" s="15" t="n">
        <f aca="false">SUMIFS('Daily Log'!$P$6:$P$376,'Daily Log'!$W$6:$W$376,$A10)</f>
        <v>0</v>
      </c>
      <c r="W10" s="15" t="n">
        <f aca="false">SUMIFS('Daily Log'!$Q$6:$Q$376,'Daily Log'!$W$6:$W$376,$A10)</f>
        <v>0</v>
      </c>
      <c r="X10" s="15" t="n">
        <f aca="false">SUMIFS('Daily Log'!$R$6:$R$376,'Daily Log'!$W$6:$W$376,$A10)</f>
        <v>0</v>
      </c>
      <c r="Y10" s="15" t="n">
        <f aca="false">SUMIFS('Daily Log'!$S$6:$S$376,'Daily Log'!$W$6:$W$376,$A10)</f>
        <v>0</v>
      </c>
      <c r="Z10" s="17" t="n">
        <f aca="false">IF($H10=0,0,ROUND($G10*N10/$H10,0))</f>
        <v>0</v>
      </c>
      <c r="AA10" s="17" t="n">
        <f aca="false">IF($H10=0,0,ROUND($G10*O10/$H10,0))</f>
        <v>0</v>
      </c>
      <c r="AB10" s="17" t="n">
        <f aca="false">IF($H10=0,0,ROUND($G10*P10/$H10,0))</f>
        <v>0</v>
      </c>
      <c r="AC10" s="17" t="n">
        <f aca="false">IF($H10=0,0,ROUND($G10*Q10/$H10,0))</f>
        <v>0</v>
      </c>
      <c r="AD10" s="17" t="n">
        <f aca="false">IF($H10=0,0,ROUND($G10*R10/$H10,0))</f>
        <v>0</v>
      </c>
      <c r="AE10" s="17" t="n">
        <f aca="false">IF($H10=0,0,ROUND($G10*S10/$H10,0))</f>
        <v>0</v>
      </c>
      <c r="AF10" s="17" t="n">
        <f aca="false">IF($H10=0,0,ROUND($G10*T10/$H10,0))</f>
        <v>0</v>
      </c>
      <c r="AG10" s="17" t="n">
        <f aca="false">IF($H10=0,0,ROUND($G10*U10/$H10,0))</f>
        <v>0</v>
      </c>
      <c r="AH10" s="17" t="n">
        <f aca="false">IF($H10=0,0,ROUND($G10*V10/$H10,0))</f>
        <v>0</v>
      </c>
      <c r="AI10" s="17" t="n">
        <f aca="false">IF($H10=0,0,ROUND($G10*W10/$H10,0))</f>
        <v>0</v>
      </c>
      <c r="AJ10" s="17" t="n">
        <f aca="false">IF($H10=0,0,ROUND($G10*X10/$H10,0))</f>
        <v>0</v>
      </c>
      <c r="AK10" s="17" t="n">
        <f aca="false">IF($H10=0,0,ROUND($G10*Y10/$H10,0))</f>
        <v>0</v>
      </c>
      <c r="AL10" s="17" t="n">
        <f aca="false">SUM(Z10:AK10)</f>
        <v>0</v>
      </c>
      <c r="AM10" s="29" t="n">
        <f aca="false">$AL10-$G10</f>
        <v>0</v>
      </c>
    </row>
    <row r="11" customFormat="false" ht="15" hidden="false" customHeight="false" outlineLevel="0" collapsed="false">
      <c r="A11" s="73" t="n">
        <v>46321</v>
      </c>
      <c r="B11" s="74" t="n">
        <f aca="false">$A11+6</f>
        <v>46327</v>
      </c>
      <c r="C11" s="75" t="n">
        <f aca="false">SUMIFS('Daily Log'!$C$6:$C$376,'Daily Log'!$W$6:$W$376,$A11)</f>
        <v>0</v>
      </c>
      <c r="D11" s="75" t="n">
        <f aca="false">SUMIFS('Daily Log'!$D$6:$D$376,'Daily Log'!$W$6:$W$376,$A11)</f>
        <v>0</v>
      </c>
      <c r="E11" s="75" t="n">
        <f aca="false">SUMIFS('Daily Log'!$E$6:$E$376,'Daily Log'!$W$6:$W$376,$A11)</f>
        <v>0</v>
      </c>
      <c r="F11" s="75" t="n">
        <f aca="false">SUMIFS('Daily Log'!$F$6:$F$376,'Daily Log'!$W$6:$W$376,$A11)</f>
        <v>0</v>
      </c>
      <c r="G11" s="17" t="n">
        <f aca="false">SUMIFS('Daily Log'!$V$6:$V$376,'Daily Log'!$W$6:$W$376,$A11)</f>
        <v>0</v>
      </c>
      <c r="H11" s="75" t="n">
        <f aca="false">SUMIFS('Daily Log'!$T$6:$T$376,'Daily Log'!$W$6:$W$376,$A11)</f>
        <v>0</v>
      </c>
      <c r="I11" s="43" t="str">
        <f aca="false">IF($C11=0,"",$D11/$C11)</f>
        <v/>
      </c>
      <c r="J11" s="13" t="str">
        <f aca="false">IF($H11=0,"",$E11/$H11)</f>
        <v/>
      </c>
      <c r="K11" s="75" t="n">
        <f aca="false">SUMIFS('Daily Log'!$G$6:$G$376,'Daily Log'!$W$6:$W$376,$A11)</f>
        <v>0</v>
      </c>
      <c r="L11" s="76" t="str">
        <f aca="false">IF(OR($E11=0,$K11=0),"",$K11/$E11*1000)</f>
        <v/>
      </c>
      <c r="M11" s="19" t="str">
        <f aca="false">IF(AND($G11&gt;0,$H11=0),"pot not shared - no attendance marked",IF(AND($I11&lt;&gt;"",N($I11)&gt;RejectAlarm),"reject rate high",IF(AND($L11&lt;&gt;"",N(CementNorm)&gt;0),IF(ABS($L11/CementNorm-1)&gt;0.3,"cement use off by &gt;30% - check counts",""),"")))</f>
        <v/>
      </c>
      <c r="N11" s="15" t="n">
        <f aca="false">SUMIFS('Daily Log'!$H$6:$H$376,'Daily Log'!$W$6:$W$376,$A11)</f>
        <v>0</v>
      </c>
      <c r="O11" s="15" t="n">
        <f aca="false">SUMIFS('Daily Log'!$I$6:$I$376,'Daily Log'!$W$6:$W$376,$A11)</f>
        <v>0</v>
      </c>
      <c r="P11" s="15" t="n">
        <f aca="false">SUMIFS('Daily Log'!$J$6:$J$376,'Daily Log'!$W$6:$W$376,$A11)</f>
        <v>0</v>
      </c>
      <c r="Q11" s="15" t="n">
        <f aca="false">SUMIFS('Daily Log'!$K$6:$K$376,'Daily Log'!$W$6:$W$376,$A11)</f>
        <v>0</v>
      </c>
      <c r="R11" s="15" t="n">
        <f aca="false">SUMIFS('Daily Log'!$L$6:$L$376,'Daily Log'!$W$6:$W$376,$A11)</f>
        <v>0</v>
      </c>
      <c r="S11" s="15" t="n">
        <f aca="false">SUMIFS('Daily Log'!$M$6:$M$376,'Daily Log'!$W$6:$W$376,$A11)</f>
        <v>0</v>
      </c>
      <c r="T11" s="15" t="n">
        <f aca="false">SUMIFS('Daily Log'!$N$6:$N$376,'Daily Log'!$W$6:$W$376,$A11)</f>
        <v>0</v>
      </c>
      <c r="U11" s="15" t="n">
        <f aca="false">SUMIFS('Daily Log'!$O$6:$O$376,'Daily Log'!$W$6:$W$376,$A11)</f>
        <v>0</v>
      </c>
      <c r="V11" s="15" t="n">
        <f aca="false">SUMIFS('Daily Log'!$P$6:$P$376,'Daily Log'!$W$6:$W$376,$A11)</f>
        <v>0</v>
      </c>
      <c r="W11" s="15" t="n">
        <f aca="false">SUMIFS('Daily Log'!$Q$6:$Q$376,'Daily Log'!$W$6:$W$376,$A11)</f>
        <v>0</v>
      </c>
      <c r="X11" s="15" t="n">
        <f aca="false">SUMIFS('Daily Log'!$R$6:$R$376,'Daily Log'!$W$6:$W$376,$A11)</f>
        <v>0</v>
      </c>
      <c r="Y11" s="15" t="n">
        <f aca="false">SUMIFS('Daily Log'!$S$6:$S$376,'Daily Log'!$W$6:$W$376,$A11)</f>
        <v>0</v>
      </c>
      <c r="Z11" s="17" t="n">
        <f aca="false">IF($H11=0,0,ROUND($G11*N11/$H11,0))</f>
        <v>0</v>
      </c>
      <c r="AA11" s="17" t="n">
        <f aca="false">IF($H11=0,0,ROUND($G11*O11/$H11,0))</f>
        <v>0</v>
      </c>
      <c r="AB11" s="17" t="n">
        <f aca="false">IF($H11=0,0,ROUND($G11*P11/$H11,0))</f>
        <v>0</v>
      </c>
      <c r="AC11" s="17" t="n">
        <f aca="false">IF($H11=0,0,ROUND($G11*Q11/$H11,0))</f>
        <v>0</v>
      </c>
      <c r="AD11" s="17" t="n">
        <f aca="false">IF($H11=0,0,ROUND($G11*R11/$H11,0))</f>
        <v>0</v>
      </c>
      <c r="AE11" s="17" t="n">
        <f aca="false">IF($H11=0,0,ROUND($G11*S11/$H11,0))</f>
        <v>0</v>
      </c>
      <c r="AF11" s="17" t="n">
        <f aca="false">IF($H11=0,0,ROUND($G11*T11/$H11,0))</f>
        <v>0</v>
      </c>
      <c r="AG11" s="17" t="n">
        <f aca="false">IF($H11=0,0,ROUND($G11*U11/$H11,0))</f>
        <v>0</v>
      </c>
      <c r="AH11" s="17" t="n">
        <f aca="false">IF($H11=0,0,ROUND($G11*V11/$H11,0))</f>
        <v>0</v>
      </c>
      <c r="AI11" s="17" t="n">
        <f aca="false">IF($H11=0,0,ROUND($G11*W11/$H11,0))</f>
        <v>0</v>
      </c>
      <c r="AJ11" s="17" t="n">
        <f aca="false">IF($H11=0,0,ROUND($G11*X11/$H11,0))</f>
        <v>0</v>
      </c>
      <c r="AK11" s="17" t="n">
        <f aca="false">IF($H11=0,0,ROUND($G11*Y11/$H11,0))</f>
        <v>0</v>
      </c>
      <c r="AL11" s="17" t="n">
        <f aca="false">SUM(Z11:AK11)</f>
        <v>0</v>
      </c>
      <c r="AM11" s="29" t="n">
        <f aca="false">$AL11-$G11</f>
        <v>0</v>
      </c>
    </row>
    <row r="12" customFormat="false" ht="15" hidden="false" customHeight="false" outlineLevel="0" collapsed="false">
      <c r="A12" s="73" t="n">
        <v>46328</v>
      </c>
      <c r="B12" s="74" t="n">
        <f aca="false">$A12+6</f>
        <v>46334</v>
      </c>
      <c r="C12" s="75" t="n">
        <f aca="false">SUMIFS('Daily Log'!$C$6:$C$376,'Daily Log'!$W$6:$W$376,$A12)</f>
        <v>0</v>
      </c>
      <c r="D12" s="75" t="n">
        <f aca="false">SUMIFS('Daily Log'!$D$6:$D$376,'Daily Log'!$W$6:$W$376,$A12)</f>
        <v>0</v>
      </c>
      <c r="E12" s="75" t="n">
        <f aca="false">SUMIFS('Daily Log'!$E$6:$E$376,'Daily Log'!$W$6:$W$376,$A12)</f>
        <v>0</v>
      </c>
      <c r="F12" s="75" t="n">
        <f aca="false">SUMIFS('Daily Log'!$F$6:$F$376,'Daily Log'!$W$6:$W$376,$A12)</f>
        <v>0</v>
      </c>
      <c r="G12" s="17" t="n">
        <f aca="false">SUMIFS('Daily Log'!$V$6:$V$376,'Daily Log'!$W$6:$W$376,$A12)</f>
        <v>0</v>
      </c>
      <c r="H12" s="75" t="n">
        <f aca="false">SUMIFS('Daily Log'!$T$6:$T$376,'Daily Log'!$W$6:$W$376,$A12)</f>
        <v>0</v>
      </c>
      <c r="I12" s="43" t="str">
        <f aca="false">IF($C12=0,"",$D12/$C12)</f>
        <v/>
      </c>
      <c r="J12" s="13" t="str">
        <f aca="false">IF($H12=0,"",$E12/$H12)</f>
        <v/>
      </c>
      <c r="K12" s="75" t="n">
        <f aca="false">SUMIFS('Daily Log'!$G$6:$G$376,'Daily Log'!$W$6:$W$376,$A12)</f>
        <v>0</v>
      </c>
      <c r="L12" s="76" t="str">
        <f aca="false">IF(OR($E12=0,$K12=0),"",$K12/$E12*1000)</f>
        <v/>
      </c>
      <c r="M12" s="19" t="str">
        <f aca="false">IF(AND($G12&gt;0,$H12=0),"pot not shared - no attendance marked",IF(AND($I12&lt;&gt;"",N($I12)&gt;RejectAlarm),"reject rate high",IF(AND($L12&lt;&gt;"",N(CementNorm)&gt;0),IF(ABS($L12/CementNorm-1)&gt;0.3,"cement use off by &gt;30% - check counts",""),"")))</f>
        <v/>
      </c>
      <c r="N12" s="15" t="n">
        <f aca="false">SUMIFS('Daily Log'!$H$6:$H$376,'Daily Log'!$W$6:$W$376,$A12)</f>
        <v>0</v>
      </c>
      <c r="O12" s="15" t="n">
        <f aca="false">SUMIFS('Daily Log'!$I$6:$I$376,'Daily Log'!$W$6:$W$376,$A12)</f>
        <v>0</v>
      </c>
      <c r="P12" s="15" t="n">
        <f aca="false">SUMIFS('Daily Log'!$J$6:$J$376,'Daily Log'!$W$6:$W$376,$A12)</f>
        <v>0</v>
      </c>
      <c r="Q12" s="15" t="n">
        <f aca="false">SUMIFS('Daily Log'!$K$6:$K$376,'Daily Log'!$W$6:$W$376,$A12)</f>
        <v>0</v>
      </c>
      <c r="R12" s="15" t="n">
        <f aca="false">SUMIFS('Daily Log'!$L$6:$L$376,'Daily Log'!$W$6:$W$376,$A12)</f>
        <v>0</v>
      </c>
      <c r="S12" s="15" t="n">
        <f aca="false">SUMIFS('Daily Log'!$M$6:$M$376,'Daily Log'!$W$6:$W$376,$A12)</f>
        <v>0</v>
      </c>
      <c r="T12" s="15" t="n">
        <f aca="false">SUMIFS('Daily Log'!$N$6:$N$376,'Daily Log'!$W$6:$W$376,$A12)</f>
        <v>0</v>
      </c>
      <c r="U12" s="15" t="n">
        <f aca="false">SUMIFS('Daily Log'!$O$6:$O$376,'Daily Log'!$W$6:$W$376,$A12)</f>
        <v>0</v>
      </c>
      <c r="V12" s="15" t="n">
        <f aca="false">SUMIFS('Daily Log'!$P$6:$P$376,'Daily Log'!$W$6:$W$376,$A12)</f>
        <v>0</v>
      </c>
      <c r="W12" s="15" t="n">
        <f aca="false">SUMIFS('Daily Log'!$Q$6:$Q$376,'Daily Log'!$W$6:$W$376,$A12)</f>
        <v>0</v>
      </c>
      <c r="X12" s="15" t="n">
        <f aca="false">SUMIFS('Daily Log'!$R$6:$R$376,'Daily Log'!$W$6:$W$376,$A12)</f>
        <v>0</v>
      </c>
      <c r="Y12" s="15" t="n">
        <f aca="false">SUMIFS('Daily Log'!$S$6:$S$376,'Daily Log'!$W$6:$W$376,$A12)</f>
        <v>0</v>
      </c>
      <c r="Z12" s="17" t="n">
        <f aca="false">IF($H12=0,0,ROUND($G12*N12/$H12,0))</f>
        <v>0</v>
      </c>
      <c r="AA12" s="17" t="n">
        <f aca="false">IF($H12=0,0,ROUND($G12*O12/$H12,0))</f>
        <v>0</v>
      </c>
      <c r="AB12" s="17" t="n">
        <f aca="false">IF($H12=0,0,ROUND($G12*P12/$H12,0))</f>
        <v>0</v>
      </c>
      <c r="AC12" s="17" t="n">
        <f aca="false">IF($H12=0,0,ROUND($G12*Q12/$H12,0))</f>
        <v>0</v>
      </c>
      <c r="AD12" s="17" t="n">
        <f aca="false">IF($H12=0,0,ROUND($G12*R12/$H12,0))</f>
        <v>0</v>
      </c>
      <c r="AE12" s="17" t="n">
        <f aca="false">IF($H12=0,0,ROUND($G12*S12/$H12,0))</f>
        <v>0</v>
      </c>
      <c r="AF12" s="17" t="n">
        <f aca="false">IF($H12=0,0,ROUND($G12*T12/$H12,0))</f>
        <v>0</v>
      </c>
      <c r="AG12" s="17" t="n">
        <f aca="false">IF($H12=0,0,ROUND($G12*U12/$H12,0))</f>
        <v>0</v>
      </c>
      <c r="AH12" s="17" t="n">
        <f aca="false">IF($H12=0,0,ROUND($G12*V12/$H12,0))</f>
        <v>0</v>
      </c>
      <c r="AI12" s="17" t="n">
        <f aca="false">IF($H12=0,0,ROUND($G12*W12/$H12,0))</f>
        <v>0</v>
      </c>
      <c r="AJ12" s="17" t="n">
        <f aca="false">IF($H12=0,0,ROUND($G12*X12/$H12,0))</f>
        <v>0</v>
      </c>
      <c r="AK12" s="17" t="n">
        <f aca="false">IF($H12=0,0,ROUND($G12*Y12/$H12,0))</f>
        <v>0</v>
      </c>
      <c r="AL12" s="17" t="n">
        <f aca="false">SUM(Z12:AK12)</f>
        <v>0</v>
      </c>
      <c r="AM12" s="29" t="n">
        <f aca="false">$AL12-$G12</f>
        <v>0</v>
      </c>
    </row>
    <row r="13" customFormat="false" ht="15" hidden="false" customHeight="false" outlineLevel="0" collapsed="false">
      <c r="A13" s="73" t="n">
        <v>46335</v>
      </c>
      <c r="B13" s="74" t="n">
        <f aca="false">$A13+6</f>
        <v>46341</v>
      </c>
      <c r="C13" s="75" t="n">
        <f aca="false">SUMIFS('Daily Log'!$C$6:$C$376,'Daily Log'!$W$6:$W$376,$A13)</f>
        <v>0</v>
      </c>
      <c r="D13" s="75" t="n">
        <f aca="false">SUMIFS('Daily Log'!$D$6:$D$376,'Daily Log'!$W$6:$W$376,$A13)</f>
        <v>0</v>
      </c>
      <c r="E13" s="75" t="n">
        <f aca="false">SUMIFS('Daily Log'!$E$6:$E$376,'Daily Log'!$W$6:$W$376,$A13)</f>
        <v>0</v>
      </c>
      <c r="F13" s="75" t="n">
        <f aca="false">SUMIFS('Daily Log'!$F$6:$F$376,'Daily Log'!$W$6:$W$376,$A13)</f>
        <v>0</v>
      </c>
      <c r="G13" s="17" t="n">
        <f aca="false">SUMIFS('Daily Log'!$V$6:$V$376,'Daily Log'!$W$6:$W$376,$A13)</f>
        <v>0</v>
      </c>
      <c r="H13" s="75" t="n">
        <f aca="false">SUMIFS('Daily Log'!$T$6:$T$376,'Daily Log'!$W$6:$W$376,$A13)</f>
        <v>0</v>
      </c>
      <c r="I13" s="43" t="str">
        <f aca="false">IF($C13=0,"",$D13/$C13)</f>
        <v/>
      </c>
      <c r="J13" s="13" t="str">
        <f aca="false">IF($H13=0,"",$E13/$H13)</f>
        <v/>
      </c>
      <c r="K13" s="75" t="n">
        <f aca="false">SUMIFS('Daily Log'!$G$6:$G$376,'Daily Log'!$W$6:$W$376,$A13)</f>
        <v>0</v>
      </c>
      <c r="L13" s="76" t="str">
        <f aca="false">IF(OR($E13=0,$K13=0),"",$K13/$E13*1000)</f>
        <v/>
      </c>
      <c r="M13" s="19" t="str">
        <f aca="false">IF(AND($G13&gt;0,$H13=0),"pot not shared - no attendance marked",IF(AND($I13&lt;&gt;"",N($I13)&gt;RejectAlarm),"reject rate high",IF(AND($L13&lt;&gt;"",N(CementNorm)&gt;0),IF(ABS($L13/CementNorm-1)&gt;0.3,"cement use off by &gt;30% - check counts",""),"")))</f>
        <v/>
      </c>
      <c r="N13" s="15" t="n">
        <f aca="false">SUMIFS('Daily Log'!$H$6:$H$376,'Daily Log'!$W$6:$W$376,$A13)</f>
        <v>0</v>
      </c>
      <c r="O13" s="15" t="n">
        <f aca="false">SUMIFS('Daily Log'!$I$6:$I$376,'Daily Log'!$W$6:$W$376,$A13)</f>
        <v>0</v>
      </c>
      <c r="P13" s="15" t="n">
        <f aca="false">SUMIFS('Daily Log'!$J$6:$J$376,'Daily Log'!$W$6:$W$376,$A13)</f>
        <v>0</v>
      </c>
      <c r="Q13" s="15" t="n">
        <f aca="false">SUMIFS('Daily Log'!$K$6:$K$376,'Daily Log'!$W$6:$W$376,$A13)</f>
        <v>0</v>
      </c>
      <c r="R13" s="15" t="n">
        <f aca="false">SUMIFS('Daily Log'!$L$6:$L$376,'Daily Log'!$W$6:$W$376,$A13)</f>
        <v>0</v>
      </c>
      <c r="S13" s="15" t="n">
        <f aca="false">SUMIFS('Daily Log'!$M$6:$M$376,'Daily Log'!$W$6:$W$376,$A13)</f>
        <v>0</v>
      </c>
      <c r="T13" s="15" t="n">
        <f aca="false">SUMIFS('Daily Log'!$N$6:$N$376,'Daily Log'!$W$6:$W$376,$A13)</f>
        <v>0</v>
      </c>
      <c r="U13" s="15" t="n">
        <f aca="false">SUMIFS('Daily Log'!$O$6:$O$376,'Daily Log'!$W$6:$W$376,$A13)</f>
        <v>0</v>
      </c>
      <c r="V13" s="15" t="n">
        <f aca="false">SUMIFS('Daily Log'!$P$6:$P$376,'Daily Log'!$W$6:$W$376,$A13)</f>
        <v>0</v>
      </c>
      <c r="W13" s="15" t="n">
        <f aca="false">SUMIFS('Daily Log'!$Q$6:$Q$376,'Daily Log'!$W$6:$W$376,$A13)</f>
        <v>0</v>
      </c>
      <c r="X13" s="15" t="n">
        <f aca="false">SUMIFS('Daily Log'!$R$6:$R$376,'Daily Log'!$W$6:$W$376,$A13)</f>
        <v>0</v>
      </c>
      <c r="Y13" s="15" t="n">
        <f aca="false">SUMIFS('Daily Log'!$S$6:$S$376,'Daily Log'!$W$6:$W$376,$A13)</f>
        <v>0</v>
      </c>
      <c r="Z13" s="17" t="n">
        <f aca="false">IF($H13=0,0,ROUND($G13*N13/$H13,0))</f>
        <v>0</v>
      </c>
      <c r="AA13" s="17" t="n">
        <f aca="false">IF($H13=0,0,ROUND($G13*O13/$H13,0))</f>
        <v>0</v>
      </c>
      <c r="AB13" s="17" t="n">
        <f aca="false">IF($H13=0,0,ROUND($G13*P13/$H13,0))</f>
        <v>0</v>
      </c>
      <c r="AC13" s="17" t="n">
        <f aca="false">IF($H13=0,0,ROUND($G13*Q13/$H13,0))</f>
        <v>0</v>
      </c>
      <c r="AD13" s="17" t="n">
        <f aca="false">IF($H13=0,0,ROUND($G13*R13/$H13,0))</f>
        <v>0</v>
      </c>
      <c r="AE13" s="17" t="n">
        <f aca="false">IF($H13=0,0,ROUND($G13*S13/$H13,0))</f>
        <v>0</v>
      </c>
      <c r="AF13" s="17" t="n">
        <f aca="false">IF($H13=0,0,ROUND($G13*T13/$H13,0))</f>
        <v>0</v>
      </c>
      <c r="AG13" s="17" t="n">
        <f aca="false">IF($H13=0,0,ROUND($G13*U13/$H13,0))</f>
        <v>0</v>
      </c>
      <c r="AH13" s="17" t="n">
        <f aca="false">IF($H13=0,0,ROUND($G13*V13/$H13,0))</f>
        <v>0</v>
      </c>
      <c r="AI13" s="17" t="n">
        <f aca="false">IF($H13=0,0,ROUND($G13*W13/$H13,0))</f>
        <v>0</v>
      </c>
      <c r="AJ13" s="17" t="n">
        <f aca="false">IF($H13=0,0,ROUND($G13*X13/$H13,0))</f>
        <v>0</v>
      </c>
      <c r="AK13" s="17" t="n">
        <f aca="false">IF($H13=0,0,ROUND($G13*Y13/$H13,0))</f>
        <v>0</v>
      </c>
      <c r="AL13" s="17" t="n">
        <f aca="false">SUM(Z13:AK13)</f>
        <v>0</v>
      </c>
      <c r="AM13" s="29" t="n">
        <f aca="false">$AL13-$G13</f>
        <v>0</v>
      </c>
    </row>
    <row r="14" customFormat="false" ht="15" hidden="false" customHeight="false" outlineLevel="0" collapsed="false">
      <c r="A14" s="73" t="n">
        <v>46342</v>
      </c>
      <c r="B14" s="74" t="n">
        <f aca="false">$A14+6</f>
        <v>46348</v>
      </c>
      <c r="C14" s="75" t="n">
        <f aca="false">SUMIFS('Daily Log'!$C$6:$C$376,'Daily Log'!$W$6:$W$376,$A14)</f>
        <v>0</v>
      </c>
      <c r="D14" s="75" t="n">
        <f aca="false">SUMIFS('Daily Log'!$D$6:$D$376,'Daily Log'!$W$6:$W$376,$A14)</f>
        <v>0</v>
      </c>
      <c r="E14" s="75" t="n">
        <f aca="false">SUMIFS('Daily Log'!$E$6:$E$376,'Daily Log'!$W$6:$W$376,$A14)</f>
        <v>0</v>
      </c>
      <c r="F14" s="75" t="n">
        <f aca="false">SUMIFS('Daily Log'!$F$6:$F$376,'Daily Log'!$W$6:$W$376,$A14)</f>
        <v>0</v>
      </c>
      <c r="G14" s="17" t="n">
        <f aca="false">SUMIFS('Daily Log'!$V$6:$V$376,'Daily Log'!$W$6:$W$376,$A14)</f>
        <v>0</v>
      </c>
      <c r="H14" s="75" t="n">
        <f aca="false">SUMIFS('Daily Log'!$T$6:$T$376,'Daily Log'!$W$6:$W$376,$A14)</f>
        <v>0</v>
      </c>
      <c r="I14" s="43" t="str">
        <f aca="false">IF($C14=0,"",$D14/$C14)</f>
        <v/>
      </c>
      <c r="J14" s="13" t="str">
        <f aca="false">IF($H14=0,"",$E14/$H14)</f>
        <v/>
      </c>
      <c r="K14" s="75" t="n">
        <f aca="false">SUMIFS('Daily Log'!$G$6:$G$376,'Daily Log'!$W$6:$W$376,$A14)</f>
        <v>0</v>
      </c>
      <c r="L14" s="76" t="str">
        <f aca="false">IF(OR($E14=0,$K14=0),"",$K14/$E14*1000)</f>
        <v/>
      </c>
      <c r="M14" s="19" t="str">
        <f aca="false">IF(AND($G14&gt;0,$H14=0),"pot not shared - no attendance marked",IF(AND($I14&lt;&gt;"",N($I14)&gt;RejectAlarm),"reject rate high",IF(AND($L14&lt;&gt;"",N(CementNorm)&gt;0),IF(ABS($L14/CementNorm-1)&gt;0.3,"cement use off by &gt;30% - check counts",""),"")))</f>
        <v/>
      </c>
      <c r="N14" s="15" t="n">
        <f aca="false">SUMIFS('Daily Log'!$H$6:$H$376,'Daily Log'!$W$6:$W$376,$A14)</f>
        <v>0</v>
      </c>
      <c r="O14" s="15" t="n">
        <f aca="false">SUMIFS('Daily Log'!$I$6:$I$376,'Daily Log'!$W$6:$W$376,$A14)</f>
        <v>0</v>
      </c>
      <c r="P14" s="15" t="n">
        <f aca="false">SUMIFS('Daily Log'!$J$6:$J$376,'Daily Log'!$W$6:$W$376,$A14)</f>
        <v>0</v>
      </c>
      <c r="Q14" s="15" t="n">
        <f aca="false">SUMIFS('Daily Log'!$K$6:$K$376,'Daily Log'!$W$6:$W$376,$A14)</f>
        <v>0</v>
      </c>
      <c r="R14" s="15" t="n">
        <f aca="false">SUMIFS('Daily Log'!$L$6:$L$376,'Daily Log'!$W$6:$W$376,$A14)</f>
        <v>0</v>
      </c>
      <c r="S14" s="15" t="n">
        <f aca="false">SUMIFS('Daily Log'!$M$6:$M$376,'Daily Log'!$W$6:$W$376,$A14)</f>
        <v>0</v>
      </c>
      <c r="T14" s="15" t="n">
        <f aca="false">SUMIFS('Daily Log'!$N$6:$N$376,'Daily Log'!$W$6:$W$376,$A14)</f>
        <v>0</v>
      </c>
      <c r="U14" s="15" t="n">
        <f aca="false">SUMIFS('Daily Log'!$O$6:$O$376,'Daily Log'!$W$6:$W$376,$A14)</f>
        <v>0</v>
      </c>
      <c r="V14" s="15" t="n">
        <f aca="false">SUMIFS('Daily Log'!$P$6:$P$376,'Daily Log'!$W$6:$W$376,$A14)</f>
        <v>0</v>
      </c>
      <c r="W14" s="15" t="n">
        <f aca="false">SUMIFS('Daily Log'!$Q$6:$Q$376,'Daily Log'!$W$6:$W$376,$A14)</f>
        <v>0</v>
      </c>
      <c r="X14" s="15" t="n">
        <f aca="false">SUMIFS('Daily Log'!$R$6:$R$376,'Daily Log'!$W$6:$W$376,$A14)</f>
        <v>0</v>
      </c>
      <c r="Y14" s="15" t="n">
        <f aca="false">SUMIFS('Daily Log'!$S$6:$S$376,'Daily Log'!$W$6:$W$376,$A14)</f>
        <v>0</v>
      </c>
      <c r="Z14" s="17" t="n">
        <f aca="false">IF($H14=0,0,ROUND($G14*N14/$H14,0))</f>
        <v>0</v>
      </c>
      <c r="AA14" s="17" t="n">
        <f aca="false">IF($H14=0,0,ROUND($G14*O14/$H14,0))</f>
        <v>0</v>
      </c>
      <c r="AB14" s="17" t="n">
        <f aca="false">IF($H14=0,0,ROUND($G14*P14/$H14,0))</f>
        <v>0</v>
      </c>
      <c r="AC14" s="17" t="n">
        <f aca="false">IF($H14=0,0,ROUND($G14*Q14/$H14,0))</f>
        <v>0</v>
      </c>
      <c r="AD14" s="17" t="n">
        <f aca="false">IF($H14=0,0,ROUND($G14*R14/$H14,0))</f>
        <v>0</v>
      </c>
      <c r="AE14" s="17" t="n">
        <f aca="false">IF($H14=0,0,ROUND($G14*S14/$H14,0))</f>
        <v>0</v>
      </c>
      <c r="AF14" s="17" t="n">
        <f aca="false">IF($H14=0,0,ROUND($G14*T14/$H14,0))</f>
        <v>0</v>
      </c>
      <c r="AG14" s="17" t="n">
        <f aca="false">IF($H14=0,0,ROUND($G14*U14/$H14,0))</f>
        <v>0</v>
      </c>
      <c r="AH14" s="17" t="n">
        <f aca="false">IF($H14=0,0,ROUND($G14*V14/$H14,0))</f>
        <v>0</v>
      </c>
      <c r="AI14" s="17" t="n">
        <f aca="false">IF($H14=0,0,ROUND($G14*W14/$H14,0))</f>
        <v>0</v>
      </c>
      <c r="AJ14" s="17" t="n">
        <f aca="false">IF($H14=0,0,ROUND($G14*X14/$H14,0))</f>
        <v>0</v>
      </c>
      <c r="AK14" s="17" t="n">
        <f aca="false">IF($H14=0,0,ROUND($G14*Y14/$H14,0))</f>
        <v>0</v>
      </c>
      <c r="AL14" s="17" t="n">
        <f aca="false">SUM(Z14:AK14)</f>
        <v>0</v>
      </c>
      <c r="AM14" s="29" t="n">
        <f aca="false">$AL14-$G14</f>
        <v>0</v>
      </c>
    </row>
    <row r="15" customFormat="false" ht="15" hidden="false" customHeight="false" outlineLevel="0" collapsed="false">
      <c r="A15" s="73" t="n">
        <v>46349</v>
      </c>
      <c r="B15" s="74" t="n">
        <f aca="false">$A15+6</f>
        <v>46355</v>
      </c>
      <c r="C15" s="75" t="n">
        <f aca="false">SUMIFS('Daily Log'!$C$6:$C$376,'Daily Log'!$W$6:$W$376,$A15)</f>
        <v>0</v>
      </c>
      <c r="D15" s="75" t="n">
        <f aca="false">SUMIFS('Daily Log'!$D$6:$D$376,'Daily Log'!$W$6:$W$376,$A15)</f>
        <v>0</v>
      </c>
      <c r="E15" s="75" t="n">
        <f aca="false">SUMIFS('Daily Log'!$E$6:$E$376,'Daily Log'!$W$6:$W$376,$A15)</f>
        <v>0</v>
      </c>
      <c r="F15" s="75" t="n">
        <f aca="false">SUMIFS('Daily Log'!$F$6:$F$376,'Daily Log'!$W$6:$W$376,$A15)</f>
        <v>0</v>
      </c>
      <c r="G15" s="17" t="n">
        <f aca="false">SUMIFS('Daily Log'!$V$6:$V$376,'Daily Log'!$W$6:$W$376,$A15)</f>
        <v>0</v>
      </c>
      <c r="H15" s="75" t="n">
        <f aca="false">SUMIFS('Daily Log'!$T$6:$T$376,'Daily Log'!$W$6:$W$376,$A15)</f>
        <v>0</v>
      </c>
      <c r="I15" s="43" t="str">
        <f aca="false">IF($C15=0,"",$D15/$C15)</f>
        <v/>
      </c>
      <c r="J15" s="13" t="str">
        <f aca="false">IF($H15=0,"",$E15/$H15)</f>
        <v/>
      </c>
      <c r="K15" s="75" t="n">
        <f aca="false">SUMIFS('Daily Log'!$G$6:$G$376,'Daily Log'!$W$6:$W$376,$A15)</f>
        <v>0</v>
      </c>
      <c r="L15" s="76" t="str">
        <f aca="false">IF(OR($E15=0,$K15=0),"",$K15/$E15*1000)</f>
        <v/>
      </c>
      <c r="M15" s="19" t="str">
        <f aca="false">IF(AND($G15&gt;0,$H15=0),"pot not shared - no attendance marked",IF(AND($I15&lt;&gt;"",N($I15)&gt;RejectAlarm),"reject rate high",IF(AND($L15&lt;&gt;"",N(CementNorm)&gt;0),IF(ABS($L15/CementNorm-1)&gt;0.3,"cement use off by &gt;30% - check counts",""),"")))</f>
        <v/>
      </c>
      <c r="N15" s="15" t="n">
        <f aca="false">SUMIFS('Daily Log'!$H$6:$H$376,'Daily Log'!$W$6:$W$376,$A15)</f>
        <v>0</v>
      </c>
      <c r="O15" s="15" t="n">
        <f aca="false">SUMIFS('Daily Log'!$I$6:$I$376,'Daily Log'!$W$6:$W$376,$A15)</f>
        <v>0</v>
      </c>
      <c r="P15" s="15" t="n">
        <f aca="false">SUMIFS('Daily Log'!$J$6:$J$376,'Daily Log'!$W$6:$W$376,$A15)</f>
        <v>0</v>
      </c>
      <c r="Q15" s="15" t="n">
        <f aca="false">SUMIFS('Daily Log'!$K$6:$K$376,'Daily Log'!$W$6:$W$376,$A15)</f>
        <v>0</v>
      </c>
      <c r="R15" s="15" t="n">
        <f aca="false">SUMIFS('Daily Log'!$L$6:$L$376,'Daily Log'!$W$6:$W$376,$A15)</f>
        <v>0</v>
      </c>
      <c r="S15" s="15" t="n">
        <f aca="false">SUMIFS('Daily Log'!$M$6:$M$376,'Daily Log'!$W$6:$W$376,$A15)</f>
        <v>0</v>
      </c>
      <c r="T15" s="15" t="n">
        <f aca="false">SUMIFS('Daily Log'!$N$6:$N$376,'Daily Log'!$W$6:$W$376,$A15)</f>
        <v>0</v>
      </c>
      <c r="U15" s="15" t="n">
        <f aca="false">SUMIFS('Daily Log'!$O$6:$O$376,'Daily Log'!$W$6:$W$376,$A15)</f>
        <v>0</v>
      </c>
      <c r="V15" s="15" t="n">
        <f aca="false">SUMIFS('Daily Log'!$P$6:$P$376,'Daily Log'!$W$6:$W$376,$A15)</f>
        <v>0</v>
      </c>
      <c r="W15" s="15" t="n">
        <f aca="false">SUMIFS('Daily Log'!$Q$6:$Q$376,'Daily Log'!$W$6:$W$376,$A15)</f>
        <v>0</v>
      </c>
      <c r="X15" s="15" t="n">
        <f aca="false">SUMIFS('Daily Log'!$R$6:$R$376,'Daily Log'!$W$6:$W$376,$A15)</f>
        <v>0</v>
      </c>
      <c r="Y15" s="15" t="n">
        <f aca="false">SUMIFS('Daily Log'!$S$6:$S$376,'Daily Log'!$W$6:$W$376,$A15)</f>
        <v>0</v>
      </c>
      <c r="Z15" s="17" t="n">
        <f aca="false">IF($H15=0,0,ROUND($G15*N15/$H15,0))</f>
        <v>0</v>
      </c>
      <c r="AA15" s="17" t="n">
        <f aca="false">IF($H15=0,0,ROUND($G15*O15/$H15,0))</f>
        <v>0</v>
      </c>
      <c r="AB15" s="17" t="n">
        <f aca="false">IF($H15=0,0,ROUND($G15*P15/$H15,0))</f>
        <v>0</v>
      </c>
      <c r="AC15" s="17" t="n">
        <f aca="false">IF($H15=0,0,ROUND($G15*Q15/$H15,0))</f>
        <v>0</v>
      </c>
      <c r="AD15" s="17" t="n">
        <f aca="false">IF($H15=0,0,ROUND($G15*R15/$H15,0))</f>
        <v>0</v>
      </c>
      <c r="AE15" s="17" t="n">
        <f aca="false">IF($H15=0,0,ROUND($G15*S15/$H15,0))</f>
        <v>0</v>
      </c>
      <c r="AF15" s="17" t="n">
        <f aca="false">IF($H15=0,0,ROUND($G15*T15/$H15,0))</f>
        <v>0</v>
      </c>
      <c r="AG15" s="17" t="n">
        <f aca="false">IF($H15=0,0,ROUND($G15*U15/$H15,0))</f>
        <v>0</v>
      </c>
      <c r="AH15" s="17" t="n">
        <f aca="false">IF($H15=0,0,ROUND($G15*V15/$H15,0))</f>
        <v>0</v>
      </c>
      <c r="AI15" s="17" t="n">
        <f aca="false">IF($H15=0,0,ROUND($G15*W15/$H15,0))</f>
        <v>0</v>
      </c>
      <c r="AJ15" s="17" t="n">
        <f aca="false">IF($H15=0,0,ROUND($G15*X15/$H15,0))</f>
        <v>0</v>
      </c>
      <c r="AK15" s="17" t="n">
        <f aca="false">IF($H15=0,0,ROUND($G15*Y15/$H15,0))</f>
        <v>0</v>
      </c>
      <c r="AL15" s="17" t="n">
        <f aca="false">SUM(Z15:AK15)</f>
        <v>0</v>
      </c>
      <c r="AM15" s="29" t="n">
        <f aca="false">$AL15-$G15</f>
        <v>0</v>
      </c>
    </row>
    <row r="16" customFormat="false" ht="15" hidden="false" customHeight="false" outlineLevel="0" collapsed="false">
      <c r="A16" s="73" t="n">
        <v>46356</v>
      </c>
      <c r="B16" s="74" t="n">
        <f aca="false">$A16+6</f>
        <v>46362</v>
      </c>
      <c r="C16" s="75" t="n">
        <f aca="false">SUMIFS('Daily Log'!$C$6:$C$376,'Daily Log'!$W$6:$W$376,$A16)</f>
        <v>0</v>
      </c>
      <c r="D16" s="75" t="n">
        <f aca="false">SUMIFS('Daily Log'!$D$6:$D$376,'Daily Log'!$W$6:$W$376,$A16)</f>
        <v>0</v>
      </c>
      <c r="E16" s="75" t="n">
        <f aca="false">SUMIFS('Daily Log'!$E$6:$E$376,'Daily Log'!$W$6:$W$376,$A16)</f>
        <v>0</v>
      </c>
      <c r="F16" s="75" t="n">
        <f aca="false">SUMIFS('Daily Log'!$F$6:$F$376,'Daily Log'!$W$6:$W$376,$A16)</f>
        <v>0</v>
      </c>
      <c r="G16" s="17" t="n">
        <f aca="false">SUMIFS('Daily Log'!$V$6:$V$376,'Daily Log'!$W$6:$W$376,$A16)</f>
        <v>0</v>
      </c>
      <c r="H16" s="75" t="n">
        <f aca="false">SUMIFS('Daily Log'!$T$6:$T$376,'Daily Log'!$W$6:$W$376,$A16)</f>
        <v>0</v>
      </c>
      <c r="I16" s="43" t="str">
        <f aca="false">IF($C16=0,"",$D16/$C16)</f>
        <v/>
      </c>
      <c r="J16" s="13" t="str">
        <f aca="false">IF($H16=0,"",$E16/$H16)</f>
        <v/>
      </c>
      <c r="K16" s="75" t="n">
        <f aca="false">SUMIFS('Daily Log'!$G$6:$G$376,'Daily Log'!$W$6:$W$376,$A16)</f>
        <v>0</v>
      </c>
      <c r="L16" s="76" t="str">
        <f aca="false">IF(OR($E16=0,$K16=0),"",$K16/$E16*1000)</f>
        <v/>
      </c>
      <c r="M16" s="19" t="str">
        <f aca="false">IF(AND($G16&gt;0,$H16=0),"pot not shared - no attendance marked",IF(AND($I16&lt;&gt;"",N($I16)&gt;RejectAlarm),"reject rate high",IF(AND($L16&lt;&gt;"",N(CementNorm)&gt;0),IF(ABS($L16/CementNorm-1)&gt;0.3,"cement use off by &gt;30% - check counts",""),"")))</f>
        <v/>
      </c>
      <c r="N16" s="15" t="n">
        <f aca="false">SUMIFS('Daily Log'!$H$6:$H$376,'Daily Log'!$W$6:$W$376,$A16)</f>
        <v>0</v>
      </c>
      <c r="O16" s="15" t="n">
        <f aca="false">SUMIFS('Daily Log'!$I$6:$I$376,'Daily Log'!$W$6:$W$376,$A16)</f>
        <v>0</v>
      </c>
      <c r="P16" s="15" t="n">
        <f aca="false">SUMIFS('Daily Log'!$J$6:$J$376,'Daily Log'!$W$6:$W$376,$A16)</f>
        <v>0</v>
      </c>
      <c r="Q16" s="15" t="n">
        <f aca="false">SUMIFS('Daily Log'!$K$6:$K$376,'Daily Log'!$W$6:$W$376,$A16)</f>
        <v>0</v>
      </c>
      <c r="R16" s="15" t="n">
        <f aca="false">SUMIFS('Daily Log'!$L$6:$L$376,'Daily Log'!$W$6:$W$376,$A16)</f>
        <v>0</v>
      </c>
      <c r="S16" s="15" t="n">
        <f aca="false">SUMIFS('Daily Log'!$M$6:$M$376,'Daily Log'!$W$6:$W$376,$A16)</f>
        <v>0</v>
      </c>
      <c r="T16" s="15" t="n">
        <f aca="false">SUMIFS('Daily Log'!$N$6:$N$376,'Daily Log'!$W$6:$W$376,$A16)</f>
        <v>0</v>
      </c>
      <c r="U16" s="15" t="n">
        <f aca="false">SUMIFS('Daily Log'!$O$6:$O$376,'Daily Log'!$W$6:$W$376,$A16)</f>
        <v>0</v>
      </c>
      <c r="V16" s="15" t="n">
        <f aca="false">SUMIFS('Daily Log'!$P$6:$P$376,'Daily Log'!$W$6:$W$376,$A16)</f>
        <v>0</v>
      </c>
      <c r="W16" s="15" t="n">
        <f aca="false">SUMIFS('Daily Log'!$Q$6:$Q$376,'Daily Log'!$W$6:$W$376,$A16)</f>
        <v>0</v>
      </c>
      <c r="X16" s="15" t="n">
        <f aca="false">SUMIFS('Daily Log'!$R$6:$R$376,'Daily Log'!$W$6:$W$376,$A16)</f>
        <v>0</v>
      </c>
      <c r="Y16" s="15" t="n">
        <f aca="false">SUMIFS('Daily Log'!$S$6:$S$376,'Daily Log'!$W$6:$W$376,$A16)</f>
        <v>0</v>
      </c>
      <c r="Z16" s="17" t="n">
        <f aca="false">IF($H16=0,0,ROUND($G16*N16/$H16,0))</f>
        <v>0</v>
      </c>
      <c r="AA16" s="17" t="n">
        <f aca="false">IF($H16=0,0,ROUND($G16*O16/$H16,0))</f>
        <v>0</v>
      </c>
      <c r="AB16" s="17" t="n">
        <f aca="false">IF($H16=0,0,ROUND($G16*P16/$H16,0))</f>
        <v>0</v>
      </c>
      <c r="AC16" s="17" t="n">
        <f aca="false">IF($H16=0,0,ROUND($G16*Q16/$H16,0))</f>
        <v>0</v>
      </c>
      <c r="AD16" s="17" t="n">
        <f aca="false">IF($H16=0,0,ROUND($G16*R16/$H16,0))</f>
        <v>0</v>
      </c>
      <c r="AE16" s="17" t="n">
        <f aca="false">IF($H16=0,0,ROUND($G16*S16/$H16,0))</f>
        <v>0</v>
      </c>
      <c r="AF16" s="17" t="n">
        <f aca="false">IF($H16=0,0,ROUND($G16*T16/$H16,0))</f>
        <v>0</v>
      </c>
      <c r="AG16" s="17" t="n">
        <f aca="false">IF($H16=0,0,ROUND($G16*U16/$H16,0))</f>
        <v>0</v>
      </c>
      <c r="AH16" s="17" t="n">
        <f aca="false">IF($H16=0,0,ROUND($G16*V16/$H16,0))</f>
        <v>0</v>
      </c>
      <c r="AI16" s="17" t="n">
        <f aca="false">IF($H16=0,0,ROUND($G16*W16/$H16,0))</f>
        <v>0</v>
      </c>
      <c r="AJ16" s="17" t="n">
        <f aca="false">IF($H16=0,0,ROUND($G16*X16/$H16,0))</f>
        <v>0</v>
      </c>
      <c r="AK16" s="17" t="n">
        <f aca="false">IF($H16=0,0,ROUND($G16*Y16/$H16,0))</f>
        <v>0</v>
      </c>
      <c r="AL16" s="17" t="n">
        <f aca="false">SUM(Z16:AK16)</f>
        <v>0</v>
      </c>
      <c r="AM16" s="29" t="n">
        <f aca="false">$AL16-$G16</f>
        <v>0</v>
      </c>
    </row>
    <row r="17" customFormat="false" ht="15" hidden="false" customHeight="false" outlineLevel="0" collapsed="false">
      <c r="A17" s="73" t="n">
        <v>46363</v>
      </c>
      <c r="B17" s="74" t="n">
        <f aca="false">$A17+6</f>
        <v>46369</v>
      </c>
      <c r="C17" s="75" t="n">
        <f aca="false">SUMIFS('Daily Log'!$C$6:$C$376,'Daily Log'!$W$6:$W$376,$A17)</f>
        <v>0</v>
      </c>
      <c r="D17" s="75" t="n">
        <f aca="false">SUMIFS('Daily Log'!$D$6:$D$376,'Daily Log'!$W$6:$W$376,$A17)</f>
        <v>0</v>
      </c>
      <c r="E17" s="75" t="n">
        <f aca="false">SUMIFS('Daily Log'!$E$6:$E$376,'Daily Log'!$W$6:$W$376,$A17)</f>
        <v>0</v>
      </c>
      <c r="F17" s="75" t="n">
        <f aca="false">SUMIFS('Daily Log'!$F$6:$F$376,'Daily Log'!$W$6:$W$376,$A17)</f>
        <v>0</v>
      </c>
      <c r="G17" s="17" t="n">
        <f aca="false">SUMIFS('Daily Log'!$V$6:$V$376,'Daily Log'!$W$6:$W$376,$A17)</f>
        <v>0</v>
      </c>
      <c r="H17" s="75" t="n">
        <f aca="false">SUMIFS('Daily Log'!$T$6:$T$376,'Daily Log'!$W$6:$W$376,$A17)</f>
        <v>0</v>
      </c>
      <c r="I17" s="43" t="str">
        <f aca="false">IF($C17=0,"",$D17/$C17)</f>
        <v/>
      </c>
      <c r="J17" s="13" t="str">
        <f aca="false">IF($H17=0,"",$E17/$H17)</f>
        <v/>
      </c>
      <c r="K17" s="75" t="n">
        <f aca="false">SUMIFS('Daily Log'!$G$6:$G$376,'Daily Log'!$W$6:$W$376,$A17)</f>
        <v>0</v>
      </c>
      <c r="L17" s="76" t="str">
        <f aca="false">IF(OR($E17=0,$K17=0),"",$K17/$E17*1000)</f>
        <v/>
      </c>
      <c r="M17" s="19" t="str">
        <f aca="false">IF(AND($G17&gt;0,$H17=0),"pot not shared - no attendance marked",IF(AND($I17&lt;&gt;"",N($I17)&gt;RejectAlarm),"reject rate high",IF(AND($L17&lt;&gt;"",N(CementNorm)&gt;0),IF(ABS($L17/CementNorm-1)&gt;0.3,"cement use off by &gt;30% - check counts",""),"")))</f>
        <v/>
      </c>
      <c r="N17" s="15" t="n">
        <f aca="false">SUMIFS('Daily Log'!$H$6:$H$376,'Daily Log'!$W$6:$W$376,$A17)</f>
        <v>0</v>
      </c>
      <c r="O17" s="15" t="n">
        <f aca="false">SUMIFS('Daily Log'!$I$6:$I$376,'Daily Log'!$W$6:$W$376,$A17)</f>
        <v>0</v>
      </c>
      <c r="P17" s="15" t="n">
        <f aca="false">SUMIFS('Daily Log'!$J$6:$J$376,'Daily Log'!$W$6:$W$376,$A17)</f>
        <v>0</v>
      </c>
      <c r="Q17" s="15" t="n">
        <f aca="false">SUMIFS('Daily Log'!$K$6:$K$376,'Daily Log'!$W$6:$W$376,$A17)</f>
        <v>0</v>
      </c>
      <c r="R17" s="15" t="n">
        <f aca="false">SUMIFS('Daily Log'!$L$6:$L$376,'Daily Log'!$W$6:$W$376,$A17)</f>
        <v>0</v>
      </c>
      <c r="S17" s="15" t="n">
        <f aca="false">SUMIFS('Daily Log'!$M$6:$M$376,'Daily Log'!$W$6:$W$376,$A17)</f>
        <v>0</v>
      </c>
      <c r="T17" s="15" t="n">
        <f aca="false">SUMIFS('Daily Log'!$N$6:$N$376,'Daily Log'!$W$6:$W$376,$A17)</f>
        <v>0</v>
      </c>
      <c r="U17" s="15" t="n">
        <f aca="false">SUMIFS('Daily Log'!$O$6:$O$376,'Daily Log'!$W$6:$W$376,$A17)</f>
        <v>0</v>
      </c>
      <c r="V17" s="15" t="n">
        <f aca="false">SUMIFS('Daily Log'!$P$6:$P$376,'Daily Log'!$W$6:$W$376,$A17)</f>
        <v>0</v>
      </c>
      <c r="W17" s="15" t="n">
        <f aca="false">SUMIFS('Daily Log'!$Q$6:$Q$376,'Daily Log'!$W$6:$W$376,$A17)</f>
        <v>0</v>
      </c>
      <c r="X17" s="15" t="n">
        <f aca="false">SUMIFS('Daily Log'!$R$6:$R$376,'Daily Log'!$W$6:$W$376,$A17)</f>
        <v>0</v>
      </c>
      <c r="Y17" s="15" t="n">
        <f aca="false">SUMIFS('Daily Log'!$S$6:$S$376,'Daily Log'!$W$6:$W$376,$A17)</f>
        <v>0</v>
      </c>
      <c r="Z17" s="17" t="n">
        <f aca="false">IF($H17=0,0,ROUND($G17*N17/$H17,0))</f>
        <v>0</v>
      </c>
      <c r="AA17" s="17" t="n">
        <f aca="false">IF($H17=0,0,ROUND($G17*O17/$H17,0))</f>
        <v>0</v>
      </c>
      <c r="AB17" s="17" t="n">
        <f aca="false">IF($H17=0,0,ROUND($G17*P17/$H17,0))</f>
        <v>0</v>
      </c>
      <c r="AC17" s="17" t="n">
        <f aca="false">IF($H17=0,0,ROUND($G17*Q17/$H17,0))</f>
        <v>0</v>
      </c>
      <c r="AD17" s="17" t="n">
        <f aca="false">IF($H17=0,0,ROUND($G17*R17/$H17,0))</f>
        <v>0</v>
      </c>
      <c r="AE17" s="17" t="n">
        <f aca="false">IF($H17=0,0,ROUND($G17*S17/$H17,0))</f>
        <v>0</v>
      </c>
      <c r="AF17" s="17" t="n">
        <f aca="false">IF($H17=0,0,ROUND($G17*T17/$H17,0))</f>
        <v>0</v>
      </c>
      <c r="AG17" s="17" t="n">
        <f aca="false">IF($H17=0,0,ROUND($G17*U17/$H17,0))</f>
        <v>0</v>
      </c>
      <c r="AH17" s="17" t="n">
        <f aca="false">IF($H17=0,0,ROUND($G17*V17/$H17,0))</f>
        <v>0</v>
      </c>
      <c r="AI17" s="17" t="n">
        <f aca="false">IF($H17=0,0,ROUND($G17*W17/$H17,0))</f>
        <v>0</v>
      </c>
      <c r="AJ17" s="17" t="n">
        <f aca="false">IF($H17=0,0,ROUND($G17*X17/$H17,0))</f>
        <v>0</v>
      </c>
      <c r="AK17" s="17" t="n">
        <f aca="false">IF($H17=0,0,ROUND($G17*Y17/$H17,0))</f>
        <v>0</v>
      </c>
      <c r="AL17" s="17" t="n">
        <f aca="false">SUM(Z17:AK17)</f>
        <v>0</v>
      </c>
      <c r="AM17" s="29" t="n">
        <f aca="false">$AL17-$G17</f>
        <v>0</v>
      </c>
    </row>
    <row r="18" customFormat="false" ht="15" hidden="false" customHeight="false" outlineLevel="0" collapsed="false">
      <c r="A18" s="73" t="n">
        <v>46370</v>
      </c>
      <c r="B18" s="74" t="n">
        <f aca="false">$A18+6</f>
        <v>46376</v>
      </c>
      <c r="C18" s="75" t="n">
        <f aca="false">SUMIFS('Daily Log'!$C$6:$C$376,'Daily Log'!$W$6:$W$376,$A18)</f>
        <v>0</v>
      </c>
      <c r="D18" s="75" t="n">
        <f aca="false">SUMIFS('Daily Log'!$D$6:$D$376,'Daily Log'!$W$6:$W$376,$A18)</f>
        <v>0</v>
      </c>
      <c r="E18" s="75" t="n">
        <f aca="false">SUMIFS('Daily Log'!$E$6:$E$376,'Daily Log'!$W$6:$W$376,$A18)</f>
        <v>0</v>
      </c>
      <c r="F18" s="75" t="n">
        <f aca="false">SUMIFS('Daily Log'!$F$6:$F$376,'Daily Log'!$W$6:$W$376,$A18)</f>
        <v>0</v>
      </c>
      <c r="G18" s="17" t="n">
        <f aca="false">SUMIFS('Daily Log'!$V$6:$V$376,'Daily Log'!$W$6:$W$376,$A18)</f>
        <v>0</v>
      </c>
      <c r="H18" s="75" t="n">
        <f aca="false">SUMIFS('Daily Log'!$T$6:$T$376,'Daily Log'!$W$6:$W$376,$A18)</f>
        <v>0</v>
      </c>
      <c r="I18" s="43" t="str">
        <f aca="false">IF($C18=0,"",$D18/$C18)</f>
        <v/>
      </c>
      <c r="J18" s="13" t="str">
        <f aca="false">IF($H18=0,"",$E18/$H18)</f>
        <v/>
      </c>
      <c r="K18" s="75" t="n">
        <f aca="false">SUMIFS('Daily Log'!$G$6:$G$376,'Daily Log'!$W$6:$W$376,$A18)</f>
        <v>0</v>
      </c>
      <c r="L18" s="76" t="str">
        <f aca="false">IF(OR($E18=0,$K18=0),"",$K18/$E18*1000)</f>
        <v/>
      </c>
      <c r="M18" s="19" t="str">
        <f aca="false">IF(AND($G18&gt;0,$H18=0),"pot not shared - no attendance marked",IF(AND($I18&lt;&gt;"",N($I18)&gt;RejectAlarm),"reject rate high",IF(AND($L18&lt;&gt;"",N(CementNorm)&gt;0),IF(ABS($L18/CementNorm-1)&gt;0.3,"cement use off by &gt;30% - check counts",""),"")))</f>
        <v/>
      </c>
      <c r="N18" s="15" t="n">
        <f aca="false">SUMIFS('Daily Log'!$H$6:$H$376,'Daily Log'!$W$6:$W$376,$A18)</f>
        <v>0</v>
      </c>
      <c r="O18" s="15" t="n">
        <f aca="false">SUMIFS('Daily Log'!$I$6:$I$376,'Daily Log'!$W$6:$W$376,$A18)</f>
        <v>0</v>
      </c>
      <c r="P18" s="15" t="n">
        <f aca="false">SUMIFS('Daily Log'!$J$6:$J$376,'Daily Log'!$W$6:$W$376,$A18)</f>
        <v>0</v>
      </c>
      <c r="Q18" s="15" t="n">
        <f aca="false">SUMIFS('Daily Log'!$K$6:$K$376,'Daily Log'!$W$6:$W$376,$A18)</f>
        <v>0</v>
      </c>
      <c r="R18" s="15" t="n">
        <f aca="false">SUMIFS('Daily Log'!$L$6:$L$376,'Daily Log'!$W$6:$W$376,$A18)</f>
        <v>0</v>
      </c>
      <c r="S18" s="15" t="n">
        <f aca="false">SUMIFS('Daily Log'!$M$6:$M$376,'Daily Log'!$W$6:$W$376,$A18)</f>
        <v>0</v>
      </c>
      <c r="T18" s="15" t="n">
        <f aca="false">SUMIFS('Daily Log'!$N$6:$N$376,'Daily Log'!$W$6:$W$376,$A18)</f>
        <v>0</v>
      </c>
      <c r="U18" s="15" t="n">
        <f aca="false">SUMIFS('Daily Log'!$O$6:$O$376,'Daily Log'!$W$6:$W$376,$A18)</f>
        <v>0</v>
      </c>
      <c r="V18" s="15" t="n">
        <f aca="false">SUMIFS('Daily Log'!$P$6:$P$376,'Daily Log'!$W$6:$W$376,$A18)</f>
        <v>0</v>
      </c>
      <c r="W18" s="15" t="n">
        <f aca="false">SUMIFS('Daily Log'!$Q$6:$Q$376,'Daily Log'!$W$6:$W$376,$A18)</f>
        <v>0</v>
      </c>
      <c r="X18" s="15" t="n">
        <f aca="false">SUMIFS('Daily Log'!$R$6:$R$376,'Daily Log'!$W$6:$W$376,$A18)</f>
        <v>0</v>
      </c>
      <c r="Y18" s="15" t="n">
        <f aca="false">SUMIFS('Daily Log'!$S$6:$S$376,'Daily Log'!$W$6:$W$376,$A18)</f>
        <v>0</v>
      </c>
      <c r="Z18" s="17" t="n">
        <f aca="false">IF($H18=0,0,ROUND($G18*N18/$H18,0))</f>
        <v>0</v>
      </c>
      <c r="AA18" s="17" t="n">
        <f aca="false">IF($H18=0,0,ROUND($G18*O18/$H18,0))</f>
        <v>0</v>
      </c>
      <c r="AB18" s="17" t="n">
        <f aca="false">IF($H18=0,0,ROUND($G18*P18/$H18,0))</f>
        <v>0</v>
      </c>
      <c r="AC18" s="17" t="n">
        <f aca="false">IF($H18=0,0,ROUND($G18*Q18/$H18,0))</f>
        <v>0</v>
      </c>
      <c r="AD18" s="17" t="n">
        <f aca="false">IF($H18=0,0,ROUND($G18*R18/$H18,0))</f>
        <v>0</v>
      </c>
      <c r="AE18" s="17" t="n">
        <f aca="false">IF($H18=0,0,ROUND($G18*S18/$H18,0))</f>
        <v>0</v>
      </c>
      <c r="AF18" s="17" t="n">
        <f aca="false">IF($H18=0,0,ROUND($G18*T18/$H18,0))</f>
        <v>0</v>
      </c>
      <c r="AG18" s="17" t="n">
        <f aca="false">IF($H18=0,0,ROUND($G18*U18/$H18,0))</f>
        <v>0</v>
      </c>
      <c r="AH18" s="17" t="n">
        <f aca="false">IF($H18=0,0,ROUND($G18*V18/$H18,0))</f>
        <v>0</v>
      </c>
      <c r="AI18" s="17" t="n">
        <f aca="false">IF($H18=0,0,ROUND($G18*W18/$H18,0))</f>
        <v>0</v>
      </c>
      <c r="AJ18" s="17" t="n">
        <f aca="false">IF($H18=0,0,ROUND($G18*X18/$H18,0))</f>
        <v>0</v>
      </c>
      <c r="AK18" s="17" t="n">
        <f aca="false">IF($H18=0,0,ROUND($G18*Y18/$H18,0))</f>
        <v>0</v>
      </c>
      <c r="AL18" s="17" t="n">
        <f aca="false">SUM(Z18:AK18)</f>
        <v>0</v>
      </c>
      <c r="AM18" s="29" t="n">
        <f aca="false">$AL18-$G18</f>
        <v>0</v>
      </c>
    </row>
    <row r="19" customFormat="false" ht="15" hidden="false" customHeight="false" outlineLevel="0" collapsed="false">
      <c r="A19" s="73" t="n">
        <v>46377</v>
      </c>
      <c r="B19" s="74" t="n">
        <f aca="false">$A19+6</f>
        <v>46383</v>
      </c>
      <c r="C19" s="75" t="n">
        <f aca="false">SUMIFS('Daily Log'!$C$6:$C$376,'Daily Log'!$W$6:$W$376,$A19)</f>
        <v>0</v>
      </c>
      <c r="D19" s="75" t="n">
        <f aca="false">SUMIFS('Daily Log'!$D$6:$D$376,'Daily Log'!$W$6:$W$376,$A19)</f>
        <v>0</v>
      </c>
      <c r="E19" s="75" t="n">
        <f aca="false">SUMIFS('Daily Log'!$E$6:$E$376,'Daily Log'!$W$6:$W$376,$A19)</f>
        <v>0</v>
      </c>
      <c r="F19" s="75" t="n">
        <f aca="false">SUMIFS('Daily Log'!$F$6:$F$376,'Daily Log'!$W$6:$W$376,$A19)</f>
        <v>0</v>
      </c>
      <c r="G19" s="17" t="n">
        <f aca="false">SUMIFS('Daily Log'!$V$6:$V$376,'Daily Log'!$W$6:$W$376,$A19)</f>
        <v>0</v>
      </c>
      <c r="H19" s="75" t="n">
        <f aca="false">SUMIFS('Daily Log'!$T$6:$T$376,'Daily Log'!$W$6:$W$376,$A19)</f>
        <v>0</v>
      </c>
      <c r="I19" s="43" t="str">
        <f aca="false">IF($C19=0,"",$D19/$C19)</f>
        <v/>
      </c>
      <c r="J19" s="13" t="str">
        <f aca="false">IF($H19=0,"",$E19/$H19)</f>
        <v/>
      </c>
      <c r="K19" s="75" t="n">
        <f aca="false">SUMIFS('Daily Log'!$G$6:$G$376,'Daily Log'!$W$6:$W$376,$A19)</f>
        <v>0</v>
      </c>
      <c r="L19" s="76" t="str">
        <f aca="false">IF(OR($E19=0,$K19=0),"",$K19/$E19*1000)</f>
        <v/>
      </c>
      <c r="M19" s="19" t="str">
        <f aca="false">IF(AND($G19&gt;0,$H19=0),"pot not shared - no attendance marked",IF(AND($I19&lt;&gt;"",N($I19)&gt;RejectAlarm),"reject rate high",IF(AND($L19&lt;&gt;"",N(CementNorm)&gt;0),IF(ABS($L19/CementNorm-1)&gt;0.3,"cement use off by &gt;30% - check counts",""),"")))</f>
        <v/>
      </c>
      <c r="N19" s="15" t="n">
        <f aca="false">SUMIFS('Daily Log'!$H$6:$H$376,'Daily Log'!$W$6:$W$376,$A19)</f>
        <v>0</v>
      </c>
      <c r="O19" s="15" t="n">
        <f aca="false">SUMIFS('Daily Log'!$I$6:$I$376,'Daily Log'!$W$6:$W$376,$A19)</f>
        <v>0</v>
      </c>
      <c r="P19" s="15" t="n">
        <f aca="false">SUMIFS('Daily Log'!$J$6:$J$376,'Daily Log'!$W$6:$W$376,$A19)</f>
        <v>0</v>
      </c>
      <c r="Q19" s="15" t="n">
        <f aca="false">SUMIFS('Daily Log'!$K$6:$K$376,'Daily Log'!$W$6:$W$376,$A19)</f>
        <v>0</v>
      </c>
      <c r="R19" s="15" t="n">
        <f aca="false">SUMIFS('Daily Log'!$L$6:$L$376,'Daily Log'!$W$6:$W$376,$A19)</f>
        <v>0</v>
      </c>
      <c r="S19" s="15" t="n">
        <f aca="false">SUMIFS('Daily Log'!$M$6:$M$376,'Daily Log'!$W$6:$W$376,$A19)</f>
        <v>0</v>
      </c>
      <c r="T19" s="15" t="n">
        <f aca="false">SUMIFS('Daily Log'!$N$6:$N$376,'Daily Log'!$W$6:$W$376,$A19)</f>
        <v>0</v>
      </c>
      <c r="U19" s="15" t="n">
        <f aca="false">SUMIFS('Daily Log'!$O$6:$O$376,'Daily Log'!$W$6:$W$376,$A19)</f>
        <v>0</v>
      </c>
      <c r="V19" s="15" t="n">
        <f aca="false">SUMIFS('Daily Log'!$P$6:$P$376,'Daily Log'!$W$6:$W$376,$A19)</f>
        <v>0</v>
      </c>
      <c r="W19" s="15" t="n">
        <f aca="false">SUMIFS('Daily Log'!$Q$6:$Q$376,'Daily Log'!$W$6:$W$376,$A19)</f>
        <v>0</v>
      </c>
      <c r="X19" s="15" t="n">
        <f aca="false">SUMIFS('Daily Log'!$R$6:$R$376,'Daily Log'!$W$6:$W$376,$A19)</f>
        <v>0</v>
      </c>
      <c r="Y19" s="15" t="n">
        <f aca="false">SUMIFS('Daily Log'!$S$6:$S$376,'Daily Log'!$W$6:$W$376,$A19)</f>
        <v>0</v>
      </c>
      <c r="Z19" s="17" t="n">
        <f aca="false">IF($H19=0,0,ROUND($G19*N19/$H19,0))</f>
        <v>0</v>
      </c>
      <c r="AA19" s="17" t="n">
        <f aca="false">IF($H19=0,0,ROUND($G19*O19/$H19,0))</f>
        <v>0</v>
      </c>
      <c r="AB19" s="17" t="n">
        <f aca="false">IF($H19=0,0,ROUND($G19*P19/$H19,0))</f>
        <v>0</v>
      </c>
      <c r="AC19" s="17" t="n">
        <f aca="false">IF($H19=0,0,ROUND($G19*Q19/$H19,0))</f>
        <v>0</v>
      </c>
      <c r="AD19" s="17" t="n">
        <f aca="false">IF($H19=0,0,ROUND($G19*R19/$H19,0))</f>
        <v>0</v>
      </c>
      <c r="AE19" s="17" t="n">
        <f aca="false">IF($H19=0,0,ROUND($G19*S19/$H19,0))</f>
        <v>0</v>
      </c>
      <c r="AF19" s="17" t="n">
        <f aca="false">IF($H19=0,0,ROUND($G19*T19/$H19,0))</f>
        <v>0</v>
      </c>
      <c r="AG19" s="17" t="n">
        <f aca="false">IF($H19=0,0,ROUND($G19*U19/$H19,0))</f>
        <v>0</v>
      </c>
      <c r="AH19" s="17" t="n">
        <f aca="false">IF($H19=0,0,ROUND($G19*V19/$H19,0))</f>
        <v>0</v>
      </c>
      <c r="AI19" s="17" t="n">
        <f aca="false">IF($H19=0,0,ROUND($G19*W19/$H19,0))</f>
        <v>0</v>
      </c>
      <c r="AJ19" s="17" t="n">
        <f aca="false">IF($H19=0,0,ROUND($G19*X19/$H19,0))</f>
        <v>0</v>
      </c>
      <c r="AK19" s="17" t="n">
        <f aca="false">IF($H19=0,0,ROUND($G19*Y19/$H19,0))</f>
        <v>0</v>
      </c>
      <c r="AL19" s="17" t="n">
        <f aca="false">SUM(Z19:AK19)</f>
        <v>0</v>
      </c>
      <c r="AM19" s="29" t="n">
        <f aca="false">$AL19-$G19</f>
        <v>0</v>
      </c>
    </row>
    <row r="20" customFormat="false" ht="15" hidden="false" customHeight="false" outlineLevel="0" collapsed="false">
      <c r="A20" s="73" t="n">
        <v>46384</v>
      </c>
      <c r="B20" s="74" t="n">
        <f aca="false">$A20+6</f>
        <v>46390</v>
      </c>
      <c r="C20" s="75" t="n">
        <f aca="false">SUMIFS('Daily Log'!$C$6:$C$376,'Daily Log'!$W$6:$W$376,$A20)</f>
        <v>0</v>
      </c>
      <c r="D20" s="75" t="n">
        <f aca="false">SUMIFS('Daily Log'!$D$6:$D$376,'Daily Log'!$W$6:$W$376,$A20)</f>
        <v>0</v>
      </c>
      <c r="E20" s="75" t="n">
        <f aca="false">SUMIFS('Daily Log'!$E$6:$E$376,'Daily Log'!$W$6:$W$376,$A20)</f>
        <v>0</v>
      </c>
      <c r="F20" s="75" t="n">
        <f aca="false">SUMIFS('Daily Log'!$F$6:$F$376,'Daily Log'!$W$6:$W$376,$A20)</f>
        <v>0</v>
      </c>
      <c r="G20" s="17" t="n">
        <f aca="false">SUMIFS('Daily Log'!$V$6:$V$376,'Daily Log'!$W$6:$W$376,$A20)</f>
        <v>0</v>
      </c>
      <c r="H20" s="75" t="n">
        <f aca="false">SUMIFS('Daily Log'!$T$6:$T$376,'Daily Log'!$W$6:$W$376,$A20)</f>
        <v>0</v>
      </c>
      <c r="I20" s="43" t="str">
        <f aca="false">IF($C20=0,"",$D20/$C20)</f>
        <v/>
      </c>
      <c r="J20" s="13" t="str">
        <f aca="false">IF($H20=0,"",$E20/$H20)</f>
        <v/>
      </c>
      <c r="K20" s="75" t="n">
        <f aca="false">SUMIFS('Daily Log'!$G$6:$G$376,'Daily Log'!$W$6:$W$376,$A20)</f>
        <v>0</v>
      </c>
      <c r="L20" s="76" t="str">
        <f aca="false">IF(OR($E20=0,$K20=0),"",$K20/$E20*1000)</f>
        <v/>
      </c>
      <c r="M20" s="19" t="str">
        <f aca="false">IF(AND($G20&gt;0,$H20=0),"pot not shared - no attendance marked",IF(AND($I20&lt;&gt;"",N($I20)&gt;RejectAlarm),"reject rate high",IF(AND($L20&lt;&gt;"",N(CementNorm)&gt;0),IF(ABS($L20/CementNorm-1)&gt;0.3,"cement use off by &gt;30% - check counts",""),"")))</f>
        <v/>
      </c>
      <c r="N20" s="15" t="n">
        <f aca="false">SUMIFS('Daily Log'!$H$6:$H$376,'Daily Log'!$W$6:$W$376,$A20)</f>
        <v>0</v>
      </c>
      <c r="O20" s="15" t="n">
        <f aca="false">SUMIFS('Daily Log'!$I$6:$I$376,'Daily Log'!$W$6:$W$376,$A20)</f>
        <v>0</v>
      </c>
      <c r="P20" s="15" t="n">
        <f aca="false">SUMIFS('Daily Log'!$J$6:$J$376,'Daily Log'!$W$6:$W$376,$A20)</f>
        <v>0</v>
      </c>
      <c r="Q20" s="15" t="n">
        <f aca="false">SUMIFS('Daily Log'!$K$6:$K$376,'Daily Log'!$W$6:$W$376,$A20)</f>
        <v>0</v>
      </c>
      <c r="R20" s="15" t="n">
        <f aca="false">SUMIFS('Daily Log'!$L$6:$L$376,'Daily Log'!$W$6:$W$376,$A20)</f>
        <v>0</v>
      </c>
      <c r="S20" s="15" t="n">
        <f aca="false">SUMIFS('Daily Log'!$M$6:$M$376,'Daily Log'!$W$6:$W$376,$A20)</f>
        <v>0</v>
      </c>
      <c r="T20" s="15" t="n">
        <f aca="false">SUMIFS('Daily Log'!$N$6:$N$376,'Daily Log'!$W$6:$W$376,$A20)</f>
        <v>0</v>
      </c>
      <c r="U20" s="15" t="n">
        <f aca="false">SUMIFS('Daily Log'!$O$6:$O$376,'Daily Log'!$W$6:$W$376,$A20)</f>
        <v>0</v>
      </c>
      <c r="V20" s="15" t="n">
        <f aca="false">SUMIFS('Daily Log'!$P$6:$P$376,'Daily Log'!$W$6:$W$376,$A20)</f>
        <v>0</v>
      </c>
      <c r="W20" s="15" t="n">
        <f aca="false">SUMIFS('Daily Log'!$Q$6:$Q$376,'Daily Log'!$W$6:$W$376,$A20)</f>
        <v>0</v>
      </c>
      <c r="X20" s="15" t="n">
        <f aca="false">SUMIFS('Daily Log'!$R$6:$R$376,'Daily Log'!$W$6:$W$376,$A20)</f>
        <v>0</v>
      </c>
      <c r="Y20" s="15" t="n">
        <f aca="false">SUMIFS('Daily Log'!$S$6:$S$376,'Daily Log'!$W$6:$W$376,$A20)</f>
        <v>0</v>
      </c>
      <c r="Z20" s="17" t="n">
        <f aca="false">IF($H20=0,0,ROUND($G20*N20/$H20,0))</f>
        <v>0</v>
      </c>
      <c r="AA20" s="17" t="n">
        <f aca="false">IF($H20=0,0,ROUND($G20*O20/$H20,0))</f>
        <v>0</v>
      </c>
      <c r="AB20" s="17" t="n">
        <f aca="false">IF($H20=0,0,ROUND($G20*P20/$H20,0))</f>
        <v>0</v>
      </c>
      <c r="AC20" s="17" t="n">
        <f aca="false">IF($H20=0,0,ROUND($G20*Q20/$H20,0))</f>
        <v>0</v>
      </c>
      <c r="AD20" s="17" t="n">
        <f aca="false">IF($H20=0,0,ROUND($G20*R20/$H20,0))</f>
        <v>0</v>
      </c>
      <c r="AE20" s="17" t="n">
        <f aca="false">IF($H20=0,0,ROUND($G20*S20/$H20,0))</f>
        <v>0</v>
      </c>
      <c r="AF20" s="17" t="n">
        <f aca="false">IF($H20=0,0,ROUND($G20*T20/$H20,0))</f>
        <v>0</v>
      </c>
      <c r="AG20" s="17" t="n">
        <f aca="false">IF($H20=0,0,ROUND($G20*U20/$H20,0))</f>
        <v>0</v>
      </c>
      <c r="AH20" s="17" t="n">
        <f aca="false">IF($H20=0,0,ROUND($G20*V20/$H20,0))</f>
        <v>0</v>
      </c>
      <c r="AI20" s="17" t="n">
        <f aca="false">IF($H20=0,0,ROUND($G20*W20/$H20,0))</f>
        <v>0</v>
      </c>
      <c r="AJ20" s="17" t="n">
        <f aca="false">IF($H20=0,0,ROUND($G20*X20/$H20,0))</f>
        <v>0</v>
      </c>
      <c r="AK20" s="17" t="n">
        <f aca="false">IF($H20=0,0,ROUND($G20*Y20/$H20,0))</f>
        <v>0</v>
      </c>
      <c r="AL20" s="17" t="n">
        <f aca="false">SUM(Z20:AK20)</f>
        <v>0</v>
      </c>
      <c r="AM20" s="29" t="n">
        <f aca="false">$AL20-$G20</f>
        <v>0</v>
      </c>
    </row>
    <row r="21" customFormat="false" ht="15" hidden="false" customHeight="false" outlineLevel="0" collapsed="false">
      <c r="A21" s="73" t="n">
        <v>46391</v>
      </c>
      <c r="B21" s="74" t="n">
        <f aca="false">$A21+6</f>
        <v>46397</v>
      </c>
      <c r="C21" s="75" t="n">
        <f aca="false">SUMIFS('Daily Log'!$C$6:$C$376,'Daily Log'!$W$6:$W$376,$A21)</f>
        <v>0</v>
      </c>
      <c r="D21" s="75" t="n">
        <f aca="false">SUMIFS('Daily Log'!$D$6:$D$376,'Daily Log'!$W$6:$W$376,$A21)</f>
        <v>0</v>
      </c>
      <c r="E21" s="75" t="n">
        <f aca="false">SUMIFS('Daily Log'!$E$6:$E$376,'Daily Log'!$W$6:$W$376,$A21)</f>
        <v>0</v>
      </c>
      <c r="F21" s="75" t="n">
        <f aca="false">SUMIFS('Daily Log'!$F$6:$F$376,'Daily Log'!$W$6:$W$376,$A21)</f>
        <v>0</v>
      </c>
      <c r="G21" s="17" t="n">
        <f aca="false">SUMIFS('Daily Log'!$V$6:$V$376,'Daily Log'!$W$6:$W$376,$A21)</f>
        <v>0</v>
      </c>
      <c r="H21" s="75" t="n">
        <f aca="false">SUMIFS('Daily Log'!$T$6:$T$376,'Daily Log'!$W$6:$W$376,$A21)</f>
        <v>0</v>
      </c>
      <c r="I21" s="43" t="str">
        <f aca="false">IF($C21=0,"",$D21/$C21)</f>
        <v/>
      </c>
      <c r="J21" s="13" t="str">
        <f aca="false">IF($H21=0,"",$E21/$H21)</f>
        <v/>
      </c>
      <c r="K21" s="75" t="n">
        <f aca="false">SUMIFS('Daily Log'!$G$6:$G$376,'Daily Log'!$W$6:$W$376,$A21)</f>
        <v>0</v>
      </c>
      <c r="L21" s="76" t="str">
        <f aca="false">IF(OR($E21=0,$K21=0),"",$K21/$E21*1000)</f>
        <v/>
      </c>
      <c r="M21" s="19" t="str">
        <f aca="false">IF(AND($G21&gt;0,$H21=0),"pot not shared - no attendance marked",IF(AND($I21&lt;&gt;"",N($I21)&gt;RejectAlarm),"reject rate high",IF(AND($L21&lt;&gt;"",N(CementNorm)&gt;0),IF(ABS($L21/CementNorm-1)&gt;0.3,"cement use off by &gt;30% - check counts",""),"")))</f>
        <v/>
      </c>
      <c r="N21" s="15" t="n">
        <f aca="false">SUMIFS('Daily Log'!$H$6:$H$376,'Daily Log'!$W$6:$W$376,$A21)</f>
        <v>0</v>
      </c>
      <c r="O21" s="15" t="n">
        <f aca="false">SUMIFS('Daily Log'!$I$6:$I$376,'Daily Log'!$W$6:$W$376,$A21)</f>
        <v>0</v>
      </c>
      <c r="P21" s="15" t="n">
        <f aca="false">SUMIFS('Daily Log'!$J$6:$J$376,'Daily Log'!$W$6:$W$376,$A21)</f>
        <v>0</v>
      </c>
      <c r="Q21" s="15" t="n">
        <f aca="false">SUMIFS('Daily Log'!$K$6:$K$376,'Daily Log'!$W$6:$W$376,$A21)</f>
        <v>0</v>
      </c>
      <c r="R21" s="15" t="n">
        <f aca="false">SUMIFS('Daily Log'!$L$6:$L$376,'Daily Log'!$W$6:$W$376,$A21)</f>
        <v>0</v>
      </c>
      <c r="S21" s="15" t="n">
        <f aca="false">SUMIFS('Daily Log'!$M$6:$M$376,'Daily Log'!$W$6:$W$376,$A21)</f>
        <v>0</v>
      </c>
      <c r="T21" s="15" t="n">
        <f aca="false">SUMIFS('Daily Log'!$N$6:$N$376,'Daily Log'!$W$6:$W$376,$A21)</f>
        <v>0</v>
      </c>
      <c r="U21" s="15" t="n">
        <f aca="false">SUMIFS('Daily Log'!$O$6:$O$376,'Daily Log'!$W$6:$W$376,$A21)</f>
        <v>0</v>
      </c>
      <c r="V21" s="15" t="n">
        <f aca="false">SUMIFS('Daily Log'!$P$6:$P$376,'Daily Log'!$W$6:$W$376,$A21)</f>
        <v>0</v>
      </c>
      <c r="W21" s="15" t="n">
        <f aca="false">SUMIFS('Daily Log'!$Q$6:$Q$376,'Daily Log'!$W$6:$W$376,$A21)</f>
        <v>0</v>
      </c>
      <c r="X21" s="15" t="n">
        <f aca="false">SUMIFS('Daily Log'!$R$6:$R$376,'Daily Log'!$W$6:$W$376,$A21)</f>
        <v>0</v>
      </c>
      <c r="Y21" s="15" t="n">
        <f aca="false">SUMIFS('Daily Log'!$S$6:$S$376,'Daily Log'!$W$6:$W$376,$A21)</f>
        <v>0</v>
      </c>
      <c r="Z21" s="17" t="n">
        <f aca="false">IF($H21=0,0,ROUND($G21*N21/$H21,0))</f>
        <v>0</v>
      </c>
      <c r="AA21" s="17" t="n">
        <f aca="false">IF($H21=0,0,ROUND($G21*O21/$H21,0))</f>
        <v>0</v>
      </c>
      <c r="AB21" s="17" t="n">
        <f aca="false">IF($H21=0,0,ROUND($G21*P21/$H21,0))</f>
        <v>0</v>
      </c>
      <c r="AC21" s="17" t="n">
        <f aca="false">IF($H21=0,0,ROUND($G21*Q21/$H21,0))</f>
        <v>0</v>
      </c>
      <c r="AD21" s="17" t="n">
        <f aca="false">IF($H21=0,0,ROUND($G21*R21/$H21,0))</f>
        <v>0</v>
      </c>
      <c r="AE21" s="17" t="n">
        <f aca="false">IF($H21=0,0,ROUND($G21*S21/$H21,0))</f>
        <v>0</v>
      </c>
      <c r="AF21" s="17" t="n">
        <f aca="false">IF($H21=0,0,ROUND($G21*T21/$H21,0))</f>
        <v>0</v>
      </c>
      <c r="AG21" s="17" t="n">
        <f aca="false">IF($H21=0,0,ROUND($G21*U21/$H21,0))</f>
        <v>0</v>
      </c>
      <c r="AH21" s="17" t="n">
        <f aca="false">IF($H21=0,0,ROUND($G21*V21/$H21,0))</f>
        <v>0</v>
      </c>
      <c r="AI21" s="17" t="n">
        <f aca="false">IF($H21=0,0,ROUND($G21*W21/$H21,0))</f>
        <v>0</v>
      </c>
      <c r="AJ21" s="17" t="n">
        <f aca="false">IF($H21=0,0,ROUND($G21*X21/$H21,0))</f>
        <v>0</v>
      </c>
      <c r="AK21" s="17" t="n">
        <f aca="false">IF($H21=0,0,ROUND($G21*Y21/$H21,0))</f>
        <v>0</v>
      </c>
      <c r="AL21" s="17" t="n">
        <f aca="false">SUM(Z21:AK21)</f>
        <v>0</v>
      </c>
      <c r="AM21" s="29" t="n">
        <f aca="false">$AL21-$G21</f>
        <v>0</v>
      </c>
    </row>
    <row r="22" customFormat="false" ht="15" hidden="false" customHeight="false" outlineLevel="0" collapsed="false">
      <c r="A22" s="73" t="n">
        <v>46398</v>
      </c>
      <c r="B22" s="74" t="n">
        <f aca="false">$A22+6</f>
        <v>46404</v>
      </c>
      <c r="C22" s="75" t="n">
        <f aca="false">SUMIFS('Daily Log'!$C$6:$C$376,'Daily Log'!$W$6:$W$376,$A22)</f>
        <v>0</v>
      </c>
      <c r="D22" s="75" t="n">
        <f aca="false">SUMIFS('Daily Log'!$D$6:$D$376,'Daily Log'!$W$6:$W$376,$A22)</f>
        <v>0</v>
      </c>
      <c r="E22" s="75" t="n">
        <f aca="false">SUMIFS('Daily Log'!$E$6:$E$376,'Daily Log'!$W$6:$W$376,$A22)</f>
        <v>0</v>
      </c>
      <c r="F22" s="75" t="n">
        <f aca="false">SUMIFS('Daily Log'!$F$6:$F$376,'Daily Log'!$W$6:$W$376,$A22)</f>
        <v>0</v>
      </c>
      <c r="G22" s="17" t="n">
        <f aca="false">SUMIFS('Daily Log'!$V$6:$V$376,'Daily Log'!$W$6:$W$376,$A22)</f>
        <v>0</v>
      </c>
      <c r="H22" s="75" t="n">
        <f aca="false">SUMIFS('Daily Log'!$T$6:$T$376,'Daily Log'!$W$6:$W$376,$A22)</f>
        <v>0</v>
      </c>
      <c r="I22" s="43" t="str">
        <f aca="false">IF($C22=0,"",$D22/$C22)</f>
        <v/>
      </c>
      <c r="J22" s="13" t="str">
        <f aca="false">IF($H22=0,"",$E22/$H22)</f>
        <v/>
      </c>
      <c r="K22" s="75" t="n">
        <f aca="false">SUMIFS('Daily Log'!$G$6:$G$376,'Daily Log'!$W$6:$W$376,$A22)</f>
        <v>0</v>
      </c>
      <c r="L22" s="76" t="str">
        <f aca="false">IF(OR($E22=0,$K22=0),"",$K22/$E22*1000)</f>
        <v/>
      </c>
      <c r="M22" s="19" t="str">
        <f aca="false">IF(AND($G22&gt;0,$H22=0),"pot not shared - no attendance marked",IF(AND($I22&lt;&gt;"",N($I22)&gt;RejectAlarm),"reject rate high",IF(AND($L22&lt;&gt;"",N(CementNorm)&gt;0),IF(ABS($L22/CementNorm-1)&gt;0.3,"cement use off by &gt;30% - check counts",""),"")))</f>
        <v/>
      </c>
      <c r="N22" s="15" t="n">
        <f aca="false">SUMIFS('Daily Log'!$H$6:$H$376,'Daily Log'!$W$6:$W$376,$A22)</f>
        <v>0</v>
      </c>
      <c r="O22" s="15" t="n">
        <f aca="false">SUMIFS('Daily Log'!$I$6:$I$376,'Daily Log'!$W$6:$W$376,$A22)</f>
        <v>0</v>
      </c>
      <c r="P22" s="15" t="n">
        <f aca="false">SUMIFS('Daily Log'!$J$6:$J$376,'Daily Log'!$W$6:$W$376,$A22)</f>
        <v>0</v>
      </c>
      <c r="Q22" s="15" t="n">
        <f aca="false">SUMIFS('Daily Log'!$K$6:$K$376,'Daily Log'!$W$6:$W$376,$A22)</f>
        <v>0</v>
      </c>
      <c r="R22" s="15" t="n">
        <f aca="false">SUMIFS('Daily Log'!$L$6:$L$376,'Daily Log'!$W$6:$W$376,$A22)</f>
        <v>0</v>
      </c>
      <c r="S22" s="15" t="n">
        <f aca="false">SUMIFS('Daily Log'!$M$6:$M$376,'Daily Log'!$W$6:$W$376,$A22)</f>
        <v>0</v>
      </c>
      <c r="T22" s="15" t="n">
        <f aca="false">SUMIFS('Daily Log'!$N$6:$N$376,'Daily Log'!$W$6:$W$376,$A22)</f>
        <v>0</v>
      </c>
      <c r="U22" s="15" t="n">
        <f aca="false">SUMIFS('Daily Log'!$O$6:$O$376,'Daily Log'!$W$6:$W$376,$A22)</f>
        <v>0</v>
      </c>
      <c r="V22" s="15" t="n">
        <f aca="false">SUMIFS('Daily Log'!$P$6:$P$376,'Daily Log'!$W$6:$W$376,$A22)</f>
        <v>0</v>
      </c>
      <c r="W22" s="15" t="n">
        <f aca="false">SUMIFS('Daily Log'!$Q$6:$Q$376,'Daily Log'!$W$6:$W$376,$A22)</f>
        <v>0</v>
      </c>
      <c r="X22" s="15" t="n">
        <f aca="false">SUMIFS('Daily Log'!$R$6:$R$376,'Daily Log'!$W$6:$W$376,$A22)</f>
        <v>0</v>
      </c>
      <c r="Y22" s="15" t="n">
        <f aca="false">SUMIFS('Daily Log'!$S$6:$S$376,'Daily Log'!$W$6:$W$376,$A22)</f>
        <v>0</v>
      </c>
      <c r="Z22" s="17" t="n">
        <f aca="false">IF($H22=0,0,ROUND($G22*N22/$H22,0))</f>
        <v>0</v>
      </c>
      <c r="AA22" s="17" t="n">
        <f aca="false">IF($H22=0,0,ROUND($G22*O22/$H22,0))</f>
        <v>0</v>
      </c>
      <c r="AB22" s="17" t="n">
        <f aca="false">IF($H22=0,0,ROUND($G22*P22/$H22,0))</f>
        <v>0</v>
      </c>
      <c r="AC22" s="17" t="n">
        <f aca="false">IF($H22=0,0,ROUND($G22*Q22/$H22,0))</f>
        <v>0</v>
      </c>
      <c r="AD22" s="17" t="n">
        <f aca="false">IF($H22=0,0,ROUND($G22*R22/$H22,0))</f>
        <v>0</v>
      </c>
      <c r="AE22" s="17" t="n">
        <f aca="false">IF($H22=0,0,ROUND($G22*S22/$H22,0))</f>
        <v>0</v>
      </c>
      <c r="AF22" s="17" t="n">
        <f aca="false">IF($H22=0,0,ROUND($G22*T22/$H22,0))</f>
        <v>0</v>
      </c>
      <c r="AG22" s="17" t="n">
        <f aca="false">IF($H22=0,0,ROUND($G22*U22/$H22,0))</f>
        <v>0</v>
      </c>
      <c r="AH22" s="17" t="n">
        <f aca="false">IF($H22=0,0,ROUND($G22*V22/$H22,0))</f>
        <v>0</v>
      </c>
      <c r="AI22" s="17" t="n">
        <f aca="false">IF($H22=0,0,ROUND($G22*W22/$H22,0))</f>
        <v>0</v>
      </c>
      <c r="AJ22" s="17" t="n">
        <f aca="false">IF($H22=0,0,ROUND($G22*X22/$H22,0))</f>
        <v>0</v>
      </c>
      <c r="AK22" s="17" t="n">
        <f aca="false">IF($H22=0,0,ROUND($G22*Y22/$H22,0))</f>
        <v>0</v>
      </c>
      <c r="AL22" s="17" t="n">
        <f aca="false">SUM(Z22:AK22)</f>
        <v>0</v>
      </c>
      <c r="AM22" s="29" t="n">
        <f aca="false">$AL22-$G22</f>
        <v>0</v>
      </c>
    </row>
    <row r="23" customFormat="false" ht="15" hidden="false" customHeight="false" outlineLevel="0" collapsed="false">
      <c r="A23" s="73" t="n">
        <v>46405</v>
      </c>
      <c r="B23" s="74" t="n">
        <f aca="false">$A23+6</f>
        <v>46411</v>
      </c>
      <c r="C23" s="75" t="n">
        <f aca="false">SUMIFS('Daily Log'!$C$6:$C$376,'Daily Log'!$W$6:$W$376,$A23)</f>
        <v>0</v>
      </c>
      <c r="D23" s="75" t="n">
        <f aca="false">SUMIFS('Daily Log'!$D$6:$D$376,'Daily Log'!$W$6:$W$376,$A23)</f>
        <v>0</v>
      </c>
      <c r="E23" s="75" t="n">
        <f aca="false">SUMIFS('Daily Log'!$E$6:$E$376,'Daily Log'!$W$6:$W$376,$A23)</f>
        <v>0</v>
      </c>
      <c r="F23" s="75" t="n">
        <f aca="false">SUMIFS('Daily Log'!$F$6:$F$376,'Daily Log'!$W$6:$W$376,$A23)</f>
        <v>0</v>
      </c>
      <c r="G23" s="17" t="n">
        <f aca="false">SUMIFS('Daily Log'!$V$6:$V$376,'Daily Log'!$W$6:$W$376,$A23)</f>
        <v>0</v>
      </c>
      <c r="H23" s="75" t="n">
        <f aca="false">SUMIFS('Daily Log'!$T$6:$T$376,'Daily Log'!$W$6:$W$376,$A23)</f>
        <v>0</v>
      </c>
      <c r="I23" s="43" t="str">
        <f aca="false">IF($C23=0,"",$D23/$C23)</f>
        <v/>
      </c>
      <c r="J23" s="13" t="str">
        <f aca="false">IF($H23=0,"",$E23/$H23)</f>
        <v/>
      </c>
      <c r="K23" s="75" t="n">
        <f aca="false">SUMIFS('Daily Log'!$G$6:$G$376,'Daily Log'!$W$6:$W$376,$A23)</f>
        <v>0</v>
      </c>
      <c r="L23" s="76" t="str">
        <f aca="false">IF(OR($E23=0,$K23=0),"",$K23/$E23*1000)</f>
        <v/>
      </c>
      <c r="M23" s="19" t="str">
        <f aca="false">IF(AND($G23&gt;0,$H23=0),"pot not shared - no attendance marked",IF(AND($I23&lt;&gt;"",N($I23)&gt;RejectAlarm),"reject rate high",IF(AND($L23&lt;&gt;"",N(CementNorm)&gt;0),IF(ABS($L23/CementNorm-1)&gt;0.3,"cement use off by &gt;30% - check counts",""),"")))</f>
        <v/>
      </c>
      <c r="N23" s="15" t="n">
        <f aca="false">SUMIFS('Daily Log'!$H$6:$H$376,'Daily Log'!$W$6:$W$376,$A23)</f>
        <v>0</v>
      </c>
      <c r="O23" s="15" t="n">
        <f aca="false">SUMIFS('Daily Log'!$I$6:$I$376,'Daily Log'!$W$6:$W$376,$A23)</f>
        <v>0</v>
      </c>
      <c r="P23" s="15" t="n">
        <f aca="false">SUMIFS('Daily Log'!$J$6:$J$376,'Daily Log'!$W$6:$W$376,$A23)</f>
        <v>0</v>
      </c>
      <c r="Q23" s="15" t="n">
        <f aca="false">SUMIFS('Daily Log'!$K$6:$K$376,'Daily Log'!$W$6:$W$376,$A23)</f>
        <v>0</v>
      </c>
      <c r="R23" s="15" t="n">
        <f aca="false">SUMIFS('Daily Log'!$L$6:$L$376,'Daily Log'!$W$6:$W$376,$A23)</f>
        <v>0</v>
      </c>
      <c r="S23" s="15" t="n">
        <f aca="false">SUMIFS('Daily Log'!$M$6:$M$376,'Daily Log'!$W$6:$W$376,$A23)</f>
        <v>0</v>
      </c>
      <c r="T23" s="15" t="n">
        <f aca="false">SUMIFS('Daily Log'!$N$6:$N$376,'Daily Log'!$W$6:$W$376,$A23)</f>
        <v>0</v>
      </c>
      <c r="U23" s="15" t="n">
        <f aca="false">SUMIFS('Daily Log'!$O$6:$O$376,'Daily Log'!$W$6:$W$376,$A23)</f>
        <v>0</v>
      </c>
      <c r="V23" s="15" t="n">
        <f aca="false">SUMIFS('Daily Log'!$P$6:$P$376,'Daily Log'!$W$6:$W$376,$A23)</f>
        <v>0</v>
      </c>
      <c r="W23" s="15" t="n">
        <f aca="false">SUMIFS('Daily Log'!$Q$6:$Q$376,'Daily Log'!$W$6:$W$376,$A23)</f>
        <v>0</v>
      </c>
      <c r="X23" s="15" t="n">
        <f aca="false">SUMIFS('Daily Log'!$R$6:$R$376,'Daily Log'!$W$6:$W$376,$A23)</f>
        <v>0</v>
      </c>
      <c r="Y23" s="15" t="n">
        <f aca="false">SUMIFS('Daily Log'!$S$6:$S$376,'Daily Log'!$W$6:$W$376,$A23)</f>
        <v>0</v>
      </c>
      <c r="Z23" s="17" t="n">
        <f aca="false">IF($H23=0,0,ROUND($G23*N23/$H23,0))</f>
        <v>0</v>
      </c>
      <c r="AA23" s="17" t="n">
        <f aca="false">IF($H23=0,0,ROUND($G23*O23/$H23,0))</f>
        <v>0</v>
      </c>
      <c r="AB23" s="17" t="n">
        <f aca="false">IF($H23=0,0,ROUND($G23*P23/$H23,0))</f>
        <v>0</v>
      </c>
      <c r="AC23" s="17" t="n">
        <f aca="false">IF($H23=0,0,ROUND($G23*Q23/$H23,0))</f>
        <v>0</v>
      </c>
      <c r="AD23" s="17" t="n">
        <f aca="false">IF($H23=0,0,ROUND($G23*R23/$H23,0))</f>
        <v>0</v>
      </c>
      <c r="AE23" s="17" t="n">
        <f aca="false">IF($H23=0,0,ROUND($G23*S23/$H23,0))</f>
        <v>0</v>
      </c>
      <c r="AF23" s="17" t="n">
        <f aca="false">IF($H23=0,0,ROUND($G23*T23/$H23,0))</f>
        <v>0</v>
      </c>
      <c r="AG23" s="17" t="n">
        <f aca="false">IF($H23=0,0,ROUND($G23*U23/$H23,0))</f>
        <v>0</v>
      </c>
      <c r="AH23" s="17" t="n">
        <f aca="false">IF($H23=0,0,ROUND($G23*V23/$H23,0))</f>
        <v>0</v>
      </c>
      <c r="AI23" s="17" t="n">
        <f aca="false">IF($H23=0,0,ROUND($G23*W23/$H23,0))</f>
        <v>0</v>
      </c>
      <c r="AJ23" s="17" t="n">
        <f aca="false">IF($H23=0,0,ROUND($G23*X23/$H23,0))</f>
        <v>0</v>
      </c>
      <c r="AK23" s="17" t="n">
        <f aca="false">IF($H23=0,0,ROUND($G23*Y23/$H23,0))</f>
        <v>0</v>
      </c>
      <c r="AL23" s="17" t="n">
        <f aca="false">SUM(Z23:AK23)</f>
        <v>0</v>
      </c>
      <c r="AM23" s="29" t="n">
        <f aca="false">$AL23-$G23</f>
        <v>0</v>
      </c>
    </row>
    <row r="24" customFormat="false" ht="15" hidden="false" customHeight="false" outlineLevel="0" collapsed="false">
      <c r="A24" s="73" t="n">
        <v>46412</v>
      </c>
      <c r="B24" s="74" t="n">
        <f aca="false">$A24+6</f>
        <v>46418</v>
      </c>
      <c r="C24" s="75" t="n">
        <f aca="false">SUMIFS('Daily Log'!$C$6:$C$376,'Daily Log'!$W$6:$W$376,$A24)</f>
        <v>0</v>
      </c>
      <c r="D24" s="75" t="n">
        <f aca="false">SUMIFS('Daily Log'!$D$6:$D$376,'Daily Log'!$W$6:$W$376,$A24)</f>
        <v>0</v>
      </c>
      <c r="E24" s="75" t="n">
        <f aca="false">SUMIFS('Daily Log'!$E$6:$E$376,'Daily Log'!$W$6:$W$376,$A24)</f>
        <v>0</v>
      </c>
      <c r="F24" s="75" t="n">
        <f aca="false">SUMIFS('Daily Log'!$F$6:$F$376,'Daily Log'!$W$6:$W$376,$A24)</f>
        <v>0</v>
      </c>
      <c r="G24" s="17" t="n">
        <f aca="false">SUMIFS('Daily Log'!$V$6:$V$376,'Daily Log'!$W$6:$W$376,$A24)</f>
        <v>0</v>
      </c>
      <c r="H24" s="75" t="n">
        <f aca="false">SUMIFS('Daily Log'!$T$6:$T$376,'Daily Log'!$W$6:$W$376,$A24)</f>
        <v>0</v>
      </c>
      <c r="I24" s="43" t="str">
        <f aca="false">IF($C24=0,"",$D24/$C24)</f>
        <v/>
      </c>
      <c r="J24" s="13" t="str">
        <f aca="false">IF($H24=0,"",$E24/$H24)</f>
        <v/>
      </c>
      <c r="K24" s="75" t="n">
        <f aca="false">SUMIFS('Daily Log'!$G$6:$G$376,'Daily Log'!$W$6:$W$376,$A24)</f>
        <v>0</v>
      </c>
      <c r="L24" s="76" t="str">
        <f aca="false">IF(OR($E24=0,$K24=0),"",$K24/$E24*1000)</f>
        <v/>
      </c>
      <c r="M24" s="19" t="str">
        <f aca="false">IF(AND($G24&gt;0,$H24=0),"pot not shared - no attendance marked",IF(AND($I24&lt;&gt;"",N($I24)&gt;RejectAlarm),"reject rate high",IF(AND($L24&lt;&gt;"",N(CementNorm)&gt;0),IF(ABS($L24/CementNorm-1)&gt;0.3,"cement use off by &gt;30% - check counts",""),"")))</f>
        <v/>
      </c>
      <c r="N24" s="15" t="n">
        <f aca="false">SUMIFS('Daily Log'!$H$6:$H$376,'Daily Log'!$W$6:$W$376,$A24)</f>
        <v>0</v>
      </c>
      <c r="O24" s="15" t="n">
        <f aca="false">SUMIFS('Daily Log'!$I$6:$I$376,'Daily Log'!$W$6:$W$376,$A24)</f>
        <v>0</v>
      </c>
      <c r="P24" s="15" t="n">
        <f aca="false">SUMIFS('Daily Log'!$J$6:$J$376,'Daily Log'!$W$6:$W$376,$A24)</f>
        <v>0</v>
      </c>
      <c r="Q24" s="15" t="n">
        <f aca="false">SUMIFS('Daily Log'!$K$6:$K$376,'Daily Log'!$W$6:$W$376,$A24)</f>
        <v>0</v>
      </c>
      <c r="R24" s="15" t="n">
        <f aca="false">SUMIFS('Daily Log'!$L$6:$L$376,'Daily Log'!$W$6:$W$376,$A24)</f>
        <v>0</v>
      </c>
      <c r="S24" s="15" t="n">
        <f aca="false">SUMIFS('Daily Log'!$M$6:$M$376,'Daily Log'!$W$6:$W$376,$A24)</f>
        <v>0</v>
      </c>
      <c r="T24" s="15" t="n">
        <f aca="false">SUMIFS('Daily Log'!$N$6:$N$376,'Daily Log'!$W$6:$W$376,$A24)</f>
        <v>0</v>
      </c>
      <c r="U24" s="15" t="n">
        <f aca="false">SUMIFS('Daily Log'!$O$6:$O$376,'Daily Log'!$W$6:$W$376,$A24)</f>
        <v>0</v>
      </c>
      <c r="V24" s="15" t="n">
        <f aca="false">SUMIFS('Daily Log'!$P$6:$P$376,'Daily Log'!$W$6:$W$376,$A24)</f>
        <v>0</v>
      </c>
      <c r="W24" s="15" t="n">
        <f aca="false">SUMIFS('Daily Log'!$Q$6:$Q$376,'Daily Log'!$W$6:$W$376,$A24)</f>
        <v>0</v>
      </c>
      <c r="X24" s="15" t="n">
        <f aca="false">SUMIFS('Daily Log'!$R$6:$R$376,'Daily Log'!$W$6:$W$376,$A24)</f>
        <v>0</v>
      </c>
      <c r="Y24" s="15" t="n">
        <f aca="false">SUMIFS('Daily Log'!$S$6:$S$376,'Daily Log'!$W$6:$W$376,$A24)</f>
        <v>0</v>
      </c>
      <c r="Z24" s="17" t="n">
        <f aca="false">IF($H24=0,0,ROUND($G24*N24/$H24,0))</f>
        <v>0</v>
      </c>
      <c r="AA24" s="17" t="n">
        <f aca="false">IF($H24=0,0,ROUND($G24*O24/$H24,0))</f>
        <v>0</v>
      </c>
      <c r="AB24" s="17" t="n">
        <f aca="false">IF($H24=0,0,ROUND($G24*P24/$H24,0))</f>
        <v>0</v>
      </c>
      <c r="AC24" s="17" t="n">
        <f aca="false">IF($H24=0,0,ROUND($G24*Q24/$H24,0))</f>
        <v>0</v>
      </c>
      <c r="AD24" s="17" t="n">
        <f aca="false">IF($H24=0,0,ROUND($G24*R24/$H24,0))</f>
        <v>0</v>
      </c>
      <c r="AE24" s="17" t="n">
        <f aca="false">IF($H24=0,0,ROUND($G24*S24/$H24,0))</f>
        <v>0</v>
      </c>
      <c r="AF24" s="17" t="n">
        <f aca="false">IF($H24=0,0,ROUND($G24*T24/$H24,0))</f>
        <v>0</v>
      </c>
      <c r="AG24" s="17" t="n">
        <f aca="false">IF($H24=0,0,ROUND($G24*U24/$H24,0))</f>
        <v>0</v>
      </c>
      <c r="AH24" s="17" t="n">
        <f aca="false">IF($H24=0,0,ROUND($G24*V24/$H24,0))</f>
        <v>0</v>
      </c>
      <c r="AI24" s="17" t="n">
        <f aca="false">IF($H24=0,0,ROUND($G24*W24/$H24,0))</f>
        <v>0</v>
      </c>
      <c r="AJ24" s="17" t="n">
        <f aca="false">IF($H24=0,0,ROUND($G24*X24/$H24,0))</f>
        <v>0</v>
      </c>
      <c r="AK24" s="17" t="n">
        <f aca="false">IF($H24=0,0,ROUND($G24*Y24/$H24,0))</f>
        <v>0</v>
      </c>
      <c r="AL24" s="17" t="n">
        <f aca="false">SUM(Z24:AK24)</f>
        <v>0</v>
      </c>
      <c r="AM24" s="29" t="n">
        <f aca="false">$AL24-$G24</f>
        <v>0</v>
      </c>
    </row>
    <row r="25" customFormat="false" ht="15" hidden="false" customHeight="false" outlineLevel="0" collapsed="false">
      <c r="A25" s="73" t="n">
        <v>46419</v>
      </c>
      <c r="B25" s="74" t="n">
        <f aca="false">$A25+6</f>
        <v>46425</v>
      </c>
      <c r="C25" s="75" t="n">
        <f aca="false">SUMIFS('Daily Log'!$C$6:$C$376,'Daily Log'!$W$6:$W$376,$A25)</f>
        <v>0</v>
      </c>
      <c r="D25" s="75" t="n">
        <f aca="false">SUMIFS('Daily Log'!$D$6:$D$376,'Daily Log'!$W$6:$W$376,$A25)</f>
        <v>0</v>
      </c>
      <c r="E25" s="75" t="n">
        <f aca="false">SUMIFS('Daily Log'!$E$6:$E$376,'Daily Log'!$W$6:$W$376,$A25)</f>
        <v>0</v>
      </c>
      <c r="F25" s="75" t="n">
        <f aca="false">SUMIFS('Daily Log'!$F$6:$F$376,'Daily Log'!$W$6:$W$376,$A25)</f>
        <v>0</v>
      </c>
      <c r="G25" s="17" t="n">
        <f aca="false">SUMIFS('Daily Log'!$V$6:$V$376,'Daily Log'!$W$6:$W$376,$A25)</f>
        <v>0</v>
      </c>
      <c r="H25" s="75" t="n">
        <f aca="false">SUMIFS('Daily Log'!$T$6:$T$376,'Daily Log'!$W$6:$W$376,$A25)</f>
        <v>0</v>
      </c>
      <c r="I25" s="43" t="str">
        <f aca="false">IF($C25=0,"",$D25/$C25)</f>
        <v/>
      </c>
      <c r="J25" s="13" t="str">
        <f aca="false">IF($H25=0,"",$E25/$H25)</f>
        <v/>
      </c>
      <c r="K25" s="75" t="n">
        <f aca="false">SUMIFS('Daily Log'!$G$6:$G$376,'Daily Log'!$W$6:$W$376,$A25)</f>
        <v>0</v>
      </c>
      <c r="L25" s="76" t="str">
        <f aca="false">IF(OR($E25=0,$K25=0),"",$K25/$E25*1000)</f>
        <v/>
      </c>
      <c r="M25" s="19" t="str">
        <f aca="false">IF(AND($G25&gt;0,$H25=0),"pot not shared - no attendance marked",IF(AND($I25&lt;&gt;"",N($I25)&gt;RejectAlarm),"reject rate high",IF(AND($L25&lt;&gt;"",N(CementNorm)&gt;0),IF(ABS($L25/CementNorm-1)&gt;0.3,"cement use off by &gt;30% - check counts",""),"")))</f>
        <v/>
      </c>
      <c r="N25" s="15" t="n">
        <f aca="false">SUMIFS('Daily Log'!$H$6:$H$376,'Daily Log'!$W$6:$W$376,$A25)</f>
        <v>0</v>
      </c>
      <c r="O25" s="15" t="n">
        <f aca="false">SUMIFS('Daily Log'!$I$6:$I$376,'Daily Log'!$W$6:$W$376,$A25)</f>
        <v>0</v>
      </c>
      <c r="P25" s="15" t="n">
        <f aca="false">SUMIFS('Daily Log'!$J$6:$J$376,'Daily Log'!$W$6:$W$376,$A25)</f>
        <v>0</v>
      </c>
      <c r="Q25" s="15" t="n">
        <f aca="false">SUMIFS('Daily Log'!$K$6:$K$376,'Daily Log'!$W$6:$W$376,$A25)</f>
        <v>0</v>
      </c>
      <c r="R25" s="15" t="n">
        <f aca="false">SUMIFS('Daily Log'!$L$6:$L$376,'Daily Log'!$W$6:$W$376,$A25)</f>
        <v>0</v>
      </c>
      <c r="S25" s="15" t="n">
        <f aca="false">SUMIFS('Daily Log'!$M$6:$M$376,'Daily Log'!$W$6:$W$376,$A25)</f>
        <v>0</v>
      </c>
      <c r="T25" s="15" t="n">
        <f aca="false">SUMIFS('Daily Log'!$N$6:$N$376,'Daily Log'!$W$6:$W$376,$A25)</f>
        <v>0</v>
      </c>
      <c r="U25" s="15" t="n">
        <f aca="false">SUMIFS('Daily Log'!$O$6:$O$376,'Daily Log'!$W$6:$W$376,$A25)</f>
        <v>0</v>
      </c>
      <c r="V25" s="15" t="n">
        <f aca="false">SUMIFS('Daily Log'!$P$6:$P$376,'Daily Log'!$W$6:$W$376,$A25)</f>
        <v>0</v>
      </c>
      <c r="W25" s="15" t="n">
        <f aca="false">SUMIFS('Daily Log'!$Q$6:$Q$376,'Daily Log'!$W$6:$W$376,$A25)</f>
        <v>0</v>
      </c>
      <c r="X25" s="15" t="n">
        <f aca="false">SUMIFS('Daily Log'!$R$6:$R$376,'Daily Log'!$W$6:$W$376,$A25)</f>
        <v>0</v>
      </c>
      <c r="Y25" s="15" t="n">
        <f aca="false">SUMIFS('Daily Log'!$S$6:$S$376,'Daily Log'!$W$6:$W$376,$A25)</f>
        <v>0</v>
      </c>
      <c r="Z25" s="17" t="n">
        <f aca="false">IF($H25=0,0,ROUND($G25*N25/$H25,0))</f>
        <v>0</v>
      </c>
      <c r="AA25" s="17" t="n">
        <f aca="false">IF($H25=0,0,ROUND($G25*O25/$H25,0))</f>
        <v>0</v>
      </c>
      <c r="AB25" s="17" t="n">
        <f aca="false">IF($H25=0,0,ROUND($G25*P25/$H25,0))</f>
        <v>0</v>
      </c>
      <c r="AC25" s="17" t="n">
        <f aca="false">IF($H25=0,0,ROUND($G25*Q25/$H25,0))</f>
        <v>0</v>
      </c>
      <c r="AD25" s="17" t="n">
        <f aca="false">IF($H25=0,0,ROUND($G25*R25/$H25,0))</f>
        <v>0</v>
      </c>
      <c r="AE25" s="17" t="n">
        <f aca="false">IF($H25=0,0,ROUND($G25*S25/$H25,0))</f>
        <v>0</v>
      </c>
      <c r="AF25" s="17" t="n">
        <f aca="false">IF($H25=0,0,ROUND($G25*T25/$H25,0))</f>
        <v>0</v>
      </c>
      <c r="AG25" s="17" t="n">
        <f aca="false">IF($H25=0,0,ROUND($G25*U25/$H25,0))</f>
        <v>0</v>
      </c>
      <c r="AH25" s="17" t="n">
        <f aca="false">IF($H25=0,0,ROUND($G25*V25/$H25,0))</f>
        <v>0</v>
      </c>
      <c r="AI25" s="17" t="n">
        <f aca="false">IF($H25=0,0,ROUND($G25*W25/$H25,0))</f>
        <v>0</v>
      </c>
      <c r="AJ25" s="17" t="n">
        <f aca="false">IF($H25=0,0,ROUND($G25*X25/$H25,0))</f>
        <v>0</v>
      </c>
      <c r="AK25" s="17" t="n">
        <f aca="false">IF($H25=0,0,ROUND($G25*Y25/$H25,0))</f>
        <v>0</v>
      </c>
      <c r="AL25" s="17" t="n">
        <f aca="false">SUM(Z25:AK25)</f>
        <v>0</v>
      </c>
      <c r="AM25" s="29" t="n">
        <f aca="false">$AL25-$G25</f>
        <v>0</v>
      </c>
    </row>
    <row r="26" customFormat="false" ht="15" hidden="false" customHeight="false" outlineLevel="0" collapsed="false">
      <c r="A26" s="73" t="n">
        <v>46426</v>
      </c>
      <c r="B26" s="74" t="n">
        <f aca="false">$A26+6</f>
        <v>46432</v>
      </c>
      <c r="C26" s="75" t="n">
        <f aca="false">SUMIFS('Daily Log'!$C$6:$C$376,'Daily Log'!$W$6:$W$376,$A26)</f>
        <v>0</v>
      </c>
      <c r="D26" s="75" t="n">
        <f aca="false">SUMIFS('Daily Log'!$D$6:$D$376,'Daily Log'!$W$6:$W$376,$A26)</f>
        <v>0</v>
      </c>
      <c r="E26" s="75" t="n">
        <f aca="false">SUMIFS('Daily Log'!$E$6:$E$376,'Daily Log'!$W$6:$W$376,$A26)</f>
        <v>0</v>
      </c>
      <c r="F26" s="75" t="n">
        <f aca="false">SUMIFS('Daily Log'!$F$6:$F$376,'Daily Log'!$W$6:$W$376,$A26)</f>
        <v>0</v>
      </c>
      <c r="G26" s="17" t="n">
        <f aca="false">SUMIFS('Daily Log'!$V$6:$V$376,'Daily Log'!$W$6:$W$376,$A26)</f>
        <v>0</v>
      </c>
      <c r="H26" s="75" t="n">
        <f aca="false">SUMIFS('Daily Log'!$T$6:$T$376,'Daily Log'!$W$6:$W$376,$A26)</f>
        <v>0</v>
      </c>
      <c r="I26" s="43" t="str">
        <f aca="false">IF($C26=0,"",$D26/$C26)</f>
        <v/>
      </c>
      <c r="J26" s="13" t="str">
        <f aca="false">IF($H26=0,"",$E26/$H26)</f>
        <v/>
      </c>
      <c r="K26" s="75" t="n">
        <f aca="false">SUMIFS('Daily Log'!$G$6:$G$376,'Daily Log'!$W$6:$W$376,$A26)</f>
        <v>0</v>
      </c>
      <c r="L26" s="76" t="str">
        <f aca="false">IF(OR($E26=0,$K26=0),"",$K26/$E26*1000)</f>
        <v/>
      </c>
      <c r="M26" s="19" t="str">
        <f aca="false">IF(AND($G26&gt;0,$H26=0),"pot not shared - no attendance marked",IF(AND($I26&lt;&gt;"",N($I26)&gt;RejectAlarm),"reject rate high",IF(AND($L26&lt;&gt;"",N(CementNorm)&gt;0),IF(ABS($L26/CementNorm-1)&gt;0.3,"cement use off by &gt;30% - check counts",""),"")))</f>
        <v/>
      </c>
      <c r="N26" s="15" t="n">
        <f aca="false">SUMIFS('Daily Log'!$H$6:$H$376,'Daily Log'!$W$6:$W$376,$A26)</f>
        <v>0</v>
      </c>
      <c r="O26" s="15" t="n">
        <f aca="false">SUMIFS('Daily Log'!$I$6:$I$376,'Daily Log'!$W$6:$W$376,$A26)</f>
        <v>0</v>
      </c>
      <c r="P26" s="15" t="n">
        <f aca="false">SUMIFS('Daily Log'!$J$6:$J$376,'Daily Log'!$W$6:$W$376,$A26)</f>
        <v>0</v>
      </c>
      <c r="Q26" s="15" t="n">
        <f aca="false">SUMIFS('Daily Log'!$K$6:$K$376,'Daily Log'!$W$6:$W$376,$A26)</f>
        <v>0</v>
      </c>
      <c r="R26" s="15" t="n">
        <f aca="false">SUMIFS('Daily Log'!$L$6:$L$376,'Daily Log'!$W$6:$W$376,$A26)</f>
        <v>0</v>
      </c>
      <c r="S26" s="15" t="n">
        <f aca="false">SUMIFS('Daily Log'!$M$6:$M$376,'Daily Log'!$W$6:$W$376,$A26)</f>
        <v>0</v>
      </c>
      <c r="T26" s="15" t="n">
        <f aca="false">SUMIFS('Daily Log'!$N$6:$N$376,'Daily Log'!$W$6:$W$376,$A26)</f>
        <v>0</v>
      </c>
      <c r="U26" s="15" t="n">
        <f aca="false">SUMIFS('Daily Log'!$O$6:$O$376,'Daily Log'!$W$6:$W$376,$A26)</f>
        <v>0</v>
      </c>
      <c r="V26" s="15" t="n">
        <f aca="false">SUMIFS('Daily Log'!$P$6:$P$376,'Daily Log'!$W$6:$W$376,$A26)</f>
        <v>0</v>
      </c>
      <c r="W26" s="15" t="n">
        <f aca="false">SUMIFS('Daily Log'!$Q$6:$Q$376,'Daily Log'!$W$6:$W$376,$A26)</f>
        <v>0</v>
      </c>
      <c r="X26" s="15" t="n">
        <f aca="false">SUMIFS('Daily Log'!$R$6:$R$376,'Daily Log'!$W$6:$W$376,$A26)</f>
        <v>0</v>
      </c>
      <c r="Y26" s="15" t="n">
        <f aca="false">SUMIFS('Daily Log'!$S$6:$S$376,'Daily Log'!$W$6:$W$376,$A26)</f>
        <v>0</v>
      </c>
      <c r="Z26" s="17" t="n">
        <f aca="false">IF($H26=0,0,ROUND($G26*N26/$H26,0))</f>
        <v>0</v>
      </c>
      <c r="AA26" s="17" t="n">
        <f aca="false">IF($H26=0,0,ROUND($G26*O26/$H26,0))</f>
        <v>0</v>
      </c>
      <c r="AB26" s="17" t="n">
        <f aca="false">IF($H26=0,0,ROUND($G26*P26/$H26,0))</f>
        <v>0</v>
      </c>
      <c r="AC26" s="17" t="n">
        <f aca="false">IF($H26=0,0,ROUND($G26*Q26/$H26,0))</f>
        <v>0</v>
      </c>
      <c r="AD26" s="17" t="n">
        <f aca="false">IF($H26=0,0,ROUND($G26*R26/$H26,0))</f>
        <v>0</v>
      </c>
      <c r="AE26" s="17" t="n">
        <f aca="false">IF($H26=0,0,ROUND($G26*S26/$H26,0))</f>
        <v>0</v>
      </c>
      <c r="AF26" s="17" t="n">
        <f aca="false">IF($H26=0,0,ROUND($G26*T26/$H26,0))</f>
        <v>0</v>
      </c>
      <c r="AG26" s="17" t="n">
        <f aca="false">IF($H26=0,0,ROUND($G26*U26/$H26,0))</f>
        <v>0</v>
      </c>
      <c r="AH26" s="17" t="n">
        <f aca="false">IF($H26=0,0,ROUND($G26*V26/$H26,0))</f>
        <v>0</v>
      </c>
      <c r="AI26" s="17" t="n">
        <f aca="false">IF($H26=0,0,ROUND($G26*W26/$H26,0))</f>
        <v>0</v>
      </c>
      <c r="AJ26" s="17" t="n">
        <f aca="false">IF($H26=0,0,ROUND($G26*X26/$H26,0))</f>
        <v>0</v>
      </c>
      <c r="AK26" s="17" t="n">
        <f aca="false">IF($H26=0,0,ROUND($G26*Y26/$H26,0))</f>
        <v>0</v>
      </c>
      <c r="AL26" s="17" t="n">
        <f aca="false">SUM(Z26:AK26)</f>
        <v>0</v>
      </c>
      <c r="AM26" s="29" t="n">
        <f aca="false">$AL26-$G26</f>
        <v>0</v>
      </c>
    </row>
    <row r="27" customFormat="false" ht="15" hidden="false" customHeight="false" outlineLevel="0" collapsed="false">
      <c r="A27" s="73" t="n">
        <v>46433</v>
      </c>
      <c r="B27" s="74" t="n">
        <f aca="false">$A27+6</f>
        <v>46439</v>
      </c>
      <c r="C27" s="75" t="n">
        <f aca="false">SUMIFS('Daily Log'!$C$6:$C$376,'Daily Log'!$W$6:$W$376,$A27)</f>
        <v>0</v>
      </c>
      <c r="D27" s="75" t="n">
        <f aca="false">SUMIFS('Daily Log'!$D$6:$D$376,'Daily Log'!$W$6:$W$376,$A27)</f>
        <v>0</v>
      </c>
      <c r="E27" s="75" t="n">
        <f aca="false">SUMIFS('Daily Log'!$E$6:$E$376,'Daily Log'!$W$6:$W$376,$A27)</f>
        <v>0</v>
      </c>
      <c r="F27" s="75" t="n">
        <f aca="false">SUMIFS('Daily Log'!$F$6:$F$376,'Daily Log'!$W$6:$W$376,$A27)</f>
        <v>0</v>
      </c>
      <c r="G27" s="17" t="n">
        <f aca="false">SUMIFS('Daily Log'!$V$6:$V$376,'Daily Log'!$W$6:$W$376,$A27)</f>
        <v>0</v>
      </c>
      <c r="H27" s="75" t="n">
        <f aca="false">SUMIFS('Daily Log'!$T$6:$T$376,'Daily Log'!$W$6:$W$376,$A27)</f>
        <v>0</v>
      </c>
      <c r="I27" s="43" t="str">
        <f aca="false">IF($C27=0,"",$D27/$C27)</f>
        <v/>
      </c>
      <c r="J27" s="13" t="str">
        <f aca="false">IF($H27=0,"",$E27/$H27)</f>
        <v/>
      </c>
      <c r="K27" s="75" t="n">
        <f aca="false">SUMIFS('Daily Log'!$G$6:$G$376,'Daily Log'!$W$6:$W$376,$A27)</f>
        <v>0</v>
      </c>
      <c r="L27" s="76" t="str">
        <f aca="false">IF(OR($E27=0,$K27=0),"",$K27/$E27*1000)</f>
        <v/>
      </c>
      <c r="M27" s="19" t="str">
        <f aca="false">IF(AND($G27&gt;0,$H27=0),"pot not shared - no attendance marked",IF(AND($I27&lt;&gt;"",N($I27)&gt;RejectAlarm),"reject rate high",IF(AND($L27&lt;&gt;"",N(CementNorm)&gt;0),IF(ABS($L27/CementNorm-1)&gt;0.3,"cement use off by &gt;30% - check counts",""),"")))</f>
        <v/>
      </c>
      <c r="N27" s="15" t="n">
        <f aca="false">SUMIFS('Daily Log'!$H$6:$H$376,'Daily Log'!$W$6:$W$376,$A27)</f>
        <v>0</v>
      </c>
      <c r="O27" s="15" t="n">
        <f aca="false">SUMIFS('Daily Log'!$I$6:$I$376,'Daily Log'!$W$6:$W$376,$A27)</f>
        <v>0</v>
      </c>
      <c r="P27" s="15" t="n">
        <f aca="false">SUMIFS('Daily Log'!$J$6:$J$376,'Daily Log'!$W$6:$W$376,$A27)</f>
        <v>0</v>
      </c>
      <c r="Q27" s="15" t="n">
        <f aca="false">SUMIFS('Daily Log'!$K$6:$K$376,'Daily Log'!$W$6:$W$376,$A27)</f>
        <v>0</v>
      </c>
      <c r="R27" s="15" t="n">
        <f aca="false">SUMIFS('Daily Log'!$L$6:$L$376,'Daily Log'!$W$6:$W$376,$A27)</f>
        <v>0</v>
      </c>
      <c r="S27" s="15" t="n">
        <f aca="false">SUMIFS('Daily Log'!$M$6:$M$376,'Daily Log'!$W$6:$W$376,$A27)</f>
        <v>0</v>
      </c>
      <c r="T27" s="15" t="n">
        <f aca="false">SUMIFS('Daily Log'!$N$6:$N$376,'Daily Log'!$W$6:$W$376,$A27)</f>
        <v>0</v>
      </c>
      <c r="U27" s="15" t="n">
        <f aca="false">SUMIFS('Daily Log'!$O$6:$O$376,'Daily Log'!$W$6:$W$376,$A27)</f>
        <v>0</v>
      </c>
      <c r="V27" s="15" t="n">
        <f aca="false">SUMIFS('Daily Log'!$P$6:$P$376,'Daily Log'!$W$6:$W$376,$A27)</f>
        <v>0</v>
      </c>
      <c r="W27" s="15" t="n">
        <f aca="false">SUMIFS('Daily Log'!$Q$6:$Q$376,'Daily Log'!$W$6:$W$376,$A27)</f>
        <v>0</v>
      </c>
      <c r="X27" s="15" t="n">
        <f aca="false">SUMIFS('Daily Log'!$R$6:$R$376,'Daily Log'!$W$6:$W$376,$A27)</f>
        <v>0</v>
      </c>
      <c r="Y27" s="15" t="n">
        <f aca="false">SUMIFS('Daily Log'!$S$6:$S$376,'Daily Log'!$W$6:$W$376,$A27)</f>
        <v>0</v>
      </c>
      <c r="Z27" s="17" t="n">
        <f aca="false">IF($H27=0,0,ROUND($G27*N27/$H27,0))</f>
        <v>0</v>
      </c>
      <c r="AA27" s="17" t="n">
        <f aca="false">IF($H27=0,0,ROUND($G27*O27/$H27,0))</f>
        <v>0</v>
      </c>
      <c r="AB27" s="17" t="n">
        <f aca="false">IF($H27=0,0,ROUND($G27*P27/$H27,0))</f>
        <v>0</v>
      </c>
      <c r="AC27" s="17" t="n">
        <f aca="false">IF($H27=0,0,ROUND($G27*Q27/$H27,0))</f>
        <v>0</v>
      </c>
      <c r="AD27" s="17" t="n">
        <f aca="false">IF($H27=0,0,ROUND($G27*R27/$H27,0))</f>
        <v>0</v>
      </c>
      <c r="AE27" s="17" t="n">
        <f aca="false">IF($H27=0,0,ROUND($G27*S27/$H27,0))</f>
        <v>0</v>
      </c>
      <c r="AF27" s="17" t="n">
        <f aca="false">IF($H27=0,0,ROUND($G27*T27/$H27,0))</f>
        <v>0</v>
      </c>
      <c r="AG27" s="17" t="n">
        <f aca="false">IF($H27=0,0,ROUND($G27*U27/$H27,0))</f>
        <v>0</v>
      </c>
      <c r="AH27" s="17" t="n">
        <f aca="false">IF($H27=0,0,ROUND($G27*V27/$H27,0))</f>
        <v>0</v>
      </c>
      <c r="AI27" s="17" t="n">
        <f aca="false">IF($H27=0,0,ROUND($G27*W27/$H27,0))</f>
        <v>0</v>
      </c>
      <c r="AJ27" s="17" t="n">
        <f aca="false">IF($H27=0,0,ROUND($G27*X27/$H27,0))</f>
        <v>0</v>
      </c>
      <c r="AK27" s="17" t="n">
        <f aca="false">IF($H27=0,0,ROUND($G27*Y27/$H27,0))</f>
        <v>0</v>
      </c>
      <c r="AL27" s="17" t="n">
        <f aca="false">SUM(Z27:AK27)</f>
        <v>0</v>
      </c>
      <c r="AM27" s="29" t="n">
        <f aca="false">$AL27-$G27</f>
        <v>0</v>
      </c>
    </row>
    <row r="28" customFormat="false" ht="15" hidden="false" customHeight="false" outlineLevel="0" collapsed="false">
      <c r="A28" s="73" t="n">
        <v>46440</v>
      </c>
      <c r="B28" s="74" t="n">
        <f aca="false">$A28+6</f>
        <v>46446</v>
      </c>
      <c r="C28" s="75" t="n">
        <f aca="false">SUMIFS('Daily Log'!$C$6:$C$376,'Daily Log'!$W$6:$W$376,$A28)</f>
        <v>0</v>
      </c>
      <c r="D28" s="75" t="n">
        <f aca="false">SUMIFS('Daily Log'!$D$6:$D$376,'Daily Log'!$W$6:$W$376,$A28)</f>
        <v>0</v>
      </c>
      <c r="E28" s="75" t="n">
        <f aca="false">SUMIFS('Daily Log'!$E$6:$E$376,'Daily Log'!$W$6:$W$376,$A28)</f>
        <v>0</v>
      </c>
      <c r="F28" s="75" t="n">
        <f aca="false">SUMIFS('Daily Log'!$F$6:$F$376,'Daily Log'!$W$6:$W$376,$A28)</f>
        <v>0</v>
      </c>
      <c r="G28" s="17" t="n">
        <f aca="false">SUMIFS('Daily Log'!$V$6:$V$376,'Daily Log'!$W$6:$W$376,$A28)</f>
        <v>0</v>
      </c>
      <c r="H28" s="75" t="n">
        <f aca="false">SUMIFS('Daily Log'!$T$6:$T$376,'Daily Log'!$W$6:$W$376,$A28)</f>
        <v>0</v>
      </c>
      <c r="I28" s="43" t="str">
        <f aca="false">IF($C28=0,"",$D28/$C28)</f>
        <v/>
      </c>
      <c r="J28" s="13" t="str">
        <f aca="false">IF($H28=0,"",$E28/$H28)</f>
        <v/>
      </c>
      <c r="K28" s="75" t="n">
        <f aca="false">SUMIFS('Daily Log'!$G$6:$G$376,'Daily Log'!$W$6:$W$376,$A28)</f>
        <v>0</v>
      </c>
      <c r="L28" s="76" t="str">
        <f aca="false">IF(OR($E28=0,$K28=0),"",$K28/$E28*1000)</f>
        <v/>
      </c>
      <c r="M28" s="19" t="str">
        <f aca="false">IF(AND($G28&gt;0,$H28=0),"pot not shared - no attendance marked",IF(AND($I28&lt;&gt;"",N($I28)&gt;RejectAlarm),"reject rate high",IF(AND($L28&lt;&gt;"",N(CementNorm)&gt;0),IF(ABS($L28/CementNorm-1)&gt;0.3,"cement use off by &gt;30% - check counts",""),"")))</f>
        <v/>
      </c>
      <c r="N28" s="15" t="n">
        <f aca="false">SUMIFS('Daily Log'!$H$6:$H$376,'Daily Log'!$W$6:$W$376,$A28)</f>
        <v>0</v>
      </c>
      <c r="O28" s="15" t="n">
        <f aca="false">SUMIFS('Daily Log'!$I$6:$I$376,'Daily Log'!$W$6:$W$376,$A28)</f>
        <v>0</v>
      </c>
      <c r="P28" s="15" t="n">
        <f aca="false">SUMIFS('Daily Log'!$J$6:$J$376,'Daily Log'!$W$6:$W$376,$A28)</f>
        <v>0</v>
      </c>
      <c r="Q28" s="15" t="n">
        <f aca="false">SUMIFS('Daily Log'!$K$6:$K$376,'Daily Log'!$W$6:$W$376,$A28)</f>
        <v>0</v>
      </c>
      <c r="R28" s="15" t="n">
        <f aca="false">SUMIFS('Daily Log'!$L$6:$L$376,'Daily Log'!$W$6:$W$376,$A28)</f>
        <v>0</v>
      </c>
      <c r="S28" s="15" t="n">
        <f aca="false">SUMIFS('Daily Log'!$M$6:$M$376,'Daily Log'!$W$6:$W$376,$A28)</f>
        <v>0</v>
      </c>
      <c r="T28" s="15" t="n">
        <f aca="false">SUMIFS('Daily Log'!$N$6:$N$376,'Daily Log'!$W$6:$W$376,$A28)</f>
        <v>0</v>
      </c>
      <c r="U28" s="15" t="n">
        <f aca="false">SUMIFS('Daily Log'!$O$6:$O$376,'Daily Log'!$W$6:$W$376,$A28)</f>
        <v>0</v>
      </c>
      <c r="V28" s="15" t="n">
        <f aca="false">SUMIFS('Daily Log'!$P$6:$P$376,'Daily Log'!$W$6:$W$376,$A28)</f>
        <v>0</v>
      </c>
      <c r="W28" s="15" t="n">
        <f aca="false">SUMIFS('Daily Log'!$Q$6:$Q$376,'Daily Log'!$W$6:$W$376,$A28)</f>
        <v>0</v>
      </c>
      <c r="X28" s="15" t="n">
        <f aca="false">SUMIFS('Daily Log'!$R$6:$R$376,'Daily Log'!$W$6:$W$376,$A28)</f>
        <v>0</v>
      </c>
      <c r="Y28" s="15" t="n">
        <f aca="false">SUMIFS('Daily Log'!$S$6:$S$376,'Daily Log'!$W$6:$W$376,$A28)</f>
        <v>0</v>
      </c>
      <c r="Z28" s="17" t="n">
        <f aca="false">IF($H28=0,0,ROUND($G28*N28/$H28,0))</f>
        <v>0</v>
      </c>
      <c r="AA28" s="17" t="n">
        <f aca="false">IF($H28=0,0,ROUND($G28*O28/$H28,0))</f>
        <v>0</v>
      </c>
      <c r="AB28" s="17" t="n">
        <f aca="false">IF($H28=0,0,ROUND($G28*P28/$H28,0))</f>
        <v>0</v>
      </c>
      <c r="AC28" s="17" t="n">
        <f aca="false">IF($H28=0,0,ROUND($G28*Q28/$H28,0))</f>
        <v>0</v>
      </c>
      <c r="AD28" s="17" t="n">
        <f aca="false">IF($H28=0,0,ROUND($G28*R28/$H28,0))</f>
        <v>0</v>
      </c>
      <c r="AE28" s="17" t="n">
        <f aca="false">IF($H28=0,0,ROUND($G28*S28/$H28,0))</f>
        <v>0</v>
      </c>
      <c r="AF28" s="17" t="n">
        <f aca="false">IF($H28=0,0,ROUND($G28*T28/$H28,0))</f>
        <v>0</v>
      </c>
      <c r="AG28" s="17" t="n">
        <f aca="false">IF($H28=0,0,ROUND($G28*U28/$H28,0))</f>
        <v>0</v>
      </c>
      <c r="AH28" s="17" t="n">
        <f aca="false">IF($H28=0,0,ROUND($G28*V28/$H28,0))</f>
        <v>0</v>
      </c>
      <c r="AI28" s="17" t="n">
        <f aca="false">IF($H28=0,0,ROUND($G28*W28/$H28,0))</f>
        <v>0</v>
      </c>
      <c r="AJ28" s="17" t="n">
        <f aca="false">IF($H28=0,0,ROUND($G28*X28/$H28,0))</f>
        <v>0</v>
      </c>
      <c r="AK28" s="17" t="n">
        <f aca="false">IF($H28=0,0,ROUND($G28*Y28/$H28,0))</f>
        <v>0</v>
      </c>
      <c r="AL28" s="17" t="n">
        <f aca="false">SUM(Z28:AK28)</f>
        <v>0</v>
      </c>
      <c r="AM28" s="29" t="n">
        <f aca="false">$AL28-$G28</f>
        <v>0</v>
      </c>
    </row>
    <row r="29" customFormat="false" ht="15" hidden="false" customHeight="false" outlineLevel="0" collapsed="false">
      <c r="A29" s="73" t="n">
        <v>46447</v>
      </c>
      <c r="B29" s="74" t="n">
        <f aca="false">$A29+6</f>
        <v>46453</v>
      </c>
      <c r="C29" s="75" t="n">
        <f aca="false">SUMIFS('Daily Log'!$C$6:$C$376,'Daily Log'!$W$6:$W$376,$A29)</f>
        <v>0</v>
      </c>
      <c r="D29" s="75" t="n">
        <f aca="false">SUMIFS('Daily Log'!$D$6:$D$376,'Daily Log'!$W$6:$W$376,$A29)</f>
        <v>0</v>
      </c>
      <c r="E29" s="75" t="n">
        <f aca="false">SUMIFS('Daily Log'!$E$6:$E$376,'Daily Log'!$W$6:$W$376,$A29)</f>
        <v>0</v>
      </c>
      <c r="F29" s="75" t="n">
        <f aca="false">SUMIFS('Daily Log'!$F$6:$F$376,'Daily Log'!$W$6:$W$376,$A29)</f>
        <v>0</v>
      </c>
      <c r="G29" s="17" t="n">
        <f aca="false">SUMIFS('Daily Log'!$V$6:$V$376,'Daily Log'!$W$6:$W$376,$A29)</f>
        <v>0</v>
      </c>
      <c r="H29" s="75" t="n">
        <f aca="false">SUMIFS('Daily Log'!$T$6:$T$376,'Daily Log'!$W$6:$W$376,$A29)</f>
        <v>0</v>
      </c>
      <c r="I29" s="43" t="str">
        <f aca="false">IF($C29=0,"",$D29/$C29)</f>
        <v/>
      </c>
      <c r="J29" s="13" t="str">
        <f aca="false">IF($H29=0,"",$E29/$H29)</f>
        <v/>
      </c>
      <c r="K29" s="75" t="n">
        <f aca="false">SUMIFS('Daily Log'!$G$6:$G$376,'Daily Log'!$W$6:$W$376,$A29)</f>
        <v>0</v>
      </c>
      <c r="L29" s="76" t="str">
        <f aca="false">IF(OR($E29=0,$K29=0),"",$K29/$E29*1000)</f>
        <v/>
      </c>
      <c r="M29" s="19" t="str">
        <f aca="false">IF(AND($G29&gt;0,$H29=0),"pot not shared - no attendance marked",IF(AND($I29&lt;&gt;"",N($I29)&gt;RejectAlarm),"reject rate high",IF(AND($L29&lt;&gt;"",N(CementNorm)&gt;0),IF(ABS($L29/CementNorm-1)&gt;0.3,"cement use off by &gt;30% - check counts",""),"")))</f>
        <v/>
      </c>
      <c r="N29" s="15" t="n">
        <f aca="false">SUMIFS('Daily Log'!$H$6:$H$376,'Daily Log'!$W$6:$W$376,$A29)</f>
        <v>0</v>
      </c>
      <c r="O29" s="15" t="n">
        <f aca="false">SUMIFS('Daily Log'!$I$6:$I$376,'Daily Log'!$W$6:$W$376,$A29)</f>
        <v>0</v>
      </c>
      <c r="P29" s="15" t="n">
        <f aca="false">SUMIFS('Daily Log'!$J$6:$J$376,'Daily Log'!$W$6:$W$376,$A29)</f>
        <v>0</v>
      </c>
      <c r="Q29" s="15" t="n">
        <f aca="false">SUMIFS('Daily Log'!$K$6:$K$376,'Daily Log'!$W$6:$W$376,$A29)</f>
        <v>0</v>
      </c>
      <c r="R29" s="15" t="n">
        <f aca="false">SUMIFS('Daily Log'!$L$6:$L$376,'Daily Log'!$W$6:$W$376,$A29)</f>
        <v>0</v>
      </c>
      <c r="S29" s="15" t="n">
        <f aca="false">SUMIFS('Daily Log'!$M$6:$M$376,'Daily Log'!$W$6:$W$376,$A29)</f>
        <v>0</v>
      </c>
      <c r="T29" s="15" t="n">
        <f aca="false">SUMIFS('Daily Log'!$N$6:$N$376,'Daily Log'!$W$6:$W$376,$A29)</f>
        <v>0</v>
      </c>
      <c r="U29" s="15" t="n">
        <f aca="false">SUMIFS('Daily Log'!$O$6:$O$376,'Daily Log'!$W$6:$W$376,$A29)</f>
        <v>0</v>
      </c>
      <c r="V29" s="15" t="n">
        <f aca="false">SUMIFS('Daily Log'!$P$6:$P$376,'Daily Log'!$W$6:$W$376,$A29)</f>
        <v>0</v>
      </c>
      <c r="W29" s="15" t="n">
        <f aca="false">SUMIFS('Daily Log'!$Q$6:$Q$376,'Daily Log'!$W$6:$W$376,$A29)</f>
        <v>0</v>
      </c>
      <c r="X29" s="15" t="n">
        <f aca="false">SUMIFS('Daily Log'!$R$6:$R$376,'Daily Log'!$W$6:$W$376,$A29)</f>
        <v>0</v>
      </c>
      <c r="Y29" s="15" t="n">
        <f aca="false">SUMIFS('Daily Log'!$S$6:$S$376,'Daily Log'!$W$6:$W$376,$A29)</f>
        <v>0</v>
      </c>
      <c r="Z29" s="17" t="n">
        <f aca="false">IF($H29=0,0,ROUND($G29*N29/$H29,0))</f>
        <v>0</v>
      </c>
      <c r="AA29" s="17" t="n">
        <f aca="false">IF($H29=0,0,ROUND($G29*O29/$H29,0))</f>
        <v>0</v>
      </c>
      <c r="AB29" s="17" t="n">
        <f aca="false">IF($H29=0,0,ROUND($G29*P29/$H29,0))</f>
        <v>0</v>
      </c>
      <c r="AC29" s="17" t="n">
        <f aca="false">IF($H29=0,0,ROUND($G29*Q29/$H29,0))</f>
        <v>0</v>
      </c>
      <c r="AD29" s="17" t="n">
        <f aca="false">IF($H29=0,0,ROUND($G29*R29/$H29,0))</f>
        <v>0</v>
      </c>
      <c r="AE29" s="17" t="n">
        <f aca="false">IF($H29=0,0,ROUND($G29*S29/$H29,0))</f>
        <v>0</v>
      </c>
      <c r="AF29" s="17" t="n">
        <f aca="false">IF($H29=0,0,ROUND($G29*T29/$H29,0))</f>
        <v>0</v>
      </c>
      <c r="AG29" s="17" t="n">
        <f aca="false">IF($H29=0,0,ROUND($G29*U29/$H29,0))</f>
        <v>0</v>
      </c>
      <c r="AH29" s="17" t="n">
        <f aca="false">IF($H29=0,0,ROUND($G29*V29/$H29,0))</f>
        <v>0</v>
      </c>
      <c r="AI29" s="17" t="n">
        <f aca="false">IF($H29=0,0,ROUND($G29*W29/$H29,0))</f>
        <v>0</v>
      </c>
      <c r="AJ29" s="17" t="n">
        <f aca="false">IF($H29=0,0,ROUND($G29*X29/$H29,0))</f>
        <v>0</v>
      </c>
      <c r="AK29" s="17" t="n">
        <f aca="false">IF($H29=0,0,ROUND($G29*Y29/$H29,0))</f>
        <v>0</v>
      </c>
      <c r="AL29" s="17" t="n">
        <f aca="false">SUM(Z29:AK29)</f>
        <v>0</v>
      </c>
      <c r="AM29" s="29" t="n">
        <f aca="false">$AL29-$G29</f>
        <v>0</v>
      </c>
    </row>
    <row r="30" customFormat="false" ht="15" hidden="false" customHeight="false" outlineLevel="0" collapsed="false">
      <c r="A30" s="73" t="n">
        <v>46454</v>
      </c>
      <c r="B30" s="74" t="n">
        <f aca="false">$A30+6</f>
        <v>46460</v>
      </c>
      <c r="C30" s="75" t="n">
        <f aca="false">SUMIFS('Daily Log'!$C$6:$C$376,'Daily Log'!$W$6:$W$376,$A30)</f>
        <v>0</v>
      </c>
      <c r="D30" s="75" t="n">
        <f aca="false">SUMIFS('Daily Log'!$D$6:$D$376,'Daily Log'!$W$6:$W$376,$A30)</f>
        <v>0</v>
      </c>
      <c r="E30" s="75" t="n">
        <f aca="false">SUMIFS('Daily Log'!$E$6:$E$376,'Daily Log'!$W$6:$W$376,$A30)</f>
        <v>0</v>
      </c>
      <c r="F30" s="75" t="n">
        <f aca="false">SUMIFS('Daily Log'!$F$6:$F$376,'Daily Log'!$W$6:$W$376,$A30)</f>
        <v>0</v>
      </c>
      <c r="G30" s="17" t="n">
        <f aca="false">SUMIFS('Daily Log'!$V$6:$V$376,'Daily Log'!$W$6:$W$376,$A30)</f>
        <v>0</v>
      </c>
      <c r="H30" s="75" t="n">
        <f aca="false">SUMIFS('Daily Log'!$T$6:$T$376,'Daily Log'!$W$6:$W$376,$A30)</f>
        <v>0</v>
      </c>
      <c r="I30" s="43" t="str">
        <f aca="false">IF($C30=0,"",$D30/$C30)</f>
        <v/>
      </c>
      <c r="J30" s="13" t="str">
        <f aca="false">IF($H30=0,"",$E30/$H30)</f>
        <v/>
      </c>
      <c r="K30" s="75" t="n">
        <f aca="false">SUMIFS('Daily Log'!$G$6:$G$376,'Daily Log'!$W$6:$W$376,$A30)</f>
        <v>0</v>
      </c>
      <c r="L30" s="76" t="str">
        <f aca="false">IF(OR($E30=0,$K30=0),"",$K30/$E30*1000)</f>
        <v/>
      </c>
      <c r="M30" s="19" t="str">
        <f aca="false">IF(AND($G30&gt;0,$H30=0),"pot not shared - no attendance marked",IF(AND($I30&lt;&gt;"",N($I30)&gt;RejectAlarm),"reject rate high",IF(AND($L30&lt;&gt;"",N(CementNorm)&gt;0),IF(ABS($L30/CementNorm-1)&gt;0.3,"cement use off by &gt;30% - check counts",""),"")))</f>
        <v/>
      </c>
      <c r="N30" s="15" t="n">
        <f aca="false">SUMIFS('Daily Log'!$H$6:$H$376,'Daily Log'!$W$6:$W$376,$A30)</f>
        <v>0</v>
      </c>
      <c r="O30" s="15" t="n">
        <f aca="false">SUMIFS('Daily Log'!$I$6:$I$376,'Daily Log'!$W$6:$W$376,$A30)</f>
        <v>0</v>
      </c>
      <c r="P30" s="15" t="n">
        <f aca="false">SUMIFS('Daily Log'!$J$6:$J$376,'Daily Log'!$W$6:$W$376,$A30)</f>
        <v>0</v>
      </c>
      <c r="Q30" s="15" t="n">
        <f aca="false">SUMIFS('Daily Log'!$K$6:$K$376,'Daily Log'!$W$6:$W$376,$A30)</f>
        <v>0</v>
      </c>
      <c r="R30" s="15" t="n">
        <f aca="false">SUMIFS('Daily Log'!$L$6:$L$376,'Daily Log'!$W$6:$W$376,$A30)</f>
        <v>0</v>
      </c>
      <c r="S30" s="15" t="n">
        <f aca="false">SUMIFS('Daily Log'!$M$6:$M$376,'Daily Log'!$W$6:$W$376,$A30)</f>
        <v>0</v>
      </c>
      <c r="T30" s="15" t="n">
        <f aca="false">SUMIFS('Daily Log'!$N$6:$N$376,'Daily Log'!$W$6:$W$376,$A30)</f>
        <v>0</v>
      </c>
      <c r="U30" s="15" t="n">
        <f aca="false">SUMIFS('Daily Log'!$O$6:$O$376,'Daily Log'!$W$6:$W$376,$A30)</f>
        <v>0</v>
      </c>
      <c r="V30" s="15" t="n">
        <f aca="false">SUMIFS('Daily Log'!$P$6:$P$376,'Daily Log'!$W$6:$W$376,$A30)</f>
        <v>0</v>
      </c>
      <c r="W30" s="15" t="n">
        <f aca="false">SUMIFS('Daily Log'!$Q$6:$Q$376,'Daily Log'!$W$6:$W$376,$A30)</f>
        <v>0</v>
      </c>
      <c r="X30" s="15" t="n">
        <f aca="false">SUMIFS('Daily Log'!$R$6:$R$376,'Daily Log'!$W$6:$W$376,$A30)</f>
        <v>0</v>
      </c>
      <c r="Y30" s="15" t="n">
        <f aca="false">SUMIFS('Daily Log'!$S$6:$S$376,'Daily Log'!$W$6:$W$376,$A30)</f>
        <v>0</v>
      </c>
      <c r="Z30" s="17" t="n">
        <f aca="false">IF($H30=0,0,ROUND($G30*N30/$H30,0))</f>
        <v>0</v>
      </c>
      <c r="AA30" s="17" t="n">
        <f aca="false">IF($H30=0,0,ROUND($G30*O30/$H30,0))</f>
        <v>0</v>
      </c>
      <c r="AB30" s="17" t="n">
        <f aca="false">IF($H30=0,0,ROUND($G30*P30/$H30,0))</f>
        <v>0</v>
      </c>
      <c r="AC30" s="17" t="n">
        <f aca="false">IF($H30=0,0,ROUND($G30*Q30/$H30,0))</f>
        <v>0</v>
      </c>
      <c r="AD30" s="17" t="n">
        <f aca="false">IF($H30=0,0,ROUND($G30*R30/$H30,0))</f>
        <v>0</v>
      </c>
      <c r="AE30" s="17" t="n">
        <f aca="false">IF($H30=0,0,ROUND($G30*S30/$H30,0))</f>
        <v>0</v>
      </c>
      <c r="AF30" s="17" t="n">
        <f aca="false">IF($H30=0,0,ROUND($G30*T30/$H30,0))</f>
        <v>0</v>
      </c>
      <c r="AG30" s="17" t="n">
        <f aca="false">IF($H30=0,0,ROUND($G30*U30/$H30,0))</f>
        <v>0</v>
      </c>
      <c r="AH30" s="17" t="n">
        <f aca="false">IF($H30=0,0,ROUND($G30*V30/$H30,0))</f>
        <v>0</v>
      </c>
      <c r="AI30" s="17" t="n">
        <f aca="false">IF($H30=0,0,ROUND($G30*W30/$H30,0))</f>
        <v>0</v>
      </c>
      <c r="AJ30" s="17" t="n">
        <f aca="false">IF($H30=0,0,ROUND($G30*X30/$H30,0))</f>
        <v>0</v>
      </c>
      <c r="AK30" s="17" t="n">
        <f aca="false">IF($H30=0,0,ROUND($G30*Y30/$H30,0))</f>
        <v>0</v>
      </c>
      <c r="AL30" s="17" t="n">
        <f aca="false">SUM(Z30:AK30)</f>
        <v>0</v>
      </c>
      <c r="AM30" s="29" t="n">
        <f aca="false">$AL30-$G30</f>
        <v>0</v>
      </c>
    </row>
    <row r="31" customFormat="false" ht="15" hidden="false" customHeight="false" outlineLevel="0" collapsed="false">
      <c r="A31" s="73" t="n">
        <v>46461</v>
      </c>
      <c r="B31" s="74" t="n">
        <f aca="false">$A31+6</f>
        <v>46467</v>
      </c>
      <c r="C31" s="75" t="n">
        <f aca="false">SUMIFS('Daily Log'!$C$6:$C$376,'Daily Log'!$W$6:$W$376,$A31)</f>
        <v>0</v>
      </c>
      <c r="D31" s="75" t="n">
        <f aca="false">SUMIFS('Daily Log'!$D$6:$D$376,'Daily Log'!$W$6:$W$376,$A31)</f>
        <v>0</v>
      </c>
      <c r="E31" s="75" t="n">
        <f aca="false">SUMIFS('Daily Log'!$E$6:$E$376,'Daily Log'!$W$6:$W$376,$A31)</f>
        <v>0</v>
      </c>
      <c r="F31" s="75" t="n">
        <f aca="false">SUMIFS('Daily Log'!$F$6:$F$376,'Daily Log'!$W$6:$W$376,$A31)</f>
        <v>0</v>
      </c>
      <c r="G31" s="17" t="n">
        <f aca="false">SUMIFS('Daily Log'!$V$6:$V$376,'Daily Log'!$W$6:$W$376,$A31)</f>
        <v>0</v>
      </c>
      <c r="H31" s="75" t="n">
        <f aca="false">SUMIFS('Daily Log'!$T$6:$T$376,'Daily Log'!$W$6:$W$376,$A31)</f>
        <v>0</v>
      </c>
      <c r="I31" s="43" t="str">
        <f aca="false">IF($C31=0,"",$D31/$C31)</f>
        <v/>
      </c>
      <c r="J31" s="13" t="str">
        <f aca="false">IF($H31=0,"",$E31/$H31)</f>
        <v/>
      </c>
      <c r="K31" s="75" t="n">
        <f aca="false">SUMIFS('Daily Log'!$G$6:$G$376,'Daily Log'!$W$6:$W$376,$A31)</f>
        <v>0</v>
      </c>
      <c r="L31" s="76" t="str">
        <f aca="false">IF(OR($E31=0,$K31=0),"",$K31/$E31*1000)</f>
        <v/>
      </c>
      <c r="M31" s="19" t="str">
        <f aca="false">IF(AND($G31&gt;0,$H31=0),"pot not shared - no attendance marked",IF(AND($I31&lt;&gt;"",N($I31)&gt;RejectAlarm),"reject rate high",IF(AND($L31&lt;&gt;"",N(CementNorm)&gt;0),IF(ABS($L31/CementNorm-1)&gt;0.3,"cement use off by &gt;30% - check counts",""),"")))</f>
        <v/>
      </c>
      <c r="N31" s="15" t="n">
        <f aca="false">SUMIFS('Daily Log'!$H$6:$H$376,'Daily Log'!$W$6:$W$376,$A31)</f>
        <v>0</v>
      </c>
      <c r="O31" s="15" t="n">
        <f aca="false">SUMIFS('Daily Log'!$I$6:$I$376,'Daily Log'!$W$6:$W$376,$A31)</f>
        <v>0</v>
      </c>
      <c r="P31" s="15" t="n">
        <f aca="false">SUMIFS('Daily Log'!$J$6:$J$376,'Daily Log'!$W$6:$W$376,$A31)</f>
        <v>0</v>
      </c>
      <c r="Q31" s="15" t="n">
        <f aca="false">SUMIFS('Daily Log'!$K$6:$K$376,'Daily Log'!$W$6:$W$376,$A31)</f>
        <v>0</v>
      </c>
      <c r="R31" s="15" t="n">
        <f aca="false">SUMIFS('Daily Log'!$L$6:$L$376,'Daily Log'!$W$6:$W$376,$A31)</f>
        <v>0</v>
      </c>
      <c r="S31" s="15" t="n">
        <f aca="false">SUMIFS('Daily Log'!$M$6:$M$376,'Daily Log'!$W$6:$W$376,$A31)</f>
        <v>0</v>
      </c>
      <c r="T31" s="15" t="n">
        <f aca="false">SUMIFS('Daily Log'!$N$6:$N$376,'Daily Log'!$W$6:$W$376,$A31)</f>
        <v>0</v>
      </c>
      <c r="U31" s="15" t="n">
        <f aca="false">SUMIFS('Daily Log'!$O$6:$O$376,'Daily Log'!$W$6:$W$376,$A31)</f>
        <v>0</v>
      </c>
      <c r="V31" s="15" t="n">
        <f aca="false">SUMIFS('Daily Log'!$P$6:$P$376,'Daily Log'!$W$6:$W$376,$A31)</f>
        <v>0</v>
      </c>
      <c r="W31" s="15" t="n">
        <f aca="false">SUMIFS('Daily Log'!$Q$6:$Q$376,'Daily Log'!$W$6:$W$376,$A31)</f>
        <v>0</v>
      </c>
      <c r="X31" s="15" t="n">
        <f aca="false">SUMIFS('Daily Log'!$R$6:$R$376,'Daily Log'!$W$6:$W$376,$A31)</f>
        <v>0</v>
      </c>
      <c r="Y31" s="15" t="n">
        <f aca="false">SUMIFS('Daily Log'!$S$6:$S$376,'Daily Log'!$W$6:$W$376,$A31)</f>
        <v>0</v>
      </c>
      <c r="Z31" s="17" t="n">
        <f aca="false">IF($H31=0,0,ROUND($G31*N31/$H31,0))</f>
        <v>0</v>
      </c>
      <c r="AA31" s="17" t="n">
        <f aca="false">IF($H31=0,0,ROUND($G31*O31/$H31,0))</f>
        <v>0</v>
      </c>
      <c r="AB31" s="17" t="n">
        <f aca="false">IF($H31=0,0,ROUND($G31*P31/$H31,0))</f>
        <v>0</v>
      </c>
      <c r="AC31" s="17" t="n">
        <f aca="false">IF($H31=0,0,ROUND($G31*Q31/$H31,0))</f>
        <v>0</v>
      </c>
      <c r="AD31" s="17" t="n">
        <f aca="false">IF($H31=0,0,ROUND($G31*R31/$H31,0))</f>
        <v>0</v>
      </c>
      <c r="AE31" s="17" t="n">
        <f aca="false">IF($H31=0,0,ROUND($G31*S31/$H31,0))</f>
        <v>0</v>
      </c>
      <c r="AF31" s="17" t="n">
        <f aca="false">IF($H31=0,0,ROUND($G31*T31/$H31,0))</f>
        <v>0</v>
      </c>
      <c r="AG31" s="17" t="n">
        <f aca="false">IF($H31=0,0,ROUND($G31*U31/$H31,0))</f>
        <v>0</v>
      </c>
      <c r="AH31" s="17" t="n">
        <f aca="false">IF($H31=0,0,ROUND($G31*V31/$H31,0))</f>
        <v>0</v>
      </c>
      <c r="AI31" s="17" t="n">
        <f aca="false">IF($H31=0,0,ROUND($G31*W31/$H31,0))</f>
        <v>0</v>
      </c>
      <c r="AJ31" s="17" t="n">
        <f aca="false">IF($H31=0,0,ROUND($G31*X31/$H31,0))</f>
        <v>0</v>
      </c>
      <c r="AK31" s="17" t="n">
        <f aca="false">IF($H31=0,0,ROUND($G31*Y31/$H31,0))</f>
        <v>0</v>
      </c>
      <c r="AL31" s="17" t="n">
        <f aca="false">SUM(Z31:AK31)</f>
        <v>0</v>
      </c>
      <c r="AM31" s="29" t="n">
        <f aca="false">$AL31-$G31</f>
        <v>0</v>
      </c>
    </row>
    <row r="32" customFormat="false" ht="15" hidden="false" customHeight="false" outlineLevel="0" collapsed="false">
      <c r="A32" s="73" t="n">
        <v>46468</v>
      </c>
      <c r="B32" s="74" t="n">
        <f aca="false">$A32+6</f>
        <v>46474</v>
      </c>
      <c r="C32" s="75" t="n">
        <f aca="false">SUMIFS('Daily Log'!$C$6:$C$376,'Daily Log'!$W$6:$W$376,$A32)</f>
        <v>0</v>
      </c>
      <c r="D32" s="75" t="n">
        <f aca="false">SUMIFS('Daily Log'!$D$6:$D$376,'Daily Log'!$W$6:$W$376,$A32)</f>
        <v>0</v>
      </c>
      <c r="E32" s="75" t="n">
        <f aca="false">SUMIFS('Daily Log'!$E$6:$E$376,'Daily Log'!$W$6:$W$376,$A32)</f>
        <v>0</v>
      </c>
      <c r="F32" s="75" t="n">
        <f aca="false">SUMIFS('Daily Log'!$F$6:$F$376,'Daily Log'!$W$6:$W$376,$A32)</f>
        <v>0</v>
      </c>
      <c r="G32" s="17" t="n">
        <f aca="false">SUMIFS('Daily Log'!$V$6:$V$376,'Daily Log'!$W$6:$W$376,$A32)</f>
        <v>0</v>
      </c>
      <c r="H32" s="75" t="n">
        <f aca="false">SUMIFS('Daily Log'!$T$6:$T$376,'Daily Log'!$W$6:$W$376,$A32)</f>
        <v>0</v>
      </c>
      <c r="I32" s="43" t="str">
        <f aca="false">IF($C32=0,"",$D32/$C32)</f>
        <v/>
      </c>
      <c r="J32" s="13" t="str">
        <f aca="false">IF($H32=0,"",$E32/$H32)</f>
        <v/>
      </c>
      <c r="K32" s="75" t="n">
        <f aca="false">SUMIFS('Daily Log'!$G$6:$G$376,'Daily Log'!$W$6:$W$376,$A32)</f>
        <v>0</v>
      </c>
      <c r="L32" s="76" t="str">
        <f aca="false">IF(OR($E32=0,$K32=0),"",$K32/$E32*1000)</f>
        <v/>
      </c>
      <c r="M32" s="19" t="str">
        <f aca="false">IF(AND($G32&gt;0,$H32=0),"pot not shared - no attendance marked",IF(AND($I32&lt;&gt;"",N($I32)&gt;RejectAlarm),"reject rate high",IF(AND($L32&lt;&gt;"",N(CementNorm)&gt;0),IF(ABS($L32/CementNorm-1)&gt;0.3,"cement use off by &gt;30% - check counts",""),"")))</f>
        <v/>
      </c>
      <c r="N32" s="15" t="n">
        <f aca="false">SUMIFS('Daily Log'!$H$6:$H$376,'Daily Log'!$W$6:$W$376,$A32)</f>
        <v>0</v>
      </c>
      <c r="O32" s="15" t="n">
        <f aca="false">SUMIFS('Daily Log'!$I$6:$I$376,'Daily Log'!$W$6:$W$376,$A32)</f>
        <v>0</v>
      </c>
      <c r="P32" s="15" t="n">
        <f aca="false">SUMIFS('Daily Log'!$J$6:$J$376,'Daily Log'!$W$6:$W$376,$A32)</f>
        <v>0</v>
      </c>
      <c r="Q32" s="15" t="n">
        <f aca="false">SUMIFS('Daily Log'!$K$6:$K$376,'Daily Log'!$W$6:$W$376,$A32)</f>
        <v>0</v>
      </c>
      <c r="R32" s="15" t="n">
        <f aca="false">SUMIFS('Daily Log'!$L$6:$L$376,'Daily Log'!$W$6:$W$376,$A32)</f>
        <v>0</v>
      </c>
      <c r="S32" s="15" t="n">
        <f aca="false">SUMIFS('Daily Log'!$M$6:$M$376,'Daily Log'!$W$6:$W$376,$A32)</f>
        <v>0</v>
      </c>
      <c r="T32" s="15" t="n">
        <f aca="false">SUMIFS('Daily Log'!$N$6:$N$376,'Daily Log'!$W$6:$W$376,$A32)</f>
        <v>0</v>
      </c>
      <c r="U32" s="15" t="n">
        <f aca="false">SUMIFS('Daily Log'!$O$6:$O$376,'Daily Log'!$W$6:$W$376,$A32)</f>
        <v>0</v>
      </c>
      <c r="V32" s="15" t="n">
        <f aca="false">SUMIFS('Daily Log'!$P$6:$P$376,'Daily Log'!$W$6:$W$376,$A32)</f>
        <v>0</v>
      </c>
      <c r="W32" s="15" t="n">
        <f aca="false">SUMIFS('Daily Log'!$Q$6:$Q$376,'Daily Log'!$W$6:$W$376,$A32)</f>
        <v>0</v>
      </c>
      <c r="X32" s="15" t="n">
        <f aca="false">SUMIFS('Daily Log'!$R$6:$R$376,'Daily Log'!$W$6:$W$376,$A32)</f>
        <v>0</v>
      </c>
      <c r="Y32" s="15" t="n">
        <f aca="false">SUMIFS('Daily Log'!$S$6:$S$376,'Daily Log'!$W$6:$W$376,$A32)</f>
        <v>0</v>
      </c>
      <c r="Z32" s="17" t="n">
        <f aca="false">IF($H32=0,0,ROUND($G32*N32/$H32,0))</f>
        <v>0</v>
      </c>
      <c r="AA32" s="17" t="n">
        <f aca="false">IF($H32=0,0,ROUND($G32*O32/$H32,0))</f>
        <v>0</v>
      </c>
      <c r="AB32" s="17" t="n">
        <f aca="false">IF($H32=0,0,ROUND($G32*P32/$H32,0))</f>
        <v>0</v>
      </c>
      <c r="AC32" s="17" t="n">
        <f aca="false">IF($H32=0,0,ROUND($G32*Q32/$H32,0))</f>
        <v>0</v>
      </c>
      <c r="AD32" s="17" t="n">
        <f aca="false">IF($H32=0,0,ROUND($G32*R32/$H32,0))</f>
        <v>0</v>
      </c>
      <c r="AE32" s="17" t="n">
        <f aca="false">IF($H32=0,0,ROUND($G32*S32/$H32,0))</f>
        <v>0</v>
      </c>
      <c r="AF32" s="17" t="n">
        <f aca="false">IF($H32=0,0,ROUND($G32*T32/$H32,0))</f>
        <v>0</v>
      </c>
      <c r="AG32" s="17" t="n">
        <f aca="false">IF($H32=0,0,ROUND($G32*U32/$H32,0))</f>
        <v>0</v>
      </c>
      <c r="AH32" s="17" t="n">
        <f aca="false">IF($H32=0,0,ROUND($G32*V32/$H32,0))</f>
        <v>0</v>
      </c>
      <c r="AI32" s="17" t="n">
        <f aca="false">IF($H32=0,0,ROUND($G32*W32/$H32,0))</f>
        <v>0</v>
      </c>
      <c r="AJ32" s="17" t="n">
        <f aca="false">IF($H32=0,0,ROUND($G32*X32/$H32,0))</f>
        <v>0</v>
      </c>
      <c r="AK32" s="17" t="n">
        <f aca="false">IF($H32=0,0,ROUND($G32*Y32/$H32,0))</f>
        <v>0</v>
      </c>
      <c r="AL32" s="17" t="n">
        <f aca="false">SUM(Z32:AK32)</f>
        <v>0</v>
      </c>
      <c r="AM32" s="29" t="n">
        <f aca="false">$AL32-$G32</f>
        <v>0</v>
      </c>
    </row>
    <row r="33" customFormat="false" ht="15" hidden="false" customHeight="false" outlineLevel="0" collapsed="false">
      <c r="A33" s="73" t="n">
        <v>46475</v>
      </c>
      <c r="B33" s="74" t="n">
        <f aca="false">$A33+6</f>
        <v>46481</v>
      </c>
      <c r="C33" s="75" t="n">
        <f aca="false">SUMIFS('Daily Log'!$C$6:$C$376,'Daily Log'!$W$6:$W$376,$A33)</f>
        <v>0</v>
      </c>
      <c r="D33" s="75" t="n">
        <f aca="false">SUMIFS('Daily Log'!$D$6:$D$376,'Daily Log'!$W$6:$W$376,$A33)</f>
        <v>0</v>
      </c>
      <c r="E33" s="75" t="n">
        <f aca="false">SUMIFS('Daily Log'!$E$6:$E$376,'Daily Log'!$W$6:$W$376,$A33)</f>
        <v>0</v>
      </c>
      <c r="F33" s="75" t="n">
        <f aca="false">SUMIFS('Daily Log'!$F$6:$F$376,'Daily Log'!$W$6:$W$376,$A33)</f>
        <v>0</v>
      </c>
      <c r="G33" s="17" t="n">
        <f aca="false">SUMIFS('Daily Log'!$V$6:$V$376,'Daily Log'!$W$6:$W$376,$A33)</f>
        <v>0</v>
      </c>
      <c r="H33" s="75" t="n">
        <f aca="false">SUMIFS('Daily Log'!$T$6:$T$376,'Daily Log'!$W$6:$W$376,$A33)</f>
        <v>0</v>
      </c>
      <c r="I33" s="43" t="str">
        <f aca="false">IF($C33=0,"",$D33/$C33)</f>
        <v/>
      </c>
      <c r="J33" s="13" t="str">
        <f aca="false">IF($H33=0,"",$E33/$H33)</f>
        <v/>
      </c>
      <c r="K33" s="75" t="n">
        <f aca="false">SUMIFS('Daily Log'!$G$6:$G$376,'Daily Log'!$W$6:$W$376,$A33)</f>
        <v>0</v>
      </c>
      <c r="L33" s="76" t="str">
        <f aca="false">IF(OR($E33=0,$K33=0),"",$K33/$E33*1000)</f>
        <v/>
      </c>
      <c r="M33" s="19" t="str">
        <f aca="false">IF(AND($G33&gt;0,$H33=0),"pot not shared - no attendance marked",IF(AND($I33&lt;&gt;"",N($I33)&gt;RejectAlarm),"reject rate high",IF(AND($L33&lt;&gt;"",N(CementNorm)&gt;0),IF(ABS($L33/CementNorm-1)&gt;0.3,"cement use off by &gt;30% - check counts",""),"")))</f>
        <v/>
      </c>
      <c r="N33" s="15" t="n">
        <f aca="false">SUMIFS('Daily Log'!$H$6:$H$376,'Daily Log'!$W$6:$W$376,$A33)</f>
        <v>0</v>
      </c>
      <c r="O33" s="15" t="n">
        <f aca="false">SUMIFS('Daily Log'!$I$6:$I$376,'Daily Log'!$W$6:$W$376,$A33)</f>
        <v>0</v>
      </c>
      <c r="P33" s="15" t="n">
        <f aca="false">SUMIFS('Daily Log'!$J$6:$J$376,'Daily Log'!$W$6:$W$376,$A33)</f>
        <v>0</v>
      </c>
      <c r="Q33" s="15" t="n">
        <f aca="false">SUMIFS('Daily Log'!$K$6:$K$376,'Daily Log'!$W$6:$W$376,$A33)</f>
        <v>0</v>
      </c>
      <c r="R33" s="15" t="n">
        <f aca="false">SUMIFS('Daily Log'!$L$6:$L$376,'Daily Log'!$W$6:$W$376,$A33)</f>
        <v>0</v>
      </c>
      <c r="S33" s="15" t="n">
        <f aca="false">SUMIFS('Daily Log'!$M$6:$M$376,'Daily Log'!$W$6:$W$376,$A33)</f>
        <v>0</v>
      </c>
      <c r="T33" s="15" t="n">
        <f aca="false">SUMIFS('Daily Log'!$N$6:$N$376,'Daily Log'!$W$6:$W$376,$A33)</f>
        <v>0</v>
      </c>
      <c r="U33" s="15" t="n">
        <f aca="false">SUMIFS('Daily Log'!$O$6:$O$376,'Daily Log'!$W$6:$W$376,$A33)</f>
        <v>0</v>
      </c>
      <c r="V33" s="15" t="n">
        <f aca="false">SUMIFS('Daily Log'!$P$6:$P$376,'Daily Log'!$W$6:$W$376,$A33)</f>
        <v>0</v>
      </c>
      <c r="W33" s="15" t="n">
        <f aca="false">SUMIFS('Daily Log'!$Q$6:$Q$376,'Daily Log'!$W$6:$W$376,$A33)</f>
        <v>0</v>
      </c>
      <c r="X33" s="15" t="n">
        <f aca="false">SUMIFS('Daily Log'!$R$6:$R$376,'Daily Log'!$W$6:$W$376,$A33)</f>
        <v>0</v>
      </c>
      <c r="Y33" s="15" t="n">
        <f aca="false">SUMIFS('Daily Log'!$S$6:$S$376,'Daily Log'!$W$6:$W$376,$A33)</f>
        <v>0</v>
      </c>
      <c r="Z33" s="17" t="n">
        <f aca="false">IF($H33=0,0,ROUND($G33*N33/$H33,0))</f>
        <v>0</v>
      </c>
      <c r="AA33" s="17" t="n">
        <f aca="false">IF($H33=0,0,ROUND($G33*O33/$H33,0))</f>
        <v>0</v>
      </c>
      <c r="AB33" s="17" t="n">
        <f aca="false">IF($H33=0,0,ROUND($G33*P33/$H33,0))</f>
        <v>0</v>
      </c>
      <c r="AC33" s="17" t="n">
        <f aca="false">IF($H33=0,0,ROUND($G33*Q33/$H33,0))</f>
        <v>0</v>
      </c>
      <c r="AD33" s="17" t="n">
        <f aca="false">IF($H33=0,0,ROUND($G33*R33/$H33,0))</f>
        <v>0</v>
      </c>
      <c r="AE33" s="17" t="n">
        <f aca="false">IF($H33=0,0,ROUND($G33*S33/$H33,0))</f>
        <v>0</v>
      </c>
      <c r="AF33" s="17" t="n">
        <f aca="false">IF($H33=0,0,ROUND($G33*T33/$H33,0))</f>
        <v>0</v>
      </c>
      <c r="AG33" s="17" t="n">
        <f aca="false">IF($H33=0,0,ROUND($G33*U33/$H33,0))</f>
        <v>0</v>
      </c>
      <c r="AH33" s="17" t="n">
        <f aca="false">IF($H33=0,0,ROUND($G33*V33/$H33,0))</f>
        <v>0</v>
      </c>
      <c r="AI33" s="17" t="n">
        <f aca="false">IF($H33=0,0,ROUND($G33*W33/$H33,0))</f>
        <v>0</v>
      </c>
      <c r="AJ33" s="17" t="n">
        <f aca="false">IF($H33=0,0,ROUND($G33*X33/$H33,0))</f>
        <v>0</v>
      </c>
      <c r="AK33" s="17" t="n">
        <f aca="false">IF($H33=0,0,ROUND($G33*Y33/$H33,0))</f>
        <v>0</v>
      </c>
      <c r="AL33" s="17" t="n">
        <f aca="false">SUM(Z33:AK33)</f>
        <v>0</v>
      </c>
      <c r="AM33" s="29" t="n">
        <f aca="false">$AL33-$G33</f>
        <v>0</v>
      </c>
    </row>
    <row r="34" customFormat="false" ht="15" hidden="false" customHeight="false" outlineLevel="0" collapsed="false">
      <c r="A34" s="73" t="n">
        <v>46482</v>
      </c>
      <c r="B34" s="74" t="n">
        <f aca="false">$A34+6</f>
        <v>46488</v>
      </c>
      <c r="C34" s="75" t="n">
        <f aca="false">SUMIFS('Daily Log'!$C$6:$C$376,'Daily Log'!$W$6:$W$376,$A34)</f>
        <v>0</v>
      </c>
      <c r="D34" s="75" t="n">
        <f aca="false">SUMIFS('Daily Log'!$D$6:$D$376,'Daily Log'!$W$6:$W$376,$A34)</f>
        <v>0</v>
      </c>
      <c r="E34" s="75" t="n">
        <f aca="false">SUMIFS('Daily Log'!$E$6:$E$376,'Daily Log'!$W$6:$W$376,$A34)</f>
        <v>0</v>
      </c>
      <c r="F34" s="75" t="n">
        <f aca="false">SUMIFS('Daily Log'!$F$6:$F$376,'Daily Log'!$W$6:$W$376,$A34)</f>
        <v>0</v>
      </c>
      <c r="G34" s="17" t="n">
        <f aca="false">SUMIFS('Daily Log'!$V$6:$V$376,'Daily Log'!$W$6:$W$376,$A34)</f>
        <v>0</v>
      </c>
      <c r="H34" s="75" t="n">
        <f aca="false">SUMIFS('Daily Log'!$T$6:$T$376,'Daily Log'!$W$6:$W$376,$A34)</f>
        <v>0</v>
      </c>
      <c r="I34" s="43" t="str">
        <f aca="false">IF($C34=0,"",$D34/$C34)</f>
        <v/>
      </c>
      <c r="J34" s="13" t="str">
        <f aca="false">IF($H34=0,"",$E34/$H34)</f>
        <v/>
      </c>
      <c r="K34" s="75" t="n">
        <f aca="false">SUMIFS('Daily Log'!$G$6:$G$376,'Daily Log'!$W$6:$W$376,$A34)</f>
        <v>0</v>
      </c>
      <c r="L34" s="76" t="str">
        <f aca="false">IF(OR($E34=0,$K34=0),"",$K34/$E34*1000)</f>
        <v/>
      </c>
      <c r="M34" s="19" t="str">
        <f aca="false">IF(AND($G34&gt;0,$H34=0),"pot not shared - no attendance marked",IF(AND($I34&lt;&gt;"",N($I34)&gt;RejectAlarm),"reject rate high",IF(AND($L34&lt;&gt;"",N(CementNorm)&gt;0),IF(ABS($L34/CementNorm-1)&gt;0.3,"cement use off by &gt;30% - check counts",""),"")))</f>
        <v/>
      </c>
      <c r="N34" s="15" t="n">
        <f aca="false">SUMIFS('Daily Log'!$H$6:$H$376,'Daily Log'!$W$6:$W$376,$A34)</f>
        <v>0</v>
      </c>
      <c r="O34" s="15" t="n">
        <f aca="false">SUMIFS('Daily Log'!$I$6:$I$376,'Daily Log'!$W$6:$W$376,$A34)</f>
        <v>0</v>
      </c>
      <c r="P34" s="15" t="n">
        <f aca="false">SUMIFS('Daily Log'!$J$6:$J$376,'Daily Log'!$W$6:$W$376,$A34)</f>
        <v>0</v>
      </c>
      <c r="Q34" s="15" t="n">
        <f aca="false">SUMIFS('Daily Log'!$K$6:$K$376,'Daily Log'!$W$6:$W$376,$A34)</f>
        <v>0</v>
      </c>
      <c r="R34" s="15" t="n">
        <f aca="false">SUMIFS('Daily Log'!$L$6:$L$376,'Daily Log'!$W$6:$W$376,$A34)</f>
        <v>0</v>
      </c>
      <c r="S34" s="15" t="n">
        <f aca="false">SUMIFS('Daily Log'!$M$6:$M$376,'Daily Log'!$W$6:$W$376,$A34)</f>
        <v>0</v>
      </c>
      <c r="T34" s="15" t="n">
        <f aca="false">SUMIFS('Daily Log'!$N$6:$N$376,'Daily Log'!$W$6:$W$376,$A34)</f>
        <v>0</v>
      </c>
      <c r="U34" s="15" t="n">
        <f aca="false">SUMIFS('Daily Log'!$O$6:$O$376,'Daily Log'!$W$6:$W$376,$A34)</f>
        <v>0</v>
      </c>
      <c r="V34" s="15" t="n">
        <f aca="false">SUMIFS('Daily Log'!$P$6:$P$376,'Daily Log'!$W$6:$W$376,$A34)</f>
        <v>0</v>
      </c>
      <c r="W34" s="15" t="n">
        <f aca="false">SUMIFS('Daily Log'!$Q$6:$Q$376,'Daily Log'!$W$6:$W$376,$A34)</f>
        <v>0</v>
      </c>
      <c r="X34" s="15" t="n">
        <f aca="false">SUMIFS('Daily Log'!$R$6:$R$376,'Daily Log'!$W$6:$W$376,$A34)</f>
        <v>0</v>
      </c>
      <c r="Y34" s="15" t="n">
        <f aca="false">SUMIFS('Daily Log'!$S$6:$S$376,'Daily Log'!$W$6:$W$376,$A34)</f>
        <v>0</v>
      </c>
      <c r="Z34" s="17" t="n">
        <f aca="false">IF($H34=0,0,ROUND($G34*N34/$H34,0))</f>
        <v>0</v>
      </c>
      <c r="AA34" s="17" t="n">
        <f aca="false">IF($H34=0,0,ROUND($G34*O34/$H34,0))</f>
        <v>0</v>
      </c>
      <c r="AB34" s="17" t="n">
        <f aca="false">IF($H34=0,0,ROUND($G34*P34/$H34,0))</f>
        <v>0</v>
      </c>
      <c r="AC34" s="17" t="n">
        <f aca="false">IF($H34=0,0,ROUND($G34*Q34/$H34,0))</f>
        <v>0</v>
      </c>
      <c r="AD34" s="17" t="n">
        <f aca="false">IF($H34=0,0,ROUND($G34*R34/$H34,0))</f>
        <v>0</v>
      </c>
      <c r="AE34" s="17" t="n">
        <f aca="false">IF($H34=0,0,ROUND($G34*S34/$H34,0))</f>
        <v>0</v>
      </c>
      <c r="AF34" s="17" t="n">
        <f aca="false">IF($H34=0,0,ROUND($G34*T34/$H34,0))</f>
        <v>0</v>
      </c>
      <c r="AG34" s="17" t="n">
        <f aca="false">IF($H34=0,0,ROUND($G34*U34/$H34,0))</f>
        <v>0</v>
      </c>
      <c r="AH34" s="17" t="n">
        <f aca="false">IF($H34=0,0,ROUND($G34*V34/$H34,0))</f>
        <v>0</v>
      </c>
      <c r="AI34" s="17" t="n">
        <f aca="false">IF($H34=0,0,ROUND($G34*W34/$H34,0))</f>
        <v>0</v>
      </c>
      <c r="AJ34" s="17" t="n">
        <f aca="false">IF($H34=0,0,ROUND($G34*X34/$H34,0))</f>
        <v>0</v>
      </c>
      <c r="AK34" s="17" t="n">
        <f aca="false">IF($H34=0,0,ROUND($G34*Y34/$H34,0))</f>
        <v>0</v>
      </c>
      <c r="AL34" s="17" t="n">
        <f aca="false">SUM(Z34:AK34)</f>
        <v>0</v>
      </c>
      <c r="AM34" s="29" t="n">
        <f aca="false">$AL34-$G34</f>
        <v>0</v>
      </c>
    </row>
    <row r="35" customFormat="false" ht="15" hidden="false" customHeight="false" outlineLevel="0" collapsed="false">
      <c r="A35" s="73" t="n">
        <v>46489</v>
      </c>
      <c r="B35" s="74" t="n">
        <f aca="false">$A35+6</f>
        <v>46495</v>
      </c>
      <c r="C35" s="75" t="n">
        <f aca="false">SUMIFS('Daily Log'!$C$6:$C$376,'Daily Log'!$W$6:$W$376,$A35)</f>
        <v>0</v>
      </c>
      <c r="D35" s="75" t="n">
        <f aca="false">SUMIFS('Daily Log'!$D$6:$D$376,'Daily Log'!$W$6:$W$376,$A35)</f>
        <v>0</v>
      </c>
      <c r="E35" s="75" t="n">
        <f aca="false">SUMIFS('Daily Log'!$E$6:$E$376,'Daily Log'!$W$6:$W$376,$A35)</f>
        <v>0</v>
      </c>
      <c r="F35" s="75" t="n">
        <f aca="false">SUMIFS('Daily Log'!$F$6:$F$376,'Daily Log'!$W$6:$W$376,$A35)</f>
        <v>0</v>
      </c>
      <c r="G35" s="17" t="n">
        <f aca="false">SUMIFS('Daily Log'!$V$6:$V$376,'Daily Log'!$W$6:$W$376,$A35)</f>
        <v>0</v>
      </c>
      <c r="H35" s="75" t="n">
        <f aca="false">SUMIFS('Daily Log'!$T$6:$T$376,'Daily Log'!$W$6:$W$376,$A35)</f>
        <v>0</v>
      </c>
      <c r="I35" s="43" t="str">
        <f aca="false">IF($C35=0,"",$D35/$C35)</f>
        <v/>
      </c>
      <c r="J35" s="13" t="str">
        <f aca="false">IF($H35=0,"",$E35/$H35)</f>
        <v/>
      </c>
      <c r="K35" s="75" t="n">
        <f aca="false">SUMIFS('Daily Log'!$G$6:$G$376,'Daily Log'!$W$6:$W$376,$A35)</f>
        <v>0</v>
      </c>
      <c r="L35" s="76" t="str">
        <f aca="false">IF(OR($E35=0,$K35=0),"",$K35/$E35*1000)</f>
        <v/>
      </c>
      <c r="M35" s="19" t="str">
        <f aca="false">IF(AND($G35&gt;0,$H35=0),"pot not shared - no attendance marked",IF(AND($I35&lt;&gt;"",N($I35)&gt;RejectAlarm),"reject rate high",IF(AND($L35&lt;&gt;"",N(CementNorm)&gt;0),IF(ABS($L35/CementNorm-1)&gt;0.3,"cement use off by &gt;30% - check counts",""),"")))</f>
        <v/>
      </c>
      <c r="N35" s="15" t="n">
        <f aca="false">SUMIFS('Daily Log'!$H$6:$H$376,'Daily Log'!$W$6:$W$376,$A35)</f>
        <v>0</v>
      </c>
      <c r="O35" s="15" t="n">
        <f aca="false">SUMIFS('Daily Log'!$I$6:$I$376,'Daily Log'!$W$6:$W$376,$A35)</f>
        <v>0</v>
      </c>
      <c r="P35" s="15" t="n">
        <f aca="false">SUMIFS('Daily Log'!$J$6:$J$376,'Daily Log'!$W$6:$W$376,$A35)</f>
        <v>0</v>
      </c>
      <c r="Q35" s="15" t="n">
        <f aca="false">SUMIFS('Daily Log'!$K$6:$K$376,'Daily Log'!$W$6:$W$376,$A35)</f>
        <v>0</v>
      </c>
      <c r="R35" s="15" t="n">
        <f aca="false">SUMIFS('Daily Log'!$L$6:$L$376,'Daily Log'!$W$6:$W$376,$A35)</f>
        <v>0</v>
      </c>
      <c r="S35" s="15" t="n">
        <f aca="false">SUMIFS('Daily Log'!$M$6:$M$376,'Daily Log'!$W$6:$W$376,$A35)</f>
        <v>0</v>
      </c>
      <c r="T35" s="15" t="n">
        <f aca="false">SUMIFS('Daily Log'!$N$6:$N$376,'Daily Log'!$W$6:$W$376,$A35)</f>
        <v>0</v>
      </c>
      <c r="U35" s="15" t="n">
        <f aca="false">SUMIFS('Daily Log'!$O$6:$O$376,'Daily Log'!$W$6:$W$376,$A35)</f>
        <v>0</v>
      </c>
      <c r="V35" s="15" t="n">
        <f aca="false">SUMIFS('Daily Log'!$P$6:$P$376,'Daily Log'!$W$6:$W$376,$A35)</f>
        <v>0</v>
      </c>
      <c r="W35" s="15" t="n">
        <f aca="false">SUMIFS('Daily Log'!$Q$6:$Q$376,'Daily Log'!$W$6:$W$376,$A35)</f>
        <v>0</v>
      </c>
      <c r="X35" s="15" t="n">
        <f aca="false">SUMIFS('Daily Log'!$R$6:$R$376,'Daily Log'!$W$6:$W$376,$A35)</f>
        <v>0</v>
      </c>
      <c r="Y35" s="15" t="n">
        <f aca="false">SUMIFS('Daily Log'!$S$6:$S$376,'Daily Log'!$W$6:$W$376,$A35)</f>
        <v>0</v>
      </c>
      <c r="Z35" s="17" t="n">
        <f aca="false">IF($H35=0,0,ROUND($G35*N35/$H35,0))</f>
        <v>0</v>
      </c>
      <c r="AA35" s="17" t="n">
        <f aca="false">IF($H35=0,0,ROUND($G35*O35/$H35,0))</f>
        <v>0</v>
      </c>
      <c r="AB35" s="17" t="n">
        <f aca="false">IF($H35=0,0,ROUND($G35*P35/$H35,0))</f>
        <v>0</v>
      </c>
      <c r="AC35" s="17" t="n">
        <f aca="false">IF($H35=0,0,ROUND($G35*Q35/$H35,0))</f>
        <v>0</v>
      </c>
      <c r="AD35" s="17" t="n">
        <f aca="false">IF($H35=0,0,ROUND($G35*R35/$H35,0))</f>
        <v>0</v>
      </c>
      <c r="AE35" s="17" t="n">
        <f aca="false">IF($H35=0,0,ROUND($G35*S35/$H35,0))</f>
        <v>0</v>
      </c>
      <c r="AF35" s="17" t="n">
        <f aca="false">IF($H35=0,0,ROUND($G35*T35/$H35,0))</f>
        <v>0</v>
      </c>
      <c r="AG35" s="17" t="n">
        <f aca="false">IF($H35=0,0,ROUND($G35*U35/$H35,0))</f>
        <v>0</v>
      </c>
      <c r="AH35" s="17" t="n">
        <f aca="false">IF($H35=0,0,ROUND($G35*V35/$H35,0))</f>
        <v>0</v>
      </c>
      <c r="AI35" s="17" t="n">
        <f aca="false">IF($H35=0,0,ROUND($G35*W35/$H35,0))</f>
        <v>0</v>
      </c>
      <c r="AJ35" s="17" t="n">
        <f aca="false">IF($H35=0,0,ROUND($G35*X35/$H35,0))</f>
        <v>0</v>
      </c>
      <c r="AK35" s="17" t="n">
        <f aca="false">IF($H35=0,0,ROUND($G35*Y35/$H35,0))</f>
        <v>0</v>
      </c>
      <c r="AL35" s="17" t="n">
        <f aca="false">SUM(Z35:AK35)</f>
        <v>0</v>
      </c>
      <c r="AM35" s="29" t="n">
        <f aca="false">$AL35-$G35</f>
        <v>0</v>
      </c>
    </row>
    <row r="36" customFormat="false" ht="15" hidden="false" customHeight="false" outlineLevel="0" collapsed="false">
      <c r="A36" s="73" t="n">
        <v>46496</v>
      </c>
      <c r="B36" s="74" t="n">
        <f aca="false">$A36+6</f>
        <v>46502</v>
      </c>
      <c r="C36" s="75" t="n">
        <f aca="false">SUMIFS('Daily Log'!$C$6:$C$376,'Daily Log'!$W$6:$W$376,$A36)</f>
        <v>0</v>
      </c>
      <c r="D36" s="75" t="n">
        <f aca="false">SUMIFS('Daily Log'!$D$6:$D$376,'Daily Log'!$W$6:$W$376,$A36)</f>
        <v>0</v>
      </c>
      <c r="E36" s="75" t="n">
        <f aca="false">SUMIFS('Daily Log'!$E$6:$E$376,'Daily Log'!$W$6:$W$376,$A36)</f>
        <v>0</v>
      </c>
      <c r="F36" s="75" t="n">
        <f aca="false">SUMIFS('Daily Log'!$F$6:$F$376,'Daily Log'!$W$6:$W$376,$A36)</f>
        <v>0</v>
      </c>
      <c r="G36" s="17" t="n">
        <f aca="false">SUMIFS('Daily Log'!$V$6:$V$376,'Daily Log'!$W$6:$W$376,$A36)</f>
        <v>0</v>
      </c>
      <c r="H36" s="75" t="n">
        <f aca="false">SUMIFS('Daily Log'!$T$6:$T$376,'Daily Log'!$W$6:$W$376,$A36)</f>
        <v>0</v>
      </c>
      <c r="I36" s="43" t="str">
        <f aca="false">IF($C36=0,"",$D36/$C36)</f>
        <v/>
      </c>
      <c r="J36" s="13" t="str">
        <f aca="false">IF($H36=0,"",$E36/$H36)</f>
        <v/>
      </c>
      <c r="K36" s="75" t="n">
        <f aca="false">SUMIFS('Daily Log'!$G$6:$G$376,'Daily Log'!$W$6:$W$376,$A36)</f>
        <v>0</v>
      </c>
      <c r="L36" s="76" t="str">
        <f aca="false">IF(OR($E36=0,$K36=0),"",$K36/$E36*1000)</f>
        <v/>
      </c>
      <c r="M36" s="19" t="str">
        <f aca="false">IF(AND($G36&gt;0,$H36=0),"pot not shared - no attendance marked",IF(AND($I36&lt;&gt;"",N($I36)&gt;RejectAlarm),"reject rate high",IF(AND($L36&lt;&gt;"",N(CementNorm)&gt;0),IF(ABS($L36/CementNorm-1)&gt;0.3,"cement use off by &gt;30% - check counts",""),"")))</f>
        <v/>
      </c>
      <c r="N36" s="15" t="n">
        <f aca="false">SUMIFS('Daily Log'!$H$6:$H$376,'Daily Log'!$W$6:$W$376,$A36)</f>
        <v>0</v>
      </c>
      <c r="O36" s="15" t="n">
        <f aca="false">SUMIFS('Daily Log'!$I$6:$I$376,'Daily Log'!$W$6:$W$376,$A36)</f>
        <v>0</v>
      </c>
      <c r="P36" s="15" t="n">
        <f aca="false">SUMIFS('Daily Log'!$J$6:$J$376,'Daily Log'!$W$6:$W$376,$A36)</f>
        <v>0</v>
      </c>
      <c r="Q36" s="15" t="n">
        <f aca="false">SUMIFS('Daily Log'!$K$6:$K$376,'Daily Log'!$W$6:$W$376,$A36)</f>
        <v>0</v>
      </c>
      <c r="R36" s="15" t="n">
        <f aca="false">SUMIFS('Daily Log'!$L$6:$L$376,'Daily Log'!$W$6:$W$376,$A36)</f>
        <v>0</v>
      </c>
      <c r="S36" s="15" t="n">
        <f aca="false">SUMIFS('Daily Log'!$M$6:$M$376,'Daily Log'!$W$6:$W$376,$A36)</f>
        <v>0</v>
      </c>
      <c r="T36" s="15" t="n">
        <f aca="false">SUMIFS('Daily Log'!$N$6:$N$376,'Daily Log'!$W$6:$W$376,$A36)</f>
        <v>0</v>
      </c>
      <c r="U36" s="15" t="n">
        <f aca="false">SUMIFS('Daily Log'!$O$6:$O$376,'Daily Log'!$W$6:$W$376,$A36)</f>
        <v>0</v>
      </c>
      <c r="V36" s="15" t="n">
        <f aca="false">SUMIFS('Daily Log'!$P$6:$P$376,'Daily Log'!$W$6:$W$376,$A36)</f>
        <v>0</v>
      </c>
      <c r="W36" s="15" t="n">
        <f aca="false">SUMIFS('Daily Log'!$Q$6:$Q$376,'Daily Log'!$W$6:$W$376,$A36)</f>
        <v>0</v>
      </c>
      <c r="X36" s="15" t="n">
        <f aca="false">SUMIFS('Daily Log'!$R$6:$R$376,'Daily Log'!$W$6:$W$376,$A36)</f>
        <v>0</v>
      </c>
      <c r="Y36" s="15" t="n">
        <f aca="false">SUMIFS('Daily Log'!$S$6:$S$376,'Daily Log'!$W$6:$W$376,$A36)</f>
        <v>0</v>
      </c>
      <c r="Z36" s="17" t="n">
        <f aca="false">IF($H36=0,0,ROUND($G36*N36/$H36,0))</f>
        <v>0</v>
      </c>
      <c r="AA36" s="17" t="n">
        <f aca="false">IF($H36=0,0,ROUND($G36*O36/$H36,0))</f>
        <v>0</v>
      </c>
      <c r="AB36" s="17" t="n">
        <f aca="false">IF($H36=0,0,ROUND($G36*P36/$H36,0))</f>
        <v>0</v>
      </c>
      <c r="AC36" s="17" t="n">
        <f aca="false">IF($H36=0,0,ROUND($G36*Q36/$H36,0))</f>
        <v>0</v>
      </c>
      <c r="AD36" s="17" t="n">
        <f aca="false">IF($H36=0,0,ROUND($G36*R36/$H36,0))</f>
        <v>0</v>
      </c>
      <c r="AE36" s="17" t="n">
        <f aca="false">IF($H36=0,0,ROUND($G36*S36/$H36,0))</f>
        <v>0</v>
      </c>
      <c r="AF36" s="17" t="n">
        <f aca="false">IF($H36=0,0,ROUND($G36*T36/$H36,0))</f>
        <v>0</v>
      </c>
      <c r="AG36" s="17" t="n">
        <f aca="false">IF($H36=0,0,ROUND($G36*U36/$H36,0))</f>
        <v>0</v>
      </c>
      <c r="AH36" s="17" t="n">
        <f aca="false">IF($H36=0,0,ROUND($G36*V36/$H36,0))</f>
        <v>0</v>
      </c>
      <c r="AI36" s="17" t="n">
        <f aca="false">IF($H36=0,0,ROUND($G36*W36/$H36,0))</f>
        <v>0</v>
      </c>
      <c r="AJ36" s="17" t="n">
        <f aca="false">IF($H36=0,0,ROUND($G36*X36/$H36,0))</f>
        <v>0</v>
      </c>
      <c r="AK36" s="17" t="n">
        <f aca="false">IF($H36=0,0,ROUND($G36*Y36/$H36,0))</f>
        <v>0</v>
      </c>
      <c r="AL36" s="17" t="n">
        <f aca="false">SUM(Z36:AK36)</f>
        <v>0</v>
      </c>
      <c r="AM36" s="29" t="n">
        <f aca="false">$AL36-$G36</f>
        <v>0</v>
      </c>
    </row>
    <row r="37" customFormat="false" ht="15" hidden="false" customHeight="false" outlineLevel="0" collapsed="false">
      <c r="A37" s="73" t="n">
        <v>46503</v>
      </c>
      <c r="B37" s="74" t="n">
        <f aca="false">$A37+6</f>
        <v>46509</v>
      </c>
      <c r="C37" s="75" t="n">
        <f aca="false">SUMIFS('Daily Log'!$C$6:$C$376,'Daily Log'!$W$6:$W$376,$A37)</f>
        <v>0</v>
      </c>
      <c r="D37" s="75" t="n">
        <f aca="false">SUMIFS('Daily Log'!$D$6:$D$376,'Daily Log'!$W$6:$W$376,$A37)</f>
        <v>0</v>
      </c>
      <c r="E37" s="75" t="n">
        <f aca="false">SUMIFS('Daily Log'!$E$6:$E$376,'Daily Log'!$W$6:$W$376,$A37)</f>
        <v>0</v>
      </c>
      <c r="F37" s="75" t="n">
        <f aca="false">SUMIFS('Daily Log'!$F$6:$F$376,'Daily Log'!$W$6:$W$376,$A37)</f>
        <v>0</v>
      </c>
      <c r="G37" s="17" t="n">
        <f aca="false">SUMIFS('Daily Log'!$V$6:$V$376,'Daily Log'!$W$6:$W$376,$A37)</f>
        <v>0</v>
      </c>
      <c r="H37" s="75" t="n">
        <f aca="false">SUMIFS('Daily Log'!$T$6:$T$376,'Daily Log'!$W$6:$W$376,$A37)</f>
        <v>0</v>
      </c>
      <c r="I37" s="43" t="str">
        <f aca="false">IF($C37=0,"",$D37/$C37)</f>
        <v/>
      </c>
      <c r="J37" s="13" t="str">
        <f aca="false">IF($H37=0,"",$E37/$H37)</f>
        <v/>
      </c>
      <c r="K37" s="75" t="n">
        <f aca="false">SUMIFS('Daily Log'!$G$6:$G$376,'Daily Log'!$W$6:$W$376,$A37)</f>
        <v>0</v>
      </c>
      <c r="L37" s="76" t="str">
        <f aca="false">IF(OR($E37=0,$K37=0),"",$K37/$E37*1000)</f>
        <v/>
      </c>
      <c r="M37" s="19" t="str">
        <f aca="false">IF(AND($G37&gt;0,$H37=0),"pot not shared - no attendance marked",IF(AND($I37&lt;&gt;"",N($I37)&gt;RejectAlarm),"reject rate high",IF(AND($L37&lt;&gt;"",N(CementNorm)&gt;0),IF(ABS($L37/CementNorm-1)&gt;0.3,"cement use off by &gt;30% - check counts",""),"")))</f>
        <v/>
      </c>
      <c r="N37" s="15" t="n">
        <f aca="false">SUMIFS('Daily Log'!$H$6:$H$376,'Daily Log'!$W$6:$W$376,$A37)</f>
        <v>0</v>
      </c>
      <c r="O37" s="15" t="n">
        <f aca="false">SUMIFS('Daily Log'!$I$6:$I$376,'Daily Log'!$W$6:$W$376,$A37)</f>
        <v>0</v>
      </c>
      <c r="P37" s="15" t="n">
        <f aca="false">SUMIFS('Daily Log'!$J$6:$J$376,'Daily Log'!$W$6:$W$376,$A37)</f>
        <v>0</v>
      </c>
      <c r="Q37" s="15" t="n">
        <f aca="false">SUMIFS('Daily Log'!$K$6:$K$376,'Daily Log'!$W$6:$W$376,$A37)</f>
        <v>0</v>
      </c>
      <c r="R37" s="15" t="n">
        <f aca="false">SUMIFS('Daily Log'!$L$6:$L$376,'Daily Log'!$W$6:$W$376,$A37)</f>
        <v>0</v>
      </c>
      <c r="S37" s="15" t="n">
        <f aca="false">SUMIFS('Daily Log'!$M$6:$M$376,'Daily Log'!$W$6:$W$376,$A37)</f>
        <v>0</v>
      </c>
      <c r="T37" s="15" t="n">
        <f aca="false">SUMIFS('Daily Log'!$N$6:$N$376,'Daily Log'!$W$6:$W$376,$A37)</f>
        <v>0</v>
      </c>
      <c r="U37" s="15" t="n">
        <f aca="false">SUMIFS('Daily Log'!$O$6:$O$376,'Daily Log'!$W$6:$W$376,$A37)</f>
        <v>0</v>
      </c>
      <c r="V37" s="15" t="n">
        <f aca="false">SUMIFS('Daily Log'!$P$6:$P$376,'Daily Log'!$W$6:$W$376,$A37)</f>
        <v>0</v>
      </c>
      <c r="W37" s="15" t="n">
        <f aca="false">SUMIFS('Daily Log'!$Q$6:$Q$376,'Daily Log'!$W$6:$W$376,$A37)</f>
        <v>0</v>
      </c>
      <c r="X37" s="15" t="n">
        <f aca="false">SUMIFS('Daily Log'!$R$6:$R$376,'Daily Log'!$W$6:$W$376,$A37)</f>
        <v>0</v>
      </c>
      <c r="Y37" s="15" t="n">
        <f aca="false">SUMIFS('Daily Log'!$S$6:$S$376,'Daily Log'!$W$6:$W$376,$A37)</f>
        <v>0</v>
      </c>
      <c r="Z37" s="17" t="n">
        <f aca="false">IF($H37=0,0,ROUND($G37*N37/$H37,0))</f>
        <v>0</v>
      </c>
      <c r="AA37" s="17" t="n">
        <f aca="false">IF($H37=0,0,ROUND($G37*O37/$H37,0))</f>
        <v>0</v>
      </c>
      <c r="AB37" s="17" t="n">
        <f aca="false">IF($H37=0,0,ROUND($G37*P37/$H37,0))</f>
        <v>0</v>
      </c>
      <c r="AC37" s="17" t="n">
        <f aca="false">IF($H37=0,0,ROUND($G37*Q37/$H37,0))</f>
        <v>0</v>
      </c>
      <c r="AD37" s="17" t="n">
        <f aca="false">IF($H37=0,0,ROUND($G37*R37/$H37,0))</f>
        <v>0</v>
      </c>
      <c r="AE37" s="17" t="n">
        <f aca="false">IF($H37=0,0,ROUND($G37*S37/$H37,0))</f>
        <v>0</v>
      </c>
      <c r="AF37" s="17" t="n">
        <f aca="false">IF($H37=0,0,ROUND($G37*T37/$H37,0))</f>
        <v>0</v>
      </c>
      <c r="AG37" s="17" t="n">
        <f aca="false">IF($H37=0,0,ROUND($G37*U37/$H37,0))</f>
        <v>0</v>
      </c>
      <c r="AH37" s="17" t="n">
        <f aca="false">IF($H37=0,0,ROUND($G37*V37/$H37,0))</f>
        <v>0</v>
      </c>
      <c r="AI37" s="17" t="n">
        <f aca="false">IF($H37=0,0,ROUND($G37*W37/$H37,0))</f>
        <v>0</v>
      </c>
      <c r="AJ37" s="17" t="n">
        <f aca="false">IF($H37=0,0,ROUND($G37*X37/$H37,0))</f>
        <v>0</v>
      </c>
      <c r="AK37" s="17" t="n">
        <f aca="false">IF($H37=0,0,ROUND($G37*Y37/$H37,0))</f>
        <v>0</v>
      </c>
      <c r="AL37" s="17" t="n">
        <f aca="false">SUM(Z37:AK37)</f>
        <v>0</v>
      </c>
      <c r="AM37" s="29" t="n">
        <f aca="false">$AL37-$G37</f>
        <v>0</v>
      </c>
    </row>
    <row r="38" customFormat="false" ht="15" hidden="false" customHeight="false" outlineLevel="0" collapsed="false">
      <c r="A38" s="73" t="n">
        <v>46510</v>
      </c>
      <c r="B38" s="74" t="n">
        <f aca="false">$A38+6</f>
        <v>46516</v>
      </c>
      <c r="C38" s="75" t="n">
        <f aca="false">SUMIFS('Daily Log'!$C$6:$C$376,'Daily Log'!$W$6:$W$376,$A38)</f>
        <v>0</v>
      </c>
      <c r="D38" s="75" t="n">
        <f aca="false">SUMIFS('Daily Log'!$D$6:$D$376,'Daily Log'!$W$6:$W$376,$A38)</f>
        <v>0</v>
      </c>
      <c r="E38" s="75" t="n">
        <f aca="false">SUMIFS('Daily Log'!$E$6:$E$376,'Daily Log'!$W$6:$W$376,$A38)</f>
        <v>0</v>
      </c>
      <c r="F38" s="75" t="n">
        <f aca="false">SUMIFS('Daily Log'!$F$6:$F$376,'Daily Log'!$W$6:$W$376,$A38)</f>
        <v>0</v>
      </c>
      <c r="G38" s="17" t="n">
        <f aca="false">SUMIFS('Daily Log'!$V$6:$V$376,'Daily Log'!$W$6:$W$376,$A38)</f>
        <v>0</v>
      </c>
      <c r="H38" s="75" t="n">
        <f aca="false">SUMIFS('Daily Log'!$T$6:$T$376,'Daily Log'!$W$6:$W$376,$A38)</f>
        <v>0</v>
      </c>
      <c r="I38" s="43" t="str">
        <f aca="false">IF($C38=0,"",$D38/$C38)</f>
        <v/>
      </c>
      <c r="J38" s="13" t="str">
        <f aca="false">IF($H38=0,"",$E38/$H38)</f>
        <v/>
      </c>
      <c r="K38" s="75" t="n">
        <f aca="false">SUMIFS('Daily Log'!$G$6:$G$376,'Daily Log'!$W$6:$W$376,$A38)</f>
        <v>0</v>
      </c>
      <c r="L38" s="76" t="str">
        <f aca="false">IF(OR($E38=0,$K38=0),"",$K38/$E38*1000)</f>
        <v/>
      </c>
      <c r="M38" s="19" t="str">
        <f aca="false">IF(AND($G38&gt;0,$H38=0),"pot not shared - no attendance marked",IF(AND($I38&lt;&gt;"",N($I38)&gt;RejectAlarm),"reject rate high",IF(AND($L38&lt;&gt;"",N(CementNorm)&gt;0),IF(ABS($L38/CementNorm-1)&gt;0.3,"cement use off by &gt;30% - check counts",""),"")))</f>
        <v/>
      </c>
      <c r="N38" s="15" t="n">
        <f aca="false">SUMIFS('Daily Log'!$H$6:$H$376,'Daily Log'!$W$6:$W$376,$A38)</f>
        <v>0</v>
      </c>
      <c r="O38" s="15" t="n">
        <f aca="false">SUMIFS('Daily Log'!$I$6:$I$376,'Daily Log'!$W$6:$W$376,$A38)</f>
        <v>0</v>
      </c>
      <c r="P38" s="15" t="n">
        <f aca="false">SUMIFS('Daily Log'!$J$6:$J$376,'Daily Log'!$W$6:$W$376,$A38)</f>
        <v>0</v>
      </c>
      <c r="Q38" s="15" t="n">
        <f aca="false">SUMIFS('Daily Log'!$K$6:$K$376,'Daily Log'!$W$6:$W$376,$A38)</f>
        <v>0</v>
      </c>
      <c r="R38" s="15" t="n">
        <f aca="false">SUMIFS('Daily Log'!$L$6:$L$376,'Daily Log'!$W$6:$W$376,$A38)</f>
        <v>0</v>
      </c>
      <c r="S38" s="15" t="n">
        <f aca="false">SUMIFS('Daily Log'!$M$6:$M$376,'Daily Log'!$W$6:$W$376,$A38)</f>
        <v>0</v>
      </c>
      <c r="T38" s="15" t="n">
        <f aca="false">SUMIFS('Daily Log'!$N$6:$N$376,'Daily Log'!$W$6:$W$376,$A38)</f>
        <v>0</v>
      </c>
      <c r="U38" s="15" t="n">
        <f aca="false">SUMIFS('Daily Log'!$O$6:$O$376,'Daily Log'!$W$6:$W$376,$A38)</f>
        <v>0</v>
      </c>
      <c r="V38" s="15" t="n">
        <f aca="false">SUMIFS('Daily Log'!$P$6:$P$376,'Daily Log'!$W$6:$W$376,$A38)</f>
        <v>0</v>
      </c>
      <c r="W38" s="15" t="n">
        <f aca="false">SUMIFS('Daily Log'!$Q$6:$Q$376,'Daily Log'!$W$6:$W$376,$A38)</f>
        <v>0</v>
      </c>
      <c r="X38" s="15" t="n">
        <f aca="false">SUMIFS('Daily Log'!$R$6:$R$376,'Daily Log'!$W$6:$W$376,$A38)</f>
        <v>0</v>
      </c>
      <c r="Y38" s="15" t="n">
        <f aca="false">SUMIFS('Daily Log'!$S$6:$S$376,'Daily Log'!$W$6:$W$376,$A38)</f>
        <v>0</v>
      </c>
      <c r="Z38" s="17" t="n">
        <f aca="false">IF($H38=0,0,ROUND($G38*N38/$H38,0))</f>
        <v>0</v>
      </c>
      <c r="AA38" s="17" t="n">
        <f aca="false">IF($H38=0,0,ROUND($G38*O38/$H38,0))</f>
        <v>0</v>
      </c>
      <c r="AB38" s="17" t="n">
        <f aca="false">IF($H38=0,0,ROUND($G38*P38/$H38,0))</f>
        <v>0</v>
      </c>
      <c r="AC38" s="17" t="n">
        <f aca="false">IF($H38=0,0,ROUND($G38*Q38/$H38,0))</f>
        <v>0</v>
      </c>
      <c r="AD38" s="17" t="n">
        <f aca="false">IF($H38=0,0,ROUND($G38*R38/$H38,0))</f>
        <v>0</v>
      </c>
      <c r="AE38" s="17" t="n">
        <f aca="false">IF($H38=0,0,ROUND($G38*S38/$H38,0))</f>
        <v>0</v>
      </c>
      <c r="AF38" s="17" t="n">
        <f aca="false">IF($H38=0,0,ROUND($G38*T38/$H38,0))</f>
        <v>0</v>
      </c>
      <c r="AG38" s="17" t="n">
        <f aca="false">IF($H38=0,0,ROUND($G38*U38/$H38,0))</f>
        <v>0</v>
      </c>
      <c r="AH38" s="17" t="n">
        <f aca="false">IF($H38=0,0,ROUND($G38*V38/$H38,0))</f>
        <v>0</v>
      </c>
      <c r="AI38" s="17" t="n">
        <f aca="false">IF($H38=0,0,ROUND($G38*W38/$H38,0))</f>
        <v>0</v>
      </c>
      <c r="AJ38" s="17" t="n">
        <f aca="false">IF($H38=0,0,ROUND($G38*X38/$H38,0))</f>
        <v>0</v>
      </c>
      <c r="AK38" s="17" t="n">
        <f aca="false">IF($H38=0,0,ROUND($G38*Y38/$H38,0))</f>
        <v>0</v>
      </c>
      <c r="AL38" s="17" t="n">
        <f aca="false">SUM(Z38:AK38)</f>
        <v>0</v>
      </c>
      <c r="AM38" s="29" t="n">
        <f aca="false">$AL38-$G38</f>
        <v>0</v>
      </c>
    </row>
    <row r="39" customFormat="false" ht="15" hidden="false" customHeight="false" outlineLevel="0" collapsed="false">
      <c r="A39" s="73" t="n">
        <v>46517</v>
      </c>
      <c r="B39" s="74" t="n">
        <f aca="false">$A39+6</f>
        <v>46523</v>
      </c>
      <c r="C39" s="75" t="n">
        <f aca="false">SUMIFS('Daily Log'!$C$6:$C$376,'Daily Log'!$W$6:$W$376,$A39)</f>
        <v>0</v>
      </c>
      <c r="D39" s="75" t="n">
        <f aca="false">SUMIFS('Daily Log'!$D$6:$D$376,'Daily Log'!$W$6:$W$376,$A39)</f>
        <v>0</v>
      </c>
      <c r="E39" s="75" t="n">
        <f aca="false">SUMIFS('Daily Log'!$E$6:$E$376,'Daily Log'!$W$6:$W$376,$A39)</f>
        <v>0</v>
      </c>
      <c r="F39" s="75" t="n">
        <f aca="false">SUMIFS('Daily Log'!$F$6:$F$376,'Daily Log'!$W$6:$W$376,$A39)</f>
        <v>0</v>
      </c>
      <c r="G39" s="17" t="n">
        <f aca="false">SUMIFS('Daily Log'!$V$6:$V$376,'Daily Log'!$W$6:$W$376,$A39)</f>
        <v>0</v>
      </c>
      <c r="H39" s="75" t="n">
        <f aca="false">SUMIFS('Daily Log'!$T$6:$T$376,'Daily Log'!$W$6:$W$376,$A39)</f>
        <v>0</v>
      </c>
      <c r="I39" s="43" t="str">
        <f aca="false">IF($C39=0,"",$D39/$C39)</f>
        <v/>
      </c>
      <c r="J39" s="13" t="str">
        <f aca="false">IF($H39=0,"",$E39/$H39)</f>
        <v/>
      </c>
      <c r="K39" s="75" t="n">
        <f aca="false">SUMIFS('Daily Log'!$G$6:$G$376,'Daily Log'!$W$6:$W$376,$A39)</f>
        <v>0</v>
      </c>
      <c r="L39" s="76" t="str">
        <f aca="false">IF(OR($E39=0,$K39=0),"",$K39/$E39*1000)</f>
        <v/>
      </c>
      <c r="M39" s="19" t="str">
        <f aca="false">IF(AND($G39&gt;0,$H39=0),"pot not shared - no attendance marked",IF(AND($I39&lt;&gt;"",N($I39)&gt;RejectAlarm),"reject rate high",IF(AND($L39&lt;&gt;"",N(CementNorm)&gt;0),IF(ABS($L39/CementNorm-1)&gt;0.3,"cement use off by &gt;30% - check counts",""),"")))</f>
        <v/>
      </c>
      <c r="N39" s="15" t="n">
        <f aca="false">SUMIFS('Daily Log'!$H$6:$H$376,'Daily Log'!$W$6:$W$376,$A39)</f>
        <v>0</v>
      </c>
      <c r="O39" s="15" t="n">
        <f aca="false">SUMIFS('Daily Log'!$I$6:$I$376,'Daily Log'!$W$6:$W$376,$A39)</f>
        <v>0</v>
      </c>
      <c r="P39" s="15" t="n">
        <f aca="false">SUMIFS('Daily Log'!$J$6:$J$376,'Daily Log'!$W$6:$W$376,$A39)</f>
        <v>0</v>
      </c>
      <c r="Q39" s="15" t="n">
        <f aca="false">SUMIFS('Daily Log'!$K$6:$K$376,'Daily Log'!$W$6:$W$376,$A39)</f>
        <v>0</v>
      </c>
      <c r="R39" s="15" t="n">
        <f aca="false">SUMIFS('Daily Log'!$L$6:$L$376,'Daily Log'!$W$6:$W$376,$A39)</f>
        <v>0</v>
      </c>
      <c r="S39" s="15" t="n">
        <f aca="false">SUMIFS('Daily Log'!$M$6:$M$376,'Daily Log'!$W$6:$W$376,$A39)</f>
        <v>0</v>
      </c>
      <c r="T39" s="15" t="n">
        <f aca="false">SUMIFS('Daily Log'!$N$6:$N$376,'Daily Log'!$W$6:$W$376,$A39)</f>
        <v>0</v>
      </c>
      <c r="U39" s="15" t="n">
        <f aca="false">SUMIFS('Daily Log'!$O$6:$O$376,'Daily Log'!$W$6:$W$376,$A39)</f>
        <v>0</v>
      </c>
      <c r="V39" s="15" t="n">
        <f aca="false">SUMIFS('Daily Log'!$P$6:$P$376,'Daily Log'!$W$6:$W$376,$A39)</f>
        <v>0</v>
      </c>
      <c r="W39" s="15" t="n">
        <f aca="false">SUMIFS('Daily Log'!$Q$6:$Q$376,'Daily Log'!$W$6:$W$376,$A39)</f>
        <v>0</v>
      </c>
      <c r="X39" s="15" t="n">
        <f aca="false">SUMIFS('Daily Log'!$R$6:$R$376,'Daily Log'!$W$6:$W$376,$A39)</f>
        <v>0</v>
      </c>
      <c r="Y39" s="15" t="n">
        <f aca="false">SUMIFS('Daily Log'!$S$6:$S$376,'Daily Log'!$W$6:$W$376,$A39)</f>
        <v>0</v>
      </c>
      <c r="Z39" s="17" t="n">
        <f aca="false">IF($H39=0,0,ROUND($G39*N39/$H39,0))</f>
        <v>0</v>
      </c>
      <c r="AA39" s="17" t="n">
        <f aca="false">IF($H39=0,0,ROUND($G39*O39/$H39,0))</f>
        <v>0</v>
      </c>
      <c r="AB39" s="17" t="n">
        <f aca="false">IF($H39=0,0,ROUND($G39*P39/$H39,0))</f>
        <v>0</v>
      </c>
      <c r="AC39" s="17" t="n">
        <f aca="false">IF($H39=0,0,ROUND($G39*Q39/$H39,0))</f>
        <v>0</v>
      </c>
      <c r="AD39" s="17" t="n">
        <f aca="false">IF($H39=0,0,ROUND($G39*R39/$H39,0))</f>
        <v>0</v>
      </c>
      <c r="AE39" s="17" t="n">
        <f aca="false">IF($H39=0,0,ROUND($G39*S39/$H39,0))</f>
        <v>0</v>
      </c>
      <c r="AF39" s="17" t="n">
        <f aca="false">IF($H39=0,0,ROUND($G39*T39/$H39,0))</f>
        <v>0</v>
      </c>
      <c r="AG39" s="17" t="n">
        <f aca="false">IF($H39=0,0,ROUND($G39*U39/$H39,0))</f>
        <v>0</v>
      </c>
      <c r="AH39" s="17" t="n">
        <f aca="false">IF($H39=0,0,ROUND($G39*V39/$H39,0))</f>
        <v>0</v>
      </c>
      <c r="AI39" s="17" t="n">
        <f aca="false">IF($H39=0,0,ROUND($G39*W39/$H39,0))</f>
        <v>0</v>
      </c>
      <c r="AJ39" s="17" t="n">
        <f aca="false">IF($H39=0,0,ROUND($G39*X39/$H39,0))</f>
        <v>0</v>
      </c>
      <c r="AK39" s="17" t="n">
        <f aca="false">IF($H39=0,0,ROUND($G39*Y39/$H39,0))</f>
        <v>0</v>
      </c>
      <c r="AL39" s="17" t="n">
        <f aca="false">SUM(Z39:AK39)</f>
        <v>0</v>
      </c>
      <c r="AM39" s="29" t="n">
        <f aca="false">$AL39-$G39</f>
        <v>0</v>
      </c>
    </row>
    <row r="40" customFormat="false" ht="15" hidden="false" customHeight="false" outlineLevel="0" collapsed="false">
      <c r="A40" s="73" t="n">
        <v>46524</v>
      </c>
      <c r="B40" s="74" t="n">
        <f aca="false">$A40+6</f>
        <v>46530</v>
      </c>
      <c r="C40" s="75" t="n">
        <f aca="false">SUMIFS('Daily Log'!$C$6:$C$376,'Daily Log'!$W$6:$W$376,$A40)</f>
        <v>0</v>
      </c>
      <c r="D40" s="75" t="n">
        <f aca="false">SUMIFS('Daily Log'!$D$6:$D$376,'Daily Log'!$W$6:$W$376,$A40)</f>
        <v>0</v>
      </c>
      <c r="E40" s="75" t="n">
        <f aca="false">SUMIFS('Daily Log'!$E$6:$E$376,'Daily Log'!$W$6:$W$376,$A40)</f>
        <v>0</v>
      </c>
      <c r="F40" s="75" t="n">
        <f aca="false">SUMIFS('Daily Log'!$F$6:$F$376,'Daily Log'!$W$6:$W$376,$A40)</f>
        <v>0</v>
      </c>
      <c r="G40" s="17" t="n">
        <f aca="false">SUMIFS('Daily Log'!$V$6:$V$376,'Daily Log'!$W$6:$W$376,$A40)</f>
        <v>0</v>
      </c>
      <c r="H40" s="75" t="n">
        <f aca="false">SUMIFS('Daily Log'!$T$6:$T$376,'Daily Log'!$W$6:$W$376,$A40)</f>
        <v>0</v>
      </c>
      <c r="I40" s="43" t="str">
        <f aca="false">IF($C40=0,"",$D40/$C40)</f>
        <v/>
      </c>
      <c r="J40" s="13" t="str">
        <f aca="false">IF($H40=0,"",$E40/$H40)</f>
        <v/>
      </c>
      <c r="K40" s="75" t="n">
        <f aca="false">SUMIFS('Daily Log'!$G$6:$G$376,'Daily Log'!$W$6:$W$376,$A40)</f>
        <v>0</v>
      </c>
      <c r="L40" s="76" t="str">
        <f aca="false">IF(OR($E40=0,$K40=0),"",$K40/$E40*1000)</f>
        <v/>
      </c>
      <c r="M40" s="19" t="str">
        <f aca="false">IF(AND($G40&gt;0,$H40=0),"pot not shared - no attendance marked",IF(AND($I40&lt;&gt;"",N($I40)&gt;RejectAlarm),"reject rate high",IF(AND($L40&lt;&gt;"",N(CementNorm)&gt;0),IF(ABS($L40/CementNorm-1)&gt;0.3,"cement use off by &gt;30% - check counts",""),"")))</f>
        <v/>
      </c>
      <c r="N40" s="15" t="n">
        <f aca="false">SUMIFS('Daily Log'!$H$6:$H$376,'Daily Log'!$W$6:$W$376,$A40)</f>
        <v>0</v>
      </c>
      <c r="O40" s="15" t="n">
        <f aca="false">SUMIFS('Daily Log'!$I$6:$I$376,'Daily Log'!$W$6:$W$376,$A40)</f>
        <v>0</v>
      </c>
      <c r="P40" s="15" t="n">
        <f aca="false">SUMIFS('Daily Log'!$J$6:$J$376,'Daily Log'!$W$6:$W$376,$A40)</f>
        <v>0</v>
      </c>
      <c r="Q40" s="15" t="n">
        <f aca="false">SUMIFS('Daily Log'!$K$6:$K$376,'Daily Log'!$W$6:$W$376,$A40)</f>
        <v>0</v>
      </c>
      <c r="R40" s="15" t="n">
        <f aca="false">SUMIFS('Daily Log'!$L$6:$L$376,'Daily Log'!$W$6:$W$376,$A40)</f>
        <v>0</v>
      </c>
      <c r="S40" s="15" t="n">
        <f aca="false">SUMIFS('Daily Log'!$M$6:$M$376,'Daily Log'!$W$6:$W$376,$A40)</f>
        <v>0</v>
      </c>
      <c r="T40" s="15" t="n">
        <f aca="false">SUMIFS('Daily Log'!$N$6:$N$376,'Daily Log'!$W$6:$W$376,$A40)</f>
        <v>0</v>
      </c>
      <c r="U40" s="15" t="n">
        <f aca="false">SUMIFS('Daily Log'!$O$6:$O$376,'Daily Log'!$W$6:$W$376,$A40)</f>
        <v>0</v>
      </c>
      <c r="V40" s="15" t="n">
        <f aca="false">SUMIFS('Daily Log'!$P$6:$P$376,'Daily Log'!$W$6:$W$376,$A40)</f>
        <v>0</v>
      </c>
      <c r="W40" s="15" t="n">
        <f aca="false">SUMIFS('Daily Log'!$Q$6:$Q$376,'Daily Log'!$W$6:$W$376,$A40)</f>
        <v>0</v>
      </c>
      <c r="X40" s="15" t="n">
        <f aca="false">SUMIFS('Daily Log'!$R$6:$R$376,'Daily Log'!$W$6:$W$376,$A40)</f>
        <v>0</v>
      </c>
      <c r="Y40" s="15" t="n">
        <f aca="false">SUMIFS('Daily Log'!$S$6:$S$376,'Daily Log'!$W$6:$W$376,$A40)</f>
        <v>0</v>
      </c>
      <c r="Z40" s="17" t="n">
        <f aca="false">IF($H40=0,0,ROUND($G40*N40/$H40,0))</f>
        <v>0</v>
      </c>
      <c r="AA40" s="17" t="n">
        <f aca="false">IF($H40=0,0,ROUND($G40*O40/$H40,0))</f>
        <v>0</v>
      </c>
      <c r="AB40" s="17" t="n">
        <f aca="false">IF($H40=0,0,ROUND($G40*P40/$H40,0))</f>
        <v>0</v>
      </c>
      <c r="AC40" s="17" t="n">
        <f aca="false">IF($H40=0,0,ROUND($G40*Q40/$H40,0))</f>
        <v>0</v>
      </c>
      <c r="AD40" s="17" t="n">
        <f aca="false">IF($H40=0,0,ROUND($G40*R40/$H40,0))</f>
        <v>0</v>
      </c>
      <c r="AE40" s="17" t="n">
        <f aca="false">IF($H40=0,0,ROUND($G40*S40/$H40,0))</f>
        <v>0</v>
      </c>
      <c r="AF40" s="17" t="n">
        <f aca="false">IF($H40=0,0,ROUND($G40*T40/$H40,0))</f>
        <v>0</v>
      </c>
      <c r="AG40" s="17" t="n">
        <f aca="false">IF($H40=0,0,ROUND($G40*U40/$H40,0))</f>
        <v>0</v>
      </c>
      <c r="AH40" s="17" t="n">
        <f aca="false">IF($H40=0,0,ROUND($G40*V40/$H40,0))</f>
        <v>0</v>
      </c>
      <c r="AI40" s="17" t="n">
        <f aca="false">IF($H40=0,0,ROUND($G40*W40/$H40,0))</f>
        <v>0</v>
      </c>
      <c r="AJ40" s="17" t="n">
        <f aca="false">IF($H40=0,0,ROUND($G40*X40/$H40,0))</f>
        <v>0</v>
      </c>
      <c r="AK40" s="17" t="n">
        <f aca="false">IF($H40=0,0,ROUND($G40*Y40/$H40,0))</f>
        <v>0</v>
      </c>
      <c r="AL40" s="17" t="n">
        <f aca="false">SUM(Z40:AK40)</f>
        <v>0</v>
      </c>
      <c r="AM40" s="29" t="n">
        <f aca="false">$AL40-$G40</f>
        <v>0</v>
      </c>
    </row>
    <row r="41" customFormat="false" ht="15" hidden="false" customHeight="false" outlineLevel="0" collapsed="false">
      <c r="A41" s="73" t="n">
        <v>46531</v>
      </c>
      <c r="B41" s="74" t="n">
        <f aca="false">$A41+6</f>
        <v>46537</v>
      </c>
      <c r="C41" s="75" t="n">
        <f aca="false">SUMIFS('Daily Log'!$C$6:$C$376,'Daily Log'!$W$6:$W$376,$A41)</f>
        <v>0</v>
      </c>
      <c r="D41" s="75" t="n">
        <f aca="false">SUMIFS('Daily Log'!$D$6:$D$376,'Daily Log'!$W$6:$W$376,$A41)</f>
        <v>0</v>
      </c>
      <c r="E41" s="75" t="n">
        <f aca="false">SUMIFS('Daily Log'!$E$6:$E$376,'Daily Log'!$W$6:$W$376,$A41)</f>
        <v>0</v>
      </c>
      <c r="F41" s="75" t="n">
        <f aca="false">SUMIFS('Daily Log'!$F$6:$F$376,'Daily Log'!$W$6:$W$376,$A41)</f>
        <v>0</v>
      </c>
      <c r="G41" s="17" t="n">
        <f aca="false">SUMIFS('Daily Log'!$V$6:$V$376,'Daily Log'!$W$6:$W$376,$A41)</f>
        <v>0</v>
      </c>
      <c r="H41" s="75" t="n">
        <f aca="false">SUMIFS('Daily Log'!$T$6:$T$376,'Daily Log'!$W$6:$W$376,$A41)</f>
        <v>0</v>
      </c>
      <c r="I41" s="43" t="str">
        <f aca="false">IF($C41=0,"",$D41/$C41)</f>
        <v/>
      </c>
      <c r="J41" s="13" t="str">
        <f aca="false">IF($H41=0,"",$E41/$H41)</f>
        <v/>
      </c>
      <c r="K41" s="75" t="n">
        <f aca="false">SUMIFS('Daily Log'!$G$6:$G$376,'Daily Log'!$W$6:$W$376,$A41)</f>
        <v>0</v>
      </c>
      <c r="L41" s="76" t="str">
        <f aca="false">IF(OR($E41=0,$K41=0),"",$K41/$E41*1000)</f>
        <v/>
      </c>
      <c r="M41" s="19" t="str">
        <f aca="false">IF(AND($G41&gt;0,$H41=0),"pot not shared - no attendance marked",IF(AND($I41&lt;&gt;"",N($I41)&gt;RejectAlarm),"reject rate high",IF(AND($L41&lt;&gt;"",N(CementNorm)&gt;0),IF(ABS($L41/CementNorm-1)&gt;0.3,"cement use off by &gt;30% - check counts",""),"")))</f>
        <v/>
      </c>
      <c r="N41" s="15" t="n">
        <f aca="false">SUMIFS('Daily Log'!$H$6:$H$376,'Daily Log'!$W$6:$W$376,$A41)</f>
        <v>0</v>
      </c>
      <c r="O41" s="15" t="n">
        <f aca="false">SUMIFS('Daily Log'!$I$6:$I$376,'Daily Log'!$W$6:$W$376,$A41)</f>
        <v>0</v>
      </c>
      <c r="P41" s="15" t="n">
        <f aca="false">SUMIFS('Daily Log'!$J$6:$J$376,'Daily Log'!$W$6:$W$376,$A41)</f>
        <v>0</v>
      </c>
      <c r="Q41" s="15" t="n">
        <f aca="false">SUMIFS('Daily Log'!$K$6:$K$376,'Daily Log'!$W$6:$W$376,$A41)</f>
        <v>0</v>
      </c>
      <c r="R41" s="15" t="n">
        <f aca="false">SUMIFS('Daily Log'!$L$6:$L$376,'Daily Log'!$W$6:$W$376,$A41)</f>
        <v>0</v>
      </c>
      <c r="S41" s="15" t="n">
        <f aca="false">SUMIFS('Daily Log'!$M$6:$M$376,'Daily Log'!$W$6:$W$376,$A41)</f>
        <v>0</v>
      </c>
      <c r="T41" s="15" t="n">
        <f aca="false">SUMIFS('Daily Log'!$N$6:$N$376,'Daily Log'!$W$6:$W$376,$A41)</f>
        <v>0</v>
      </c>
      <c r="U41" s="15" t="n">
        <f aca="false">SUMIFS('Daily Log'!$O$6:$O$376,'Daily Log'!$W$6:$W$376,$A41)</f>
        <v>0</v>
      </c>
      <c r="V41" s="15" t="n">
        <f aca="false">SUMIFS('Daily Log'!$P$6:$P$376,'Daily Log'!$W$6:$W$376,$A41)</f>
        <v>0</v>
      </c>
      <c r="W41" s="15" t="n">
        <f aca="false">SUMIFS('Daily Log'!$Q$6:$Q$376,'Daily Log'!$W$6:$W$376,$A41)</f>
        <v>0</v>
      </c>
      <c r="X41" s="15" t="n">
        <f aca="false">SUMIFS('Daily Log'!$R$6:$R$376,'Daily Log'!$W$6:$W$376,$A41)</f>
        <v>0</v>
      </c>
      <c r="Y41" s="15" t="n">
        <f aca="false">SUMIFS('Daily Log'!$S$6:$S$376,'Daily Log'!$W$6:$W$376,$A41)</f>
        <v>0</v>
      </c>
      <c r="Z41" s="17" t="n">
        <f aca="false">IF($H41=0,0,ROUND($G41*N41/$H41,0))</f>
        <v>0</v>
      </c>
      <c r="AA41" s="17" t="n">
        <f aca="false">IF($H41=0,0,ROUND($G41*O41/$H41,0))</f>
        <v>0</v>
      </c>
      <c r="AB41" s="17" t="n">
        <f aca="false">IF($H41=0,0,ROUND($G41*P41/$H41,0))</f>
        <v>0</v>
      </c>
      <c r="AC41" s="17" t="n">
        <f aca="false">IF($H41=0,0,ROUND($G41*Q41/$H41,0))</f>
        <v>0</v>
      </c>
      <c r="AD41" s="17" t="n">
        <f aca="false">IF($H41=0,0,ROUND($G41*R41/$H41,0))</f>
        <v>0</v>
      </c>
      <c r="AE41" s="17" t="n">
        <f aca="false">IF($H41=0,0,ROUND($G41*S41/$H41,0))</f>
        <v>0</v>
      </c>
      <c r="AF41" s="17" t="n">
        <f aca="false">IF($H41=0,0,ROUND($G41*T41/$H41,0))</f>
        <v>0</v>
      </c>
      <c r="AG41" s="17" t="n">
        <f aca="false">IF($H41=0,0,ROUND($G41*U41/$H41,0))</f>
        <v>0</v>
      </c>
      <c r="AH41" s="17" t="n">
        <f aca="false">IF($H41=0,0,ROUND($G41*V41/$H41,0))</f>
        <v>0</v>
      </c>
      <c r="AI41" s="17" t="n">
        <f aca="false">IF($H41=0,0,ROUND($G41*W41/$H41,0))</f>
        <v>0</v>
      </c>
      <c r="AJ41" s="17" t="n">
        <f aca="false">IF($H41=0,0,ROUND($G41*X41/$H41,0))</f>
        <v>0</v>
      </c>
      <c r="AK41" s="17" t="n">
        <f aca="false">IF($H41=0,0,ROUND($G41*Y41/$H41,0))</f>
        <v>0</v>
      </c>
      <c r="AL41" s="17" t="n">
        <f aca="false">SUM(Z41:AK41)</f>
        <v>0</v>
      </c>
      <c r="AM41" s="29" t="n">
        <f aca="false">$AL41-$G41</f>
        <v>0</v>
      </c>
    </row>
    <row r="42" customFormat="false" ht="15" hidden="false" customHeight="false" outlineLevel="0" collapsed="false">
      <c r="A42" s="73" t="n">
        <v>46538</v>
      </c>
      <c r="B42" s="74" t="n">
        <f aca="false">$A42+6</f>
        <v>46544</v>
      </c>
      <c r="C42" s="75" t="n">
        <f aca="false">SUMIFS('Daily Log'!$C$6:$C$376,'Daily Log'!$W$6:$W$376,$A42)</f>
        <v>0</v>
      </c>
      <c r="D42" s="75" t="n">
        <f aca="false">SUMIFS('Daily Log'!$D$6:$D$376,'Daily Log'!$W$6:$W$376,$A42)</f>
        <v>0</v>
      </c>
      <c r="E42" s="75" t="n">
        <f aca="false">SUMIFS('Daily Log'!$E$6:$E$376,'Daily Log'!$W$6:$W$376,$A42)</f>
        <v>0</v>
      </c>
      <c r="F42" s="75" t="n">
        <f aca="false">SUMIFS('Daily Log'!$F$6:$F$376,'Daily Log'!$W$6:$W$376,$A42)</f>
        <v>0</v>
      </c>
      <c r="G42" s="17" t="n">
        <f aca="false">SUMIFS('Daily Log'!$V$6:$V$376,'Daily Log'!$W$6:$W$376,$A42)</f>
        <v>0</v>
      </c>
      <c r="H42" s="75" t="n">
        <f aca="false">SUMIFS('Daily Log'!$T$6:$T$376,'Daily Log'!$W$6:$W$376,$A42)</f>
        <v>0</v>
      </c>
      <c r="I42" s="43" t="str">
        <f aca="false">IF($C42=0,"",$D42/$C42)</f>
        <v/>
      </c>
      <c r="J42" s="13" t="str">
        <f aca="false">IF($H42=0,"",$E42/$H42)</f>
        <v/>
      </c>
      <c r="K42" s="75" t="n">
        <f aca="false">SUMIFS('Daily Log'!$G$6:$G$376,'Daily Log'!$W$6:$W$376,$A42)</f>
        <v>0</v>
      </c>
      <c r="L42" s="76" t="str">
        <f aca="false">IF(OR($E42=0,$K42=0),"",$K42/$E42*1000)</f>
        <v/>
      </c>
      <c r="M42" s="19" t="str">
        <f aca="false">IF(AND($G42&gt;0,$H42=0),"pot not shared - no attendance marked",IF(AND($I42&lt;&gt;"",N($I42)&gt;RejectAlarm),"reject rate high",IF(AND($L42&lt;&gt;"",N(CementNorm)&gt;0),IF(ABS($L42/CementNorm-1)&gt;0.3,"cement use off by &gt;30% - check counts",""),"")))</f>
        <v/>
      </c>
      <c r="N42" s="15" t="n">
        <f aca="false">SUMIFS('Daily Log'!$H$6:$H$376,'Daily Log'!$W$6:$W$376,$A42)</f>
        <v>0</v>
      </c>
      <c r="O42" s="15" t="n">
        <f aca="false">SUMIFS('Daily Log'!$I$6:$I$376,'Daily Log'!$W$6:$W$376,$A42)</f>
        <v>0</v>
      </c>
      <c r="P42" s="15" t="n">
        <f aca="false">SUMIFS('Daily Log'!$J$6:$J$376,'Daily Log'!$W$6:$W$376,$A42)</f>
        <v>0</v>
      </c>
      <c r="Q42" s="15" t="n">
        <f aca="false">SUMIFS('Daily Log'!$K$6:$K$376,'Daily Log'!$W$6:$W$376,$A42)</f>
        <v>0</v>
      </c>
      <c r="R42" s="15" t="n">
        <f aca="false">SUMIFS('Daily Log'!$L$6:$L$376,'Daily Log'!$W$6:$W$376,$A42)</f>
        <v>0</v>
      </c>
      <c r="S42" s="15" t="n">
        <f aca="false">SUMIFS('Daily Log'!$M$6:$M$376,'Daily Log'!$W$6:$W$376,$A42)</f>
        <v>0</v>
      </c>
      <c r="T42" s="15" t="n">
        <f aca="false">SUMIFS('Daily Log'!$N$6:$N$376,'Daily Log'!$W$6:$W$376,$A42)</f>
        <v>0</v>
      </c>
      <c r="U42" s="15" t="n">
        <f aca="false">SUMIFS('Daily Log'!$O$6:$O$376,'Daily Log'!$W$6:$W$376,$A42)</f>
        <v>0</v>
      </c>
      <c r="V42" s="15" t="n">
        <f aca="false">SUMIFS('Daily Log'!$P$6:$P$376,'Daily Log'!$W$6:$W$376,$A42)</f>
        <v>0</v>
      </c>
      <c r="W42" s="15" t="n">
        <f aca="false">SUMIFS('Daily Log'!$Q$6:$Q$376,'Daily Log'!$W$6:$W$376,$A42)</f>
        <v>0</v>
      </c>
      <c r="X42" s="15" t="n">
        <f aca="false">SUMIFS('Daily Log'!$R$6:$R$376,'Daily Log'!$W$6:$W$376,$A42)</f>
        <v>0</v>
      </c>
      <c r="Y42" s="15" t="n">
        <f aca="false">SUMIFS('Daily Log'!$S$6:$S$376,'Daily Log'!$W$6:$W$376,$A42)</f>
        <v>0</v>
      </c>
      <c r="Z42" s="17" t="n">
        <f aca="false">IF($H42=0,0,ROUND($G42*N42/$H42,0))</f>
        <v>0</v>
      </c>
      <c r="AA42" s="17" t="n">
        <f aca="false">IF($H42=0,0,ROUND($G42*O42/$H42,0))</f>
        <v>0</v>
      </c>
      <c r="AB42" s="17" t="n">
        <f aca="false">IF($H42=0,0,ROUND($G42*P42/$H42,0))</f>
        <v>0</v>
      </c>
      <c r="AC42" s="17" t="n">
        <f aca="false">IF($H42=0,0,ROUND($G42*Q42/$H42,0))</f>
        <v>0</v>
      </c>
      <c r="AD42" s="17" t="n">
        <f aca="false">IF($H42=0,0,ROUND($G42*R42/$H42,0))</f>
        <v>0</v>
      </c>
      <c r="AE42" s="17" t="n">
        <f aca="false">IF($H42=0,0,ROUND($G42*S42/$H42,0))</f>
        <v>0</v>
      </c>
      <c r="AF42" s="17" t="n">
        <f aca="false">IF($H42=0,0,ROUND($G42*T42/$H42,0))</f>
        <v>0</v>
      </c>
      <c r="AG42" s="17" t="n">
        <f aca="false">IF($H42=0,0,ROUND($G42*U42/$H42,0))</f>
        <v>0</v>
      </c>
      <c r="AH42" s="17" t="n">
        <f aca="false">IF($H42=0,0,ROUND($G42*V42/$H42,0))</f>
        <v>0</v>
      </c>
      <c r="AI42" s="17" t="n">
        <f aca="false">IF($H42=0,0,ROUND($G42*W42/$H42,0))</f>
        <v>0</v>
      </c>
      <c r="AJ42" s="17" t="n">
        <f aca="false">IF($H42=0,0,ROUND($G42*X42/$H42,0))</f>
        <v>0</v>
      </c>
      <c r="AK42" s="17" t="n">
        <f aca="false">IF($H42=0,0,ROUND($G42*Y42/$H42,0))</f>
        <v>0</v>
      </c>
      <c r="AL42" s="17" t="n">
        <f aca="false">SUM(Z42:AK42)</f>
        <v>0</v>
      </c>
      <c r="AM42" s="29" t="n">
        <f aca="false">$AL42-$G42</f>
        <v>0</v>
      </c>
    </row>
    <row r="43" customFormat="false" ht="15" hidden="false" customHeight="false" outlineLevel="0" collapsed="false">
      <c r="A43" s="73" t="n">
        <v>46545</v>
      </c>
      <c r="B43" s="74" t="n">
        <f aca="false">$A43+6</f>
        <v>46551</v>
      </c>
      <c r="C43" s="75" t="n">
        <f aca="false">SUMIFS('Daily Log'!$C$6:$C$376,'Daily Log'!$W$6:$W$376,$A43)</f>
        <v>0</v>
      </c>
      <c r="D43" s="75" t="n">
        <f aca="false">SUMIFS('Daily Log'!$D$6:$D$376,'Daily Log'!$W$6:$W$376,$A43)</f>
        <v>0</v>
      </c>
      <c r="E43" s="75" t="n">
        <f aca="false">SUMIFS('Daily Log'!$E$6:$E$376,'Daily Log'!$W$6:$W$376,$A43)</f>
        <v>0</v>
      </c>
      <c r="F43" s="75" t="n">
        <f aca="false">SUMIFS('Daily Log'!$F$6:$F$376,'Daily Log'!$W$6:$W$376,$A43)</f>
        <v>0</v>
      </c>
      <c r="G43" s="17" t="n">
        <f aca="false">SUMIFS('Daily Log'!$V$6:$V$376,'Daily Log'!$W$6:$W$376,$A43)</f>
        <v>0</v>
      </c>
      <c r="H43" s="75" t="n">
        <f aca="false">SUMIFS('Daily Log'!$T$6:$T$376,'Daily Log'!$W$6:$W$376,$A43)</f>
        <v>0</v>
      </c>
      <c r="I43" s="43" t="str">
        <f aca="false">IF($C43=0,"",$D43/$C43)</f>
        <v/>
      </c>
      <c r="J43" s="13" t="str">
        <f aca="false">IF($H43=0,"",$E43/$H43)</f>
        <v/>
      </c>
      <c r="K43" s="75" t="n">
        <f aca="false">SUMIFS('Daily Log'!$G$6:$G$376,'Daily Log'!$W$6:$W$376,$A43)</f>
        <v>0</v>
      </c>
      <c r="L43" s="76" t="str">
        <f aca="false">IF(OR($E43=0,$K43=0),"",$K43/$E43*1000)</f>
        <v/>
      </c>
      <c r="M43" s="19" t="str">
        <f aca="false">IF(AND($G43&gt;0,$H43=0),"pot not shared - no attendance marked",IF(AND($I43&lt;&gt;"",N($I43)&gt;RejectAlarm),"reject rate high",IF(AND($L43&lt;&gt;"",N(CementNorm)&gt;0),IF(ABS($L43/CementNorm-1)&gt;0.3,"cement use off by &gt;30% - check counts",""),"")))</f>
        <v/>
      </c>
      <c r="N43" s="15" t="n">
        <f aca="false">SUMIFS('Daily Log'!$H$6:$H$376,'Daily Log'!$W$6:$W$376,$A43)</f>
        <v>0</v>
      </c>
      <c r="O43" s="15" t="n">
        <f aca="false">SUMIFS('Daily Log'!$I$6:$I$376,'Daily Log'!$W$6:$W$376,$A43)</f>
        <v>0</v>
      </c>
      <c r="P43" s="15" t="n">
        <f aca="false">SUMIFS('Daily Log'!$J$6:$J$376,'Daily Log'!$W$6:$W$376,$A43)</f>
        <v>0</v>
      </c>
      <c r="Q43" s="15" t="n">
        <f aca="false">SUMIFS('Daily Log'!$K$6:$K$376,'Daily Log'!$W$6:$W$376,$A43)</f>
        <v>0</v>
      </c>
      <c r="R43" s="15" t="n">
        <f aca="false">SUMIFS('Daily Log'!$L$6:$L$376,'Daily Log'!$W$6:$W$376,$A43)</f>
        <v>0</v>
      </c>
      <c r="S43" s="15" t="n">
        <f aca="false">SUMIFS('Daily Log'!$M$6:$M$376,'Daily Log'!$W$6:$W$376,$A43)</f>
        <v>0</v>
      </c>
      <c r="T43" s="15" t="n">
        <f aca="false">SUMIFS('Daily Log'!$N$6:$N$376,'Daily Log'!$W$6:$W$376,$A43)</f>
        <v>0</v>
      </c>
      <c r="U43" s="15" t="n">
        <f aca="false">SUMIFS('Daily Log'!$O$6:$O$376,'Daily Log'!$W$6:$W$376,$A43)</f>
        <v>0</v>
      </c>
      <c r="V43" s="15" t="n">
        <f aca="false">SUMIFS('Daily Log'!$P$6:$P$376,'Daily Log'!$W$6:$W$376,$A43)</f>
        <v>0</v>
      </c>
      <c r="W43" s="15" t="n">
        <f aca="false">SUMIFS('Daily Log'!$Q$6:$Q$376,'Daily Log'!$W$6:$W$376,$A43)</f>
        <v>0</v>
      </c>
      <c r="X43" s="15" t="n">
        <f aca="false">SUMIFS('Daily Log'!$R$6:$R$376,'Daily Log'!$W$6:$W$376,$A43)</f>
        <v>0</v>
      </c>
      <c r="Y43" s="15" t="n">
        <f aca="false">SUMIFS('Daily Log'!$S$6:$S$376,'Daily Log'!$W$6:$W$376,$A43)</f>
        <v>0</v>
      </c>
      <c r="Z43" s="17" t="n">
        <f aca="false">IF($H43=0,0,ROUND($G43*N43/$H43,0))</f>
        <v>0</v>
      </c>
      <c r="AA43" s="17" t="n">
        <f aca="false">IF($H43=0,0,ROUND($G43*O43/$H43,0))</f>
        <v>0</v>
      </c>
      <c r="AB43" s="17" t="n">
        <f aca="false">IF($H43=0,0,ROUND($G43*P43/$H43,0))</f>
        <v>0</v>
      </c>
      <c r="AC43" s="17" t="n">
        <f aca="false">IF($H43=0,0,ROUND($G43*Q43/$H43,0))</f>
        <v>0</v>
      </c>
      <c r="AD43" s="17" t="n">
        <f aca="false">IF($H43=0,0,ROUND($G43*R43/$H43,0))</f>
        <v>0</v>
      </c>
      <c r="AE43" s="17" t="n">
        <f aca="false">IF($H43=0,0,ROUND($G43*S43/$H43,0))</f>
        <v>0</v>
      </c>
      <c r="AF43" s="17" t="n">
        <f aca="false">IF($H43=0,0,ROUND($G43*T43/$H43,0))</f>
        <v>0</v>
      </c>
      <c r="AG43" s="17" t="n">
        <f aca="false">IF($H43=0,0,ROUND($G43*U43/$H43,0))</f>
        <v>0</v>
      </c>
      <c r="AH43" s="17" t="n">
        <f aca="false">IF($H43=0,0,ROUND($G43*V43/$H43,0))</f>
        <v>0</v>
      </c>
      <c r="AI43" s="17" t="n">
        <f aca="false">IF($H43=0,0,ROUND($G43*W43/$H43,0))</f>
        <v>0</v>
      </c>
      <c r="AJ43" s="17" t="n">
        <f aca="false">IF($H43=0,0,ROUND($G43*X43/$H43,0))</f>
        <v>0</v>
      </c>
      <c r="AK43" s="17" t="n">
        <f aca="false">IF($H43=0,0,ROUND($G43*Y43/$H43,0))</f>
        <v>0</v>
      </c>
      <c r="AL43" s="17" t="n">
        <f aca="false">SUM(Z43:AK43)</f>
        <v>0</v>
      </c>
      <c r="AM43" s="29" t="n">
        <f aca="false">$AL43-$G43</f>
        <v>0</v>
      </c>
    </row>
    <row r="44" customFormat="false" ht="15" hidden="false" customHeight="false" outlineLevel="0" collapsed="false">
      <c r="A44" s="73" t="n">
        <v>46552</v>
      </c>
      <c r="B44" s="74" t="n">
        <f aca="false">$A44+6</f>
        <v>46558</v>
      </c>
      <c r="C44" s="75" t="n">
        <f aca="false">SUMIFS('Daily Log'!$C$6:$C$376,'Daily Log'!$W$6:$W$376,$A44)</f>
        <v>0</v>
      </c>
      <c r="D44" s="75" t="n">
        <f aca="false">SUMIFS('Daily Log'!$D$6:$D$376,'Daily Log'!$W$6:$W$376,$A44)</f>
        <v>0</v>
      </c>
      <c r="E44" s="75" t="n">
        <f aca="false">SUMIFS('Daily Log'!$E$6:$E$376,'Daily Log'!$W$6:$W$376,$A44)</f>
        <v>0</v>
      </c>
      <c r="F44" s="75" t="n">
        <f aca="false">SUMIFS('Daily Log'!$F$6:$F$376,'Daily Log'!$W$6:$W$376,$A44)</f>
        <v>0</v>
      </c>
      <c r="G44" s="17" t="n">
        <f aca="false">SUMIFS('Daily Log'!$V$6:$V$376,'Daily Log'!$W$6:$W$376,$A44)</f>
        <v>0</v>
      </c>
      <c r="H44" s="75" t="n">
        <f aca="false">SUMIFS('Daily Log'!$T$6:$T$376,'Daily Log'!$W$6:$W$376,$A44)</f>
        <v>0</v>
      </c>
      <c r="I44" s="43" t="str">
        <f aca="false">IF($C44=0,"",$D44/$C44)</f>
        <v/>
      </c>
      <c r="J44" s="13" t="str">
        <f aca="false">IF($H44=0,"",$E44/$H44)</f>
        <v/>
      </c>
      <c r="K44" s="75" t="n">
        <f aca="false">SUMIFS('Daily Log'!$G$6:$G$376,'Daily Log'!$W$6:$W$376,$A44)</f>
        <v>0</v>
      </c>
      <c r="L44" s="76" t="str">
        <f aca="false">IF(OR($E44=0,$K44=0),"",$K44/$E44*1000)</f>
        <v/>
      </c>
      <c r="M44" s="19" t="str">
        <f aca="false">IF(AND($G44&gt;0,$H44=0),"pot not shared - no attendance marked",IF(AND($I44&lt;&gt;"",N($I44)&gt;RejectAlarm),"reject rate high",IF(AND($L44&lt;&gt;"",N(CementNorm)&gt;0),IF(ABS($L44/CementNorm-1)&gt;0.3,"cement use off by &gt;30% - check counts",""),"")))</f>
        <v/>
      </c>
      <c r="N44" s="15" t="n">
        <f aca="false">SUMIFS('Daily Log'!$H$6:$H$376,'Daily Log'!$W$6:$W$376,$A44)</f>
        <v>0</v>
      </c>
      <c r="O44" s="15" t="n">
        <f aca="false">SUMIFS('Daily Log'!$I$6:$I$376,'Daily Log'!$W$6:$W$376,$A44)</f>
        <v>0</v>
      </c>
      <c r="P44" s="15" t="n">
        <f aca="false">SUMIFS('Daily Log'!$J$6:$J$376,'Daily Log'!$W$6:$W$376,$A44)</f>
        <v>0</v>
      </c>
      <c r="Q44" s="15" t="n">
        <f aca="false">SUMIFS('Daily Log'!$K$6:$K$376,'Daily Log'!$W$6:$W$376,$A44)</f>
        <v>0</v>
      </c>
      <c r="R44" s="15" t="n">
        <f aca="false">SUMIFS('Daily Log'!$L$6:$L$376,'Daily Log'!$W$6:$W$376,$A44)</f>
        <v>0</v>
      </c>
      <c r="S44" s="15" t="n">
        <f aca="false">SUMIFS('Daily Log'!$M$6:$M$376,'Daily Log'!$W$6:$W$376,$A44)</f>
        <v>0</v>
      </c>
      <c r="T44" s="15" t="n">
        <f aca="false">SUMIFS('Daily Log'!$N$6:$N$376,'Daily Log'!$W$6:$W$376,$A44)</f>
        <v>0</v>
      </c>
      <c r="U44" s="15" t="n">
        <f aca="false">SUMIFS('Daily Log'!$O$6:$O$376,'Daily Log'!$W$6:$W$376,$A44)</f>
        <v>0</v>
      </c>
      <c r="V44" s="15" t="n">
        <f aca="false">SUMIFS('Daily Log'!$P$6:$P$376,'Daily Log'!$W$6:$W$376,$A44)</f>
        <v>0</v>
      </c>
      <c r="W44" s="15" t="n">
        <f aca="false">SUMIFS('Daily Log'!$Q$6:$Q$376,'Daily Log'!$W$6:$W$376,$A44)</f>
        <v>0</v>
      </c>
      <c r="X44" s="15" t="n">
        <f aca="false">SUMIFS('Daily Log'!$R$6:$R$376,'Daily Log'!$W$6:$W$376,$A44)</f>
        <v>0</v>
      </c>
      <c r="Y44" s="15" t="n">
        <f aca="false">SUMIFS('Daily Log'!$S$6:$S$376,'Daily Log'!$W$6:$W$376,$A44)</f>
        <v>0</v>
      </c>
      <c r="Z44" s="17" t="n">
        <f aca="false">IF($H44=0,0,ROUND($G44*N44/$H44,0))</f>
        <v>0</v>
      </c>
      <c r="AA44" s="17" t="n">
        <f aca="false">IF($H44=0,0,ROUND($G44*O44/$H44,0))</f>
        <v>0</v>
      </c>
      <c r="AB44" s="17" t="n">
        <f aca="false">IF($H44=0,0,ROUND($G44*P44/$H44,0))</f>
        <v>0</v>
      </c>
      <c r="AC44" s="17" t="n">
        <f aca="false">IF($H44=0,0,ROUND($G44*Q44/$H44,0))</f>
        <v>0</v>
      </c>
      <c r="AD44" s="17" t="n">
        <f aca="false">IF($H44=0,0,ROUND($G44*R44/$H44,0))</f>
        <v>0</v>
      </c>
      <c r="AE44" s="17" t="n">
        <f aca="false">IF($H44=0,0,ROUND($G44*S44/$H44,0))</f>
        <v>0</v>
      </c>
      <c r="AF44" s="17" t="n">
        <f aca="false">IF($H44=0,0,ROUND($G44*T44/$H44,0))</f>
        <v>0</v>
      </c>
      <c r="AG44" s="17" t="n">
        <f aca="false">IF($H44=0,0,ROUND($G44*U44/$H44,0))</f>
        <v>0</v>
      </c>
      <c r="AH44" s="17" t="n">
        <f aca="false">IF($H44=0,0,ROUND($G44*V44/$H44,0))</f>
        <v>0</v>
      </c>
      <c r="AI44" s="17" t="n">
        <f aca="false">IF($H44=0,0,ROUND($G44*W44/$H44,0))</f>
        <v>0</v>
      </c>
      <c r="AJ44" s="17" t="n">
        <f aca="false">IF($H44=0,0,ROUND($G44*X44/$H44,0))</f>
        <v>0</v>
      </c>
      <c r="AK44" s="17" t="n">
        <f aca="false">IF($H44=0,0,ROUND($G44*Y44/$H44,0))</f>
        <v>0</v>
      </c>
      <c r="AL44" s="17" t="n">
        <f aca="false">SUM(Z44:AK44)</f>
        <v>0</v>
      </c>
      <c r="AM44" s="29" t="n">
        <f aca="false">$AL44-$G44</f>
        <v>0</v>
      </c>
    </row>
    <row r="45" customFormat="false" ht="15" hidden="false" customHeight="false" outlineLevel="0" collapsed="false">
      <c r="A45" s="73" t="n">
        <v>46559</v>
      </c>
      <c r="B45" s="74" t="n">
        <f aca="false">$A45+6</f>
        <v>46565</v>
      </c>
      <c r="C45" s="75" t="n">
        <f aca="false">SUMIFS('Daily Log'!$C$6:$C$376,'Daily Log'!$W$6:$W$376,$A45)</f>
        <v>0</v>
      </c>
      <c r="D45" s="75" t="n">
        <f aca="false">SUMIFS('Daily Log'!$D$6:$D$376,'Daily Log'!$W$6:$W$376,$A45)</f>
        <v>0</v>
      </c>
      <c r="E45" s="75" t="n">
        <f aca="false">SUMIFS('Daily Log'!$E$6:$E$376,'Daily Log'!$W$6:$W$376,$A45)</f>
        <v>0</v>
      </c>
      <c r="F45" s="75" t="n">
        <f aca="false">SUMIFS('Daily Log'!$F$6:$F$376,'Daily Log'!$W$6:$W$376,$A45)</f>
        <v>0</v>
      </c>
      <c r="G45" s="17" t="n">
        <f aca="false">SUMIFS('Daily Log'!$V$6:$V$376,'Daily Log'!$W$6:$W$376,$A45)</f>
        <v>0</v>
      </c>
      <c r="H45" s="75" t="n">
        <f aca="false">SUMIFS('Daily Log'!$T$6:$T$376,'Daily Log'!$W$6:$W$376,$A45)</f>
        <v>0</v>
      </c>
      <c r="I45" s="43" t="str">
        <f aca="false">IF($C45=0,"",$D45/$C45)</f>
        <v/>
      </c>
      <c r="J45" s="13" t="str">
        <f aca="false">IF($H45=0,"",$E45/$H45)</f>
        <v/>
      </c>
      <c r="K45" s="75" t="n">
        <f aca="false">SUMIFS('Daily Log'!$G$6:$G$376,'Daily Log'!$W$6:$W$376,$A45)</f>
        <v>0</v>
      </c>
      <c r="L45" s="76" t="str">
        <f aca="false">IF(OR($E45=0,$K45=0),"",$K45/$E45*1000)</f>
        <v/>
      </c>
      <c r="M45" s="19" t="str">
        <f aca="false">IF(AND($G45&gt;0,$H45=0),"pot not shared - no attendance marked",IF(AND($I45&lt;&gt;"",N($I45)&gt;RejectAlarm),"reject rate high",IF(AND($L45&lt;&gt;"",N(CementNorm)&gt;0),IF(ABS($L45/CementNorm-1)&gt;0.3,"cement use off by &gt;30% - check counts",""),"")))</f>
        <v/>
      </c>
      <c r="N45" s="15" t="n">
        <f aca="false">SUMIFS('Daily Log'!$H$6:$H$376,'Daily Log'!$W$6:$W$376,$A45)</f>
        <v>0</v>
      </c>
      <c r="O45" s="15" t="n">
        <f aca="false">SUMIFS('Daily Log'!$I$6:$I$376,'Daily Log'!$W$6:$W$376,$A45)</f>
        <v>0</v>
      </c>
      <c r="P45" s="15" t="n">
        <f aca="false">SUMIFS('Daily Log'!$J$6:$J$376,'Daily Log'!$W$6:$W$376,$A45)</f>
        <v>0</v>
      </c>
      <c r="Q45" s="15" t="n">
        <f aca="false">SUMIFS('Daily Log'!$K$6:$K$376,'Daily Log'!$W$6:$W$376,$A45)</f>
        <v>0</v>
      </c>
      <c r="R45" s="15" t="n">
        <f aca="false">SUMIFS('Daily Log'!$L$6:$L$376,'Daily Log'!$W$6:$W$376,$A45)</f>
        <v>0</v>
      </c>
      <c r="S45" s="15" t="n">
        <f aca="false">SUMIFS('Daily Log'!$M$6:$M$376,'Daily Log'!$W$6:$W$376,$A45)</f>
        <v>0</v>
      </c>
      <c r="T45" s="15" t="n">
        <f aca="false">SUMIFS('Daily Log'!$N$6:$N$376,'Daily Log'!$W$6:$W$376,$A45)</f>
        <v>0</v>
      </c>
      <c r="U45" s="15" t="n">
        <f aca="false">SUMIFS('Daily Log'!$O$6:$O$376,'Daily Log'!$W$6:$W$376,$A45)</f>
        <v>0</v>
      </c>
      <c r="V45" s="15" t="n">
        <f aca="false">SUMIFS('Daily Log'!$P$6:$P$376,'Daily Log'!$W$6:$W$376,$A45)</f>
        <v>0</v>
      </c>
      <c r="W45" s="15" t="n">
        <f aca="false">SUMIFS('Daily Log'!$Q$6:$Q$376,'Daily Log'!$W$6:$W$376,$A45)</f>
        <v>0</v>
      </c>
      <c r="X45" s="15" t="n">
        <f aca="false">SUMIFS('Daily Log'!$R$6:$R$376,'Daily Log'!$W$6:$W$376,$A45)</f>
        <v>0</v>
      </c>
      <c r="Y45" s="15" t="n">
        <f aca="false">SUMIFS('Daily Log'!$S$6:$S$376,'Daily Log'!$W$6:$W$376,$A45)</f>
        <v>0</v>
      </c>
      <c r="Z45" s="17" t="n">
        <f aca="false">IF($H45=0,0,ROUND($G45*N45/$H45,0))</f>
        <v>0</v>
      </c>
      <c r="AA45" s="17" t="n">
        <f aca="false">IF($H45=0,0,ROUND($G45*O45/$H45,0))</f>
        <v>0</v>
      </c>
      <c r="AB45" s="17" t="n">
        <f aca="false">IF($H45=0,0,ROUND($G45*P45/$H45,0))</f>
        <v>0</v>
      </c>
      <c r="AC45" s="17" t="n">
        <f aca="false">IF($H45=0,0,ROUND($G45*Q45/$H45,0))</f>
        <v>0</v>
      </c>
      <c r="AD45" s="17" t="n">
        <f aca="false">IF($H45=0,0,ROUND($G45*R45/$H45,0))</f>
        <v>0</v>
      </c>
      <c r="AE45" s="17" t="n">
        <f aca="false">IF($H45=0,0,ROUND($G45*S45/$H45,0))</f>
        <v>0</v>
      </c>
      <c r="AF45" s="17" t="n">
        <f aca="false">IF($H45=0,0,ROUND($G45*T45/$H45,0))</f>
        <v>0</v>
      </c>
      <c r="AG45" s="17" t="n">
        <f aca="false">IF($H45=0,0,ROUND($G45*U45/$H45,0))</f>
        <v>0</v>
      </c>
      <c r="AH45" s="17" t="n">
        <f aca="false">IF($H45=0,0,ROUND($G45*V45/$H45,0))</f>
        <v>0</v>
      </c>
      <c r="AI45" s="17" t="n">
        <f aca="false">IF($H45=0,0,ROUND($G45*W45/$H45,0))</f>
        <v>0</v>
      </c>
      <c r="AJ45" s="17" t="n">
        <f aca="false">IF($H45=0,0,ROUND($G45*X45/$H45,0))</f>
        <v>0</v>
      </c>
      <c r="AK45" s="17" t="n">
        <f aca="false">IF($H45=0,0,ROUND($G45*Y45/$H45,0))</f>
        <v>0</v>
      </c>
      <c r="AL45" s="17" t="n">
        <f aca="false">SUM(Z45:AK45)</f>
        <v>0</v>
      </c>
      <c r="AM45" s="29" t="n">
        <f aca="false">$AL45-$G45</f>
        <v>0</v>
      </c>
    </row>
    <row r="46" customFormat="false" ht="15" hidden="false" customHeight="false" outlineLevel="0" collapsed="false">
      <c r="A46" s="73" t="n">
        <v>46566</v>
      </c>
      <c r="B46" s="74" t="n">
        <f aca="false">$A46+6</f>
        <v>46572</v>
      </c>
      <c r="C46" s="75" t="n">
        <f aca="false">SUMIFS('Daily Log'!$C$6:$C$376,'Daily Log'!$W$6:$W$376,$A46)</f>
        <v>0</v>
      </c>
      <c r="D46" s="75" t="n">
        <f aca="false">SUMIFS('Daily Log'!$D$6:$D$376,'Daily Log'!$W$6:$W$376,$A46)</f>
        <v>0</v>
      </c>
      <c r="E46" s="75" t="n">
        <f aca="false">SUMIFS('Daily Log'!$E$6:$E$376,'Daily Log'!$W$6:$W$376,$A46)</f>
        <v>0</v>
      </c>
      <c r="F46" s="75" t="n">
        <f aca="false">SUMIFS('Daily Log'!$F$6:$F$376,'Daily Log'!$W$6:$W$376,$A46)</f>
        <v>0</v>
      </c>
      <c r="G46" s="17" t="n">
        <f aca="false">SUMIFS('Daily Log'!$V$6:$V$376,'Daily Log'!$W$6:$W$376,$A46)</f>
        <v>0</v>
      </c>
      <c r="H46" s="75" t="n">
        <f aca="false">SUMIFS('Daily Log'!$T$6:$T$376,'Daily Log'!$W$6:$W$376,$A46)</f>
        <v>0</v>
      </c>
      <c r="I46" s="43" t="str">
        <f aca="false">IF($C46=0,"",$D46/$C46)</f>
        <v/>
      </c>
      <c r="J46" s="13" t="str">
        <f aca="false">IF($H46=0,"",$E46/$H46)</f>
        <v/>
      </c>
      <c r="K46" s="75" t="n">
        <f aca="false">SUMIFS('Daily Log'!$G$6:$G$376,'Daily Log'!$W$6:$W$376,$A46)</f>
        <v>0</v>
      </c>
      <c r="L46" s="76" t="str">
        <f aca="false">IF(OR($E46=0,$K46=0),"",$K46/$E46*1000)</f>
        <v/>
      </c>
      <c r="M46" s="19" t="str">
        <f aca="false">IF(AND($G46&gt;0,$H46=0),"pot not shared - no attendance marked",IF(AND($I46&lt;&gt;"",N($I46)&gt;RejectAlarm),"reject rate high",IF(AND($L46&lt;&gt;"",N(CementNorm)&gt;0),IF(ABS($L46/CementNorm-1)&gt;0.3,"cement use off by &gt;30% - check counts",""),"")))</f>
        <v/>
      </c>
      <c r="N46" s="15" t="n">
        <f aca="false">SUMIFS('Daily Log'!$H$6:$H$376,'Daily Log'!$W$6:$W$376,$A46)</f>
        <v>0</v>
      </c>
      <c r="O46" s="15" t="n">
        <f aca="false">SUMIFS('Daily Log'!$I$6:$I$376,'Daily Log'!$W$6:$W$376,$A46)</f>
        <v>0</v>
      </c>
      <c r="P46" s="15" t="n">
        <f aca="false">SUMIFS('Daily Log'!$J$6:$J$376,'Daily Log'!$W$6:$W$376,$A46)</f>
        <v>0</v>
      </c>
      <c r="Q46" s="15" t="n">
        <f aca="false">SUMIFS('Daily Log'!$K$6:$K$376,'Daily Log'!$W$6:$W$376,$A46)</f>
        <v>0</v>
      </c>
      <c r="R46" s="15" t="n">
        <f aca="false">SUMIFS('Daily Log'!$L$6:$L$376,'Daily Log'!$W$6:$W$376,$A46)</f>
        <v>0</v>
      </c>
      <c r="S46" s="15" t="n">
        <f aca="false">SUMIFS('Daily Log'!$M$6:$M$376,'Daily Log'!$W$6:$W$376,$A46)</f>
        <v>0</v>
      </c>
      <c r="T46" s="15" t="n">
        <f aca="false">SUMIFS('Daily Log'!$N$6:$N$376,'Daily Log'!$W$6:$W$376,$A46)</f>
        <v>0</v>
      </c>
      <c r="U46" s="15" t="n">
        <f aca="false">SUMIFS('Daily Log'!$O$6:$O$376,'Daily Log'!$W$6:$W$376,$A46)</f>
        <v>0</v>
      </c>
      <c r="V46" s="15" t="n">
        <f aca="false">SUMIFS('Daily Log'!$P$6:$P$376,'Daily Log'!$W$6:$W$376,$A46)</f>
        <v>0</v>
      </c>
      <c r="W46" s="15" t="n">
        <f aca="false">SUMIFS('Daily Log'!$Q$6:$Q$376,'Daily Log'!$W$6:$W$376,$A46)</f>
        <v>0</v>
      </c>
      <c r="X46" s="15" t="n">
        <f aca="false">SUMIFS('Daily Log'!$R$6:$R$376,'Daily Log'!$W$6:$W$376,$A46)</f>
        <v>0</v>
      </c>
      <c r="Y46" s="15" t="n">
        <f aca="false">SUMIFS('Daily Log'!$S$6:$S$376,'Daily Log'!$W$6:$W$376,$A46)</f>
        <v>0</v>
      </c>
      <c r="Z46" s="17" t="n">
        <f aca="false">IF($H46=0,0,ROUND($G46*N46/$H46,0))</f>
        <v>0</v>
      </c>
      <c r="AA46" s="17" t="n">
        <f aca="false">IF($H46=0,0,ROUND($G46*O46/$H46,0))</f>
        <v>0</v>
      </c>
      <c r="AB46" s="17" t="n">
        <f aca="false">IF($H46=0,0,ROUND($G46*P46/$H46,0))</f>
        <v>0</v>
      </c>
      <c r="AC46" s="17" t="n">
        <f aca="false">IF($H46=0,0,ROUND($G46*Q46/$H46,0))</f>
        <v>0</v>
      </c>
      <c r="AD46" s="17" t="n">
        <f aca="false">IF($H46=0,0,ROUND($G46*R46/$H46,0))</f>
        <v>0</v>
      </c>
      <c r="AE46" s="17" t="n">
        <f aca="false">IF($H46=0,0,ROUND($G46*S46/$H46,0))</f>
        <v>0</v>
      </c>
      <c r="AF46" s="17" t="n">
        <f aca="false">IF($H46=0,0,ROUND($G46*T46/$H46,0))</f>
        <v>0</v>
      </c>
      <c r="AG46" s="17" t="n">
        <f aca="false">IF($H46=0,0,ROUND($G46*U46/$H46,0))</f>
        <v>0</v>
      </c>
      <c r="AH46" s="17" t="n">
        <f aca="false">IF($H46=0,0,ROUND($G46*V46/$H46,0))</f>
        <v>0</v>
      </c>
      <c r="AI46" s="17" t="n">
        <f aca="false">IF($H46=0,0,ROUND($G46*W46/$H46,0))</f>
        <v>0</v>
      </c>
      <c r="AJ46" s="17" t="n">
        <f aca="false">IF($H46=0,0,ROUND($G46*X46/$H46,0))</f>
        <v>0</v>
      </c>
      <c r="AK46" s="17" t="n">
        <f aca="false">IF($H46=0,0,ROUND($G46*Y46/$H46,0))</f>
        <v>0</v>
      </c>
      <c r="AL46" s="17" t="n">
        <f aca="false">SUM(Z46:AK46)</f>
        <v>0</v>
      </c>
      <c r="AM46" s="29" t="n">
        <f aca="false">$AL46-$G46</f>
        <v>0</v>
      </c>
    </row>
    <row r="47" customFormat="false" ht="15" hidden="false" customHeight="false" outlineLevel="0" collapsed="false">
      <c r="A47" s="73" t="n">
        <v>46573</v>
      </c>
      <c r="B47" s="74" t="n">
        <f aca="false">$A47+6</f>
        <v>46579</v>
      </c>
      <c r="C47" s="75" t="n">
        <f aca="false">SUMIFS('Daily Log'!$C$6:$C$376,'Daily Log'!$W$6:$W$376,$A47)</f>
        <v>0</v>
      </c>
      <c r="D47" s="75" t="n">
        <f aca="false">SUMIFS('Daily Log'!$D$6:$D$376,'Daily Log'!$W$6:$W$376,$A47)</f>
        <v>0</v>
      </c>
      <c r="E47" s="75" t="n">
        <f aca="false">SUMIFS('Daily Log'!$E$6:$E$376,'Daily Log'!$W$6:$W$376,$A47)</f>
        <v>0</v>
      </c>
      <c r="F47" s="75" t="n">
        <f aca="false">SUMIFS('Daily Log'!$F$6:$F$376,'Daily Log'!$W$6:$W$376,$A47)</f>
        <v>0</v>
      </c>
      <c r="G47" s="17" t="n">
        <f aca="false">SUMIFS('Daily Log'!$V$6:$V$376,'Daily Log'!$W$6:$W$376,$A47)</f>
        <v>0</v>
      </c>
      <c r="H47" s="75" t="n">
        <f aca="false">SUMIFS('Daily Log'!$T$6:$T$376,'Daily Log'!$W$6:$W$376,$A47)</f>
        <v>0</v>
      </c>
      <c r="I47" s="43" t="str">
        <f aca="false">IF($C47=0,"",$D47/$C47)</f>
        <v/>
      </c>
      <c r="J47" s="13" t="str">
        <f aca="false">IF($H47=0,"",$E47/$H47)</f>
        <v/>
      </c>
      <c r="K47" s="75" t="n">
        <f aca="false">SUMIFS('Daily Log'!$G$6:$G$376,'Daily Log'!$W$6:$W$376,$A47)</f>
        <v>0</v>
      </c>
      <c r="L47" s="76" t="str">
        <f aca="false">IF(OR($E47=0,$K47=0),"",$K47/$E47*1000)</f>
        <v/>
      </c>
      <c r="M47" s="19" t="str">
        <f aca="false">IF(AND($G47&gt;0,$H47=0),"pot not shared - no attendance marked",IF(AND($I47&lt;&gt;"",N($I47)&gt;RejectAlarm),"reject rate high",IF(AND($L47&lt;&gt;"",N(CementNorm)&gt;0),IF(ABS($L47/CementNorm-1)&gt;0.3,"cement use off by &gt;30% - check counts",""),"")))</f>
        <v/>
      </c>
      <c r="N47" s="15" t="n">
        <f aca="false">SUMIFS('Daily Log'!$H$6:$H$376,'Daily Log'!$W$6:$W$376,$A47)</f>
        <v>0</v>
      </c>
      <c r="O47" s="15" t="n">
        <f aca="false">SUMIFS('Daily Log'!$I$6:$I$376,'Daily Log'!$W$6:$W$376,$A47)</f>
        <v>0</v>
      </c>
      <c r="P47" s="15" t="n">
        <f aca="false">SUMIFS('Daily Log'!$J$6:$J$376,'Daily Log'!$W$6:$W$376,$A47)</f>
        <v>0</v>
      </c>
      <c r="Q47" s="15" t="n">
        <f aca="false">SUMIFS('Daily Log'!$K$6:$K$376,'Daily Log'!$W$6:$W$376,$A47)</f>
        <v>0</v>
      </c>
      <c r="R47" s="15" t="n">
        <f aca="false">SUMIFS('Daily Log'!$L$6:$L$376,'Daily Log'!$W$6:$W$376,$A47)</f>
        <v>0</v>
      </c>
      <c r="S47" s="15" t="n">
        <f aca="false">SUMIFS('Daily Log'!$M$6:$M$376,'Daily Log'!$W$6:$W$376,$A47)</f>
        <v>0</v>
      </c>
      <c r="T47" s="15" t="n">
        <f aca="false">SUMIFS('Daily Log'!$N$6:$N$376,'Daily Log'!$W$6:$W$376,$A47)</f>
        <v>0</v>
      </c>
      <c r="U47" s="15" t="n">
        <f aca="false">SUMIFS('Daily Log'!$O$6:$O$376,'Daily Log'!$W$6:$W$376,$A47)</f>
        <v>0</v>
      </c>
      <c r="V47" s="15" t="n">
        <f aca="false">SUMIFS('Daily Log'!$P$6:$P$376,'Daily Log'!$W$6:$W$376,$A47)</f>
        <v>0</v>
      </c>
      <c r="W47" s="15" t="n">
        <f aca="false">SUMIFS('Daily Log'!$Q$6:$Q$376,'Daily Log'!$W$6:$W$376,$A47)</f>
        <v>0</v>
      </c>
      <c r="X47" s="15" t="n">
        <f aca="false">SUMIFS('Daily Log'!$R$6:$R$376,'Daily Log'!$W$6:$W$376,$A47)</f>
        <v>0</v>
      </c>
      <c r="Y47" s="15" t="n">
        <f aca="false">SUMIFS('Daily Log'!$S$6:$S$376,'Daily Log'!$W$6:$W$376,$A47)</f>
        <v>0</v>
      </c>
      <c r="Z47" s="17" t="n">
        <f aca="false">IF($H47=0,0,ROUND($G47*N47/$H47,0))</f>
        <v>0</v>
      </c>
      <c r="AA47" s="17" t="n">
        <f aca="false">IF($H47=0,0,ROUND($G47*O47/$H47,0))</f>
        <v>0</v>
      </c>
      <c r="AB47" s="17" t="n">
        <f aca="false">IF($H47=0,0,ROUND($G47*P47/$H47,0))</f>
        <v>0</v>
      </c>
      <c r="AC47" s="17" t="n">
        <f aca="false">IF($H47=0,0,ROUND($G47*Q47/$H47,0))</f>
        <v>0</v>
      </c>
      <c r="AD47" s="17" t="n">
        <f aca="false">IF($H47=0,0,ROUND($G47*R47/$H47,0))</f>
        <v>0</v>
      </c>
      <c r="AE47" s="17" t="n">
        <f aca="false">IF($H47=0,0,ROUND($G47*S47/$H47,0))</f>
        <v>0</v>
      </c>
      <c r="AF47" s="17" t="n">
        <f aca="false">IF($H47=0,0,ROUND($G47*T47/$H47,0))</f>
        <v>0</v>
      </c>
      <c r="AG47" s="17" t="n">
        <f aca="false">IF($H47=0,0,ROUND($G47*U47/$H47,0))</f>
        <v>0</v>
      </c>
      <c r="AH47" s="17" t="n">
        <f aca="false">IF($H47=0,0,ROUND($G47*V47/$H47,0))</f>
        <v>0</v>
      </c>
      <c r="AI47" s="17" t="n">
        <f aca="false">IF($H47=0,0,ROUND($G47*W47/$H47,0))</f>
        <v>0</v>
      </c>
      <c r="AJ47" s="17" t="n">
        <f aca="false">IF($H47=0,0,ROUND($G47*X47/$H47,0))</f>
        <v>0</v>
      </c>
      <c r="AK47" s="17" t="n">
        <f aca="false">IF($H47=0,0,ROUND($G47*Y47/$H47,0))</f>
        <v>0</v>
      </c>
      <c r="AL47" s="17" t="n">
        <f aca="false">SUM(Z47:AK47)</f>
        <v>0</v>
      </c>
      <c r="AM47" s="29" t="n">
        <f aca="false">$AL47-$G47</f>
        <v>0</v>
      </c>
    </row>
    <row r="48" customFormat="false" ht="15" hidden="false" customHeight="false" outlineLevel="0" collapsed="false">
      <c r="A48" s="73" t="n">
        <v>46580</v>
      </c>
      <c r="B48" s="74" t="n">
        <f aca="false">$A48+6</f>
        <v>46586</v>
      </c>
      <c r="C48" s="75" t="n">
        <f aca="false">SUMIFS('Daily Log'!$C$6:$C$376,'Daily Log'!$W$6:$W$376,$A48)</f>
        <v>0</v>
      </c>
      <c r="D48" s="75" t="n">
        <f aca="false">SUMIFS('Daily Log'!$D$6:$D$376,'Daily Log'!$W$6:$W$376,$A48)</f>
        <v>0</v>
      </c>
      <c r="E48" s="75" t="n">
        <f aca="false">SUMIFS('Daily Log'!$E$6:$E$376,'Daily Log'!$W$6:$W$376,$A48)</f>
        <v>0</v>
      </c>
      <c r="F48" s="75" t="n">
        <f aca="false">SUMIFS('Daily Log'!$F$6:$F$376,'Daily Log'!$W$6:$W$376,$A48)</f>
        <v>0</v>
      </c>
      <c r="G48" s="17" t="n">
        <f aca="false">SUMIFS('Daily Log'!$V$6:$V$376,'Daily Log'!$W$6:$W$376,$A48)</f>
        <v>0</v>
      </c>
      <c r="H48" s="75" t="n">
        <f aca="false">SUMIFS('Daily Log'!$T$6:$T$376,'Daily Log'!$W$6:$W$376,$A48)</f>
        <v>0</v>
      </c>
      <c r="I48" s="43" t="str">
        <f aca="false">IF($C48=0,"",$D48/$C48)</f>
        <v/>
      </c>
      <c r="J48" s="13" t="str">
        <f aca="false">IF($H48=0,"",$E48/$H48)</f>
        <v/>
      </c>
      <c r="K48" s="75" t="n">
        <f aca="false">SUMIFS('Daily Log'!$G$6:$G$376,'Daily Log'!$W$6:$W$376,$A48)</f>
        <v>0</v>
      </c>
      <c r="L48" s="76" t="str">
        <f aca="false">IF(OR($E48=0,$K48=0),"",$K48/$E48*1000)</f>
        <v/>
      </c>
      <c r="M48" s="19" t="str">
        <f aca="false">IF(AND($G48&gt;0,$H48=0),"pot not shared - no attendance marked",IF(AND($I48&lt;&gt;"",N($I48)&gt;RejectAlarm),"reject rate high",IF(AND($L48&lt;&gt;"",N(CementNorm)&gt;0),IF(ABS($L48/CementNorm-1)&gt;0.3,"cement use off by &gt;30% - check counts",""),"")))</f>
        <v/>
      </c>
      <c r="N48" s="15" t="n">
        <f aca="false">SUMIFS('Daily Log'!$H$6:$H$376,'Daily Log'!$W$6:$W$376,$A48)</f>
        <v>0</v>
      </c>
      <c r="O48" s="15" t="n">
        <f aca="false">SUMIFS('Daily Log'!$I$6:$I$376,'Daily Log'!$W$6:$W$376,$A48)</f>
        <v>0</v>
      </c>
      <c r="P48" s="15" t="n">
        <f aca="false">SUMIFS('Daily Log'!$J$6:$J$376,'Daily Log'!$W$6:$W$376,$A48)</f>
        <v>0</v>
      </c>
      <c r="Q48" s="15" t="n">
        <f aca="false">SUMIFS('Daily Log'!$K$6:$K$376,'Daily Log'!$W$6:$W$376,$A48)</f>
        <v>0</v>
      </c>
      <c r="R48" s="15" t="n">
        <f aca="false">SUMIFS('Daily Log'!$L$6:$L$376,'Daily Log'!$W$6:$W$376,$A48)</f>
        <v>0</v>
      </c>
      <c r="S48" s="15" t="n">
        <f aca="false">SUMIFS('Daily Log'!$M$6:$M$376,'Daily Log'!$W$6:$W$376,$A48)</f>
        <v>0</v>
      </c>
      <c r="T48" s="15" t="n">
        <f aca="false">SUMIFS('Daily Log'!$N$6:$N$376,'Daily Log'!$W$6:$W$376,$A48)</f>
        <v>0</v>
      </c>
      <c r="U48" s="15" t="n">
        <f aca="false">SUMIFS('Daily Log'!$O$6:$O$376,'Daily Log'!$W$6:$W$376,$A48)</f>
        <v>0</v>
      </c>
      <c r="V48" s="15" t="n">
        <f aca="false">SUMIFS('Daily Log'!$P$6:$P$376,'Daily Log'!$W$6:$W$376,$A48)</f>
        <v>0</v>
      </c>
      <c r="W48" s="15" t="n">
        <f aca="false">SUMIFS('Daily Log'!$Q$6:$Q$376,'Daily Log'!$W$6:$W$376,$A48)</f>
        <v>0</v>
      </c>
      <c r="X48" s="15" t="n">
        <f aca="false">SUMIFS('Daily Log'!$R$6:$R$376,'Daily Log'!$W$6:$W$376,$A48)</f>
        <v>0</v>
      </c>
      <c r="Y48" s="15" t="n">
        <f aca="false">SUMIFS('Daily Log'!$S$6:$S$376,'Daily Log'!$W$6:$W$376,$A48)</f>
        <v>0</v>
      </c>
      <c r="Z48" s="17" t="n">
        <f aca="false">IF($H48=0,0,ROUND($G48*N48/$H48,0))</f>
        <v>0</v>
      </c>
      <c r="AA48" s="17" t="n">
        <f aca="false">IF($H48=0,0,ROUND($G48*O48/$H48,0))</f>
        <v>0</v>
      </c>
      <c r="AB48" s="17" t="n">
        <f aca="false">IF($H48=0,0,ROUND($G48*P48/$H48,0))</f>
        <v>0</v>
      </c>
      <c r="AC48" s="17" t="n">
        <f aca="false">IF($H48=0,0,ROUND($G48*Q48/$H48,0))</f>
        <v>0</v>
      </c>
      <c r="AD48" s="17" t="n">
        <f aca="false">IF($H48=0,0,ROUND($G48*R48/$H48,0))</f>
        <v>0</v>
      </c>
      <c r="AE48" s="17" t="n">
        <f aca="false">IF($H48=0,0,ROUND($G48*S48/$H48,0))</f>
        <v>0</v>
      </c>
      <c r="AF48" s="17" t="n">
        <f aca="false">IF($H48=0,0,ROUND($G48*T48/$H48,0))</f>
        <v>0</v>
      </c>
      <c r="AG48" s="17" t="n">
        <f aca="false">IF($H48=0,0,ROUND($G48*U48/$H48,0))</f>
        <v>0</v>
      </c>
      <c r="AH48" s="17" t="n">
        <f aca="false">IF($H48=0,0,ROUND($G48*V48/$H48,0))</f>
        <v>0</v>
      </c>
      <c r="AI48" s="17" t="n">
        <f aca="false">IF($H48=0,0,ROUND($G48*W48/$H48,0))</f>
        <v>0</v>
      </c>
      <c r="AJ48" s="17" t="n">
        <f aca="false">IF($H48=0,0,ROUND($G48*X48/$H48,0))</f>
        <v>0</v>
      </c>
      <c r="AK48" s="17" t="n">
        <f aca="false">IF($H48=0,0,ROUND($G48*Y48/$H48,0))</f>
        <v>0</v>
      </c>
      <c r="AL48" s="17" t="n">
        <f aca="false">SUM(Z48:AK48)</f>
        <v>0</v>
      </c>
      <c r="AM48" s="29" t="n">
        <f aca="false">$AL48-$G48</f>
        <v>0</v>
      </c>
    </row>
    <row r="49" customFormat="false" ht="15" hidden="false" customHeight="false" outlineLevel="0" collapsed="false">
      <c r="A49" s="73" t="n">
        <v>46587</v>
      </c>
      <c r="B49" s="74" t="n">
        <f aca="false">$A49+6</f>
        <v>46593</v>
      </c>
      <c r="C49" s="75" t="n">
        <f aca="false">SUMIFS('Daily Log'!$C$6:$C$376,'Daily Log'!$W$6:$W$376,$A49)</f>
        <v>0</v>
      </c>
      <c r="D49" s="75" t="n">
        <f aca="false">SUMIFS('Daily Log'!$D$6:$D$376,'Daily Log'!$W$6:$W$376,$A49)</f>
        <v>0</v>
      </c>
      <c r="E49" s="75" t="n">
        <f aca="false">SUMIFS('Daily Log'!$E$6:$E$376,'Daily Log'!$W$6:$W$376,$A49)</f>
        <v>0</v>
      </c>
      <c r="F49" s="75" t="n">
        <f aca="false">SUMIFS('Daily Log'!$F$6:$F$376,'Daily Log'!$W$6:$W$376,$A49)</f>
        <v>0</v>
      </c>
      <c r="G49" s="17" t="n">
        <f aca="false">SUMIFS('Daily Log'!$V$6:$V$376,'Daily Log'!$W$6:$W$376,$A49)</f>
        <v>0</v>
      </c>
      <c r="H49" s="75" t="n">
        <f aca="false">SUMIFS('Daily Log'!$T$6:$T$376,'Daily Log'!$W$6:$W$376,$A49)</f>
        <v>0</v>
      </c>
      <c r="I49" s="43" t="str">
        <f aca="false">IF($C49=0,"",$D49/$C49)</f>
        <v/>
      </c>
      <c r="J49" s="13" t="str">
        <f aca="false">IF($H49=0,"",$E49/$H49)</f>
        <v/>
      </c>
      <c r="K49" s="75" t="n">
        <f aca="false">SUMIFS('Daily Log'!$G$6:$G$376,'Daily Log'!$W$6:$W$376,$A49)</f>
        <v>0</v>
      </c>
      <c r="L49" s="76" t="str">
        <f aca="false">IF(OR($E49=0,$K49=0),"",$K49/$E49*1000)</f>
        <v/>
      </c>
      <c r="M49" s="19" t="str">
        <f aca="false">IF(AND($G49&gt;0,$H49=0),"pot not shared - no attendance marked",IF(AND($I49&lt;&gt;"",N($I49)&gt;RejectAlarm),"reject rate high",IF(AND($L49&lt;&gt;"",N(CementNorm)&gt;0),IF(ABS($L49/CementNorm-1)&gt;0.3,"cement use off by &gt;30% - check counts",""),"")))</f>
        <v/>
      </c>
      <c r="N49" s="15" t="n">
        <f aca="false">SUMIFS('Daily Log'!$H$6:$H$376,'Daily Log'!$W$6:$W$376,$A49)</f>
        <v>0</v>
      </c>
      <c r="O49" s="15" t="n">
        <f aca="false">SUMIFS('Daily Log'!$I$6:$I$376,'Daily Log'!$W$6:$W$376,$A49)</f>
        <v>0</v>
      </c>
      <c r="P49" s="15" t="n">
        <f aca="false">SUMIFS('Daily Log'!$J$6:$J$376,'Daily Log'!$W$6:$W$376,$A49)</f>
        <v>0</v>
      </c>
      <c r="Q49" s="15" t="n">
        <f aca="false">SUMIFS('Daily Log'!$K$6:$K$376,'Daily Log'!$W$6:$W$376,$A49)</f>
        <v>0</v>
      </c>
      <c r="R49" s="15" t="n">
        <f aca="false">SUMIFS('Daily Log'!$L$6:$L$376,'Daily Log'!$W$6:$W$376,$A49)</f>
        <v>0</v>
      </c>
      <c r="S49" s="15" t="n">
        <f aca="false">SUMIFS('Daily Log'!$M$6:$M$376,'Daily Log'!$W$6:$W$376,$A49)</f>
        <v>0</v>
      </c>
      <c r="T49" s="15" t="n">
        <f aca="false">SUMIFS('Daily Log'!$N$6:$N$376,'Daily Log'!$W$6:$W$376,$A49)</f>
        <v>0</v>
      </c>
      <c r="U49" s="15" t="n">
        <f aca="false">SUMIFS('Daily Log'!$O$6:$O$376,'Daily Log'!$W$6:$W$376,$A49)</f>
        <v>0</v>
      </c>
      <c r="V49" s="15" t="n">
        <f aca="false">SUMIFS('Daily Log'!$P$6:$P$376,'Daily Log'!$W$6:$W$376,$A49)</f>
        <v>0</v>
      </c>
      <c r="W49" s="15" t="n">
        <f aca="false">SUMIFS('Daily Log'!$Q$6:$Q$376,'Daily Log'!$W$6:$W$376,$A49)</f>
        <v>0</v>
      </c>
      <c r="X49" s="15" t="n">
        <f aca="false">SUMIFS('Daily Log'!$R$6:$R$376,'Daily Log'!$W$6:$W$376,$A49)</f>
        <v>0</v>
      </c>
      <c r="Y49" s="15" t="n">
        <f aca="false">SUMIFS('Daily Log'!$S$6:$S$376,'Daily Log'!$W$6:$W$376,$A49)</f>
        <v>0</v>
      </c>
      <c r="Z49" s="17" t="n">
        <f aca="false">IF($H49=0,0,ROUND($G49*N49/$H49,0))</f>
        <v>0</v>
      </c>
      <c r="AA49" s="17" t="n">
        <f aca="false">IF($H49=0,0,ROUND($G49*O49/$H49,0))</f>
        <v>0</v>
      </c>
      <c r="AB49" s="17" t="n">
        <f aca="false">IF($H49=0,0,ROUND($G49*P49/$H49,0))</f>
        <v>0</v>
      </c>
      <c r="AC49" s="17" t="n">
        <f aca="false">IF($H49=0,0,ROUND($G49*Q49/$H49,0))</f>
        <v>0</v>
      </c>
      <c r="AD49" s="17" t="n">
        <f aca="false">IF($H49=0,0,ROUND($G49*R49/$H49,0))</f>
        <v>0</v>
      </c>
      <c r="AE49" s="17" t="n">
        <f aca="false">IF($H49=0,0,ROUND($G49*S49/$H49,0))</f>
        <v>0</v>
      </c>
      <c r="AF49" s="17" t="n">
        <f aca="false">IF($H49=0,0,ROUND($G49*T49/$H49,0))</f>
        <v>0</v>
      </c>
      <c r="AG49" s="17" t="n">
        <f aca="false">IF($H49=0,0,ROUND($G49*U49/$H49,0))</f>
        <v>0</v>
      </c>
      <c r="AH49" s="17" t="n">
        <f aca="false">IF($H49=0,0,ROUND($G49*V49/$H49,0))</f>
        <v>0</v>
      </c>
      <c r="AI49" s="17" t="n">
        <f aca="false">IF($H49=0,0,ROUND($G49*W49/$H49,0))</f>
        <v>0</v>
      </c>
      <c r="AJ49" s="17" t="n">
        <f aca="false">IF($H49=0,0,ROUND($G49*X49/$H49,0))</f>
        <v>0</v>
      </c>
      <c r="AK49" s="17" t="n">
        <f aca="false">IF($H49=0,0,ROUND($G49*Y49/$H49,0))</f>
        <v>0</v>
      </c>
      <c r="AL49" s="17" t="n">
        <f aca="false">SUM(Z49:AK49)</f>
        <v>0</v>
      </c>
      <c r="AM49" s="29" t="n">
        <f aca="false">$AL49-$G49</f>
        <v>0</v>
      </c>
    </row>
    <row r="50" customFormat="false" ht="15" hidden="false" customHeight="false" outlineLevel="0" collapsed="false">
      <c r="A50" s="73" t="n">
        <v>46594</v>
      </c>
      <c r="B50" s="74" t="n">
        <f aca="false">$A50+6</f>
        <v>46600</v>
      </c>
      <c r="C50" s="75" t="n">
        <f aca="false">SUMIFS('Daily Log'!$C$6:$C$376,'Daily Log'!$W$6:$W$376,$A50)</f>
        <v>0</v>
      </c>
      <c r="D50" s="75" t="n">
        <f aca="false">SUMIFS('Daily Log'!$D$6:$D$376,'Daily Log'!$W$6:$W$376,$A50)</f>
        <v>0</v>
      </c>
      <c r="E50" s="75" t="n">
        <f aca="false">SUMIFS('Daily Log'!$E$6:$E$376,'Daily Log'!$W$6:$W$376,$A50)</f>
        <v>0</v>
      </c>
      <c r="F50" s="75" t="n">
        <f aca="false">SUMIFS('Daily Log'!$F$6:$F$376,'Daily Log'!$W$6:$W$376,$A50)</f>
        <v>0</v>
      </c>
      <c r="G50" s="17" t="n">
        <f aca="false">SUMIFS('Daily Log'!$V$6:$V$376,'Daily Log'!$W$6:$W$376,$A50)</f>
        <v>0</v>
      </c>
      <c r="H50" s="75" t="n">
        <f aca="false">SUMIFS('Daily Log'!$T$6:$T$376,'Daily Log'!$W$6:$W$376,$A50)</f>
        <v>0</v>
      </c>
      <c r="I50" s="43" t="str">
        <f aca="false">IF($C50=0,"",$D50/$C50)</f>
        <v/>
      </c>
      <c r="J50" s="13" t="str">
        <f aca="false">IF($H50=0,"",$E50/$H50)</f>
        <v/>
      </c>
      <c r="K50" s="75" t="n">
        <f aca="false">SUMIFS('Daily Log'!$G$6:$G$376,'Daily Log'!$W$6:$W$376,$A50)</f>
        <v>0</v>
      </c>
      <c r="L50" s="76" t="str">
        <f aca="false">IF(OR($E50=0,$K50=0),"",$K50/$E50*1000)</f>
        <v/>
      </c>
      <c r="M50" s="19" t="str">
        <f aca="false">IF(AND($G50&gt;0,$H50=0),"pot not shared - no attendance marked",IF(AND($I50&lt;&gt;"",N($I50)&gt;RejectAlarm),"reject rate high",IF(AND($L50&lt;&gt;"",N(CementNorm)&gt;0),IF(ABS($L50/CementNorm-1)&gt;0.3,"cement use off by &gt;30% - check counts",""),"")))</f>
        <v/>
      </c>
      <c r="N50" s="15" t="n">
        <f aca="false">SUMIFS('Daily Log'!$H$6:$H$376,'Daily Log'!$W$6:$W$376,$A50)</f>
        <v>0</v>
      </c>
      <c r="O50" s="15" t="n">
        <f aca="false">SUMIFS('Daily Log'!$I$6:$I$376,'Daily Log'!$W$6:$W$376,$A50)</f>
        <v>0</v>
      </c>
      <c r="P50" s="15" t="n">
        <f aca="false">SUMIFS('Daily Log'!$J$6:$J$376,'Daily Log'!$W$6:$W$376,$A50)</f>
        <v>0</v>
      </c>
      <c r="Q50" s="15" t="n">
        <f aca="false">SUMIFS('Daily Log'!$K$6:$K$376,'Daily Log'!$W$6:$W$376,$A50)</f>
        <v>0</v>
      </c>
      <c r="R50" s="15" t="n">
        <f aca="false">SUMIFS('Daily Log'!$L$6:$L$376,'Daily Log'!$W$6:$W$376,$A50)</f>
        <v>0</v>
      </c>
      <c r="S50" s="15" t="n">
        <f aca="false">SUMIFS('Daily Log'!$M$6:$M$376,'Daily Log'!$W$6:$W$376,$A50)</f>
        <v>0</v>
      </c>
      <c r="T50" s="15" t="n">
        <f aca="false">SUMIFS('Daily Log'!$N$6:$N$376,'Daily Log'!$W$6:$W$376,$A50)</f>
        <v>0</v>
      </c>
      <c r="U50" s="15" t="n">
        <f aca="false">SUMIFS('Daily Log'!$O$6:$O$376,'Daily Log'!$W$6:$W$376,$A50)</f>
        <v>0</v>
      </c>
      <c r="V50" s="15" t="n">
        <f aca="false">SUMIFS('Daily Log'!$P$6:$P$376,'Daily Log'!$W$6:$W$376,$A50)</f>
        <v>0</v>
      </c>
      <c r="W50" s="15" t="n">
        <f aca="false">SUMIFS('Daily Log'!$Q$6:$Q$376,'Daily Log'!$W$6:$W$376,$A50)</f>
        <v>0</v>
      </c>
      <c r="X50" s="15" t="n">
        <f aca="false">SUMIFS('Daily Log'!$R$6:$R$376,'Daily Log'!$W$6:$W$376,$A50)</f>
        <v>0</v>
      </c>
      <c r="Y50" s="15" t="n">
        <f aca="false">SUMIFS('Daily Log'!$S$6:$S$376,'Daily Log'!$W$6:$W$376,$A50)</f>
        <v>0</v>
      </c>
      <c r="Z50" s="17" t="n">
        <f aca="false">IF($H50=0,0,ROUND($G50*N50/$H50,0))</f>
        <v>0</v>
      </c>
      <c r="AA50" s="17" t="n">
        <f aca="false">IF($H50=0,0,ROUND($G50*O50/$H50,0))</f>
        <v>0</v>
      </c>
      <c r="AB50" s="17" t="n">
        <f aca="false">IF($H50=0,0,ROUND($G50*P50/$H50,0))</f>
        <v>0</v>
      </c>
      <c r="AC50" s="17" t="n">
        <f aca="false">IF($H50=0,0,ROUND($G50*Q50/$H50,0))</f>
        <v>0</v>
      </c>
      <c r="AD50" s="17" t="n">
        <f aca="false">IF($H50=0,0,ROUND($G50*R50/$H50,0))</f>
        <v>0</v>
      </c>
      <c r="AE50" s="17" t="n">
        <f aca="false">IF($H50=0,0,ROUND($G50*S50/$H50,0))</f>
        <v>0</v>
      </c>
      <c r="AF50" s="17" t="n">
        <f aca="false">IF($H50=0,0,ROUND($G50*T50/$H50,0))</f>
        <v>0</v>
      </c>
      <c r="AG50" s="17" t="n">
        <f aca="false">IF($H50=0,0,ROUND($G50*U50/$H50,0))</f>
        <v>0</v>
      </c>
      <c r="AH50" s="17" t="n">
        <f aca="false">IF($H50=0,0,ROUND($G50*V50/$H50,0))</f>
        <v>0</v>
      </c>
      <c r="AI50" s="17" t="n">
        <f aca="false">IF($H50=0,0,ROUND($G50*W50/$H50,0))</f>
        <v>0</v>
      </c>
      <c r="AJ50" s="17" t="n">
        <f aca="false">IF($H50=0,0,ROUND($G50*X50/$H50,0))</f>
        <v>0</v>
      </c>
      <c r="AK50" s="17" t="n">
        <f aca="false">IF($H50=0,0,ROUND($G50*Y50/$H50,0))</f>
        <v>0</v>
      </c>
      <c r="AL50" s="17" t="n">
        <f aca="false">SUM(Z50:AK50)</f>
        <v>0</v>
      </c>
      <c r="AM50" s="29" t="n">
        <f aca="false">$AL50-$G50</f>
        <v>0</v>
      </c>
    </row>
    <row r="51" customFormat="false" ht="15" hidden="false" customHeight="false" outlineLevel="0" collapsed="false">
      <c r="A51" s="73" t="n">
        <v>46601</v>
      </c>
      <c r="B51" s="74" t="n">
        <f aca="false">$A51+6</f>
        <v>46607</v>
      </c>
      <c r="C51" s="75" t="n">
        <f aca="false">SUMIFS('Daily Log'!$C$6:$C$376,'Daily Log'!$W$6:$W$376,$A51)</f>
        <v>0</v>
      </c>
      <c r="D51" s="75" t="n">
        <f aca="false">SUMIFS('Daily Log'!$D$6:$D$376,'Daily Log'!$W$6:$W$376,$A51)</f>
        <v>0</v>
      </c>
      <c r="E51" s="75" t="n">
        <f aca="false">SUMIFS('Daily Log'!$E$6:$E$376,'Daily Log'!$W$6:$W$376,$A51)</f>
        <v>0</v>
      </c>
      <c r="F51" s="75" t="n">
        <f aca="false">SUMIFS('Daily Log'!$F$6:$F$376,'Daily Log'!$W$6:$W$376,$A51)</f>
        <v>0</v>
      </c>
      <c r="G51" s="17" t="n">
        <f aca="false">SUMIFS('Daily Log'!$V$6:$V$376,'Daily Log'!$W$6:$W$376,$A51)</f>
        <v>0</v>
      </c>
      <c r="H51" s="75" t="n">
        <f aca="false">SUMIFS('Daily Log'!$T$6:$T$376,'Daily Log'!$W$6:$W$376,$A51)</f>
        <v>0</v>
      </c>
      <c r="I51" s="43" t="str">
        <f aca="false">IF($C51=0,"",$D51/$C51)</f>
        <v/>
      </c>
      <c r="J51" s="13" t="str">
        <f aca="false">IF($H51=0,"",$E51/$H51)</f>
        <v/>
      </c>
      <c r="K51" s="75" t="n">
        <f aca="false">SUMIFS('Daily Log'!$G$6:$G$376,'Daily Log'!$W$6:$W$376,$A51)</f>
        <v>0</v>
      </c>
      <c r="L51" s="76" t="str">
        <f aca="false">IF(OR($E51=0,$K51=0),"",$K51/$E51*1000)</f>
        <v/>
      </c>
      <c r="M51" s="19" t="str">
        <f aca="false">IF(AND($G51&gt;0,$H51=0),"pot not shared - no attendance marked",IF(AND($I51&lt;&gt;"",N($I51)&gt;RejectAlarm),"reject rate high",IF(AND($L51&lt;&gt;"",N(CementNorm)&gt;0),IF(ABS($L51/CementNorm-1)&gt;0.3,"cement use off by &gt;30% - check counts",""),"")))</f>
        <v/>
      </c>
      <c r="N51" s="15" t="n">
        <f aca="false">SUMIFS('Daily Log'!$H$6:$H$376,'Daily Log'!$W$6:$W$376,$A51)</f>
        <v>0</v>
      </c>
      <c r="O51" s="15" t="n">
        <f aca="false">SUMIFS('Daily Log'!$I$6:$I$376,'Daily Log'!$W$6:$W$376,$A51)</f>
        <v>0</v>
      </c>
      <c r="P51" s="15" t="n">
        <f aca="false">SUMIFS('Daily Log'!$J$6:$J$376,'Daily Log'!$W$6:$W$376,$A51)</f>
        <v>0</v>
      </c>
      <c r="Q51" s="15" t="n">
        <f aca="false">SUMIFS('Daily Log'!$K$6:$K$376,'Daily Log'!$W$6:$W$376,$A51)</f>
        <v>0</v>
      </c>
      <c r="R51" s="15" t="n">
        <f aca="false">SUMIFS('Daily Log'!$L$6:$L$376,'Daily Log'!$W$6:$W$376,$A51)</f>
        <v>0</v>
      </c>
      <c r="S51" s="15" t="n">
        <f aca="false">SUMIFS('Daily Log'!$M$6:$M$376,'Daily Log'!$W$6:$W$376,$A51)</f>
        <v>0</v>
      </c>
      <c r="T51" s="15" t="n">
        <f aca="false">SUMIFS('Daily Log'!$N$6:$N$376,'Daily Log'!$W$6:$W$376,$A51)</f>
        <v>0</v>
      </c>
      <c r="U51" s="15" t="n">
        <f aca="false">SUMIFS('Daily Log'!$O$6:$O$376,'Daily Log'!$W$6:$W$376,$A51)</f>
        <v>0</v>
      </c>
      <c r="V51" s="15" t="n">
        <f aca="false">SUMIFS('Daily Log'!$P$6:$P$376,'Daily Log'!$W$6:$W$376,$A51)</f>
        <v>0</v>
      </c>
      <c r="W51" s="15" t="n">
        <f aca="false">SUMIFS('Daily Log'!$Q$6:$Q$376,'Daily Log'!$W$6:$W$376,$A51)</f>
        <v>0</v>
      </c>
      <c r="X51" s="15" t="n">
        <f aca="false">SUMIFS('Daily Log'!$R$6:$R$376,'Daily Log'!$W$6:$W$376,$A51)</f>
        <v>0</v>
      </c>
      <c r="Y51" s="15" t="n">
        <f aca="false">SUMIFS('Daily Log'!$S$6:$S$376,'Daily Log'!$W$6:$W$376,$A51)</f>
        <v>0</v>
      </c>
      <c r="Z51" s="17" t="n">
        <f aca="false">IF($H51=0,0,ROUND($G51*N51/$H51,0))</f>
        <v>0</v>
      </c>
      <c r="AA51" s="17" t="n">
        <f aca="false">IF($H51=0,0,ROUND($G51*O51/$H51,0))</f>
        <v>0</v>
      </c>
      <c r="AB51" s="17" t="n">
        <f aca="false">IF($H51=0,0,ROUND($G51*P51/$H51,0))</f>
        <v>0</v>
      </c>
      <c r="AC51" s="17" t="n">
        <f aca="false">IF($H51=0,0,ROUND($G51*Q51/$H51,0))</f>
        <v>0</v>
      </c>
      <c r="AD51" s="17" t="n">
        <f aca="false">IF($H51=0,0,ROUND($G51*R51/$H51,0))</f>
        <v>0</v>
      </c>
      <c r="AE51" s="17" t="n">
        <f aca="false">IF($H51=0,0,ROUND($G51*S51/$H51,0))</f>
        <v>0</v>
      </c>
      <c r="AF51" s="17" t="n">
        <f aca="false">IF($H51=0,0,ROUND($G51*T51/$H51,0))</f>
        <v>0</v>
      </c>
      <c r="AG51" s="17" t="n">
        <f aca="false">IF($H51=0,0,ROUND($G51*U51/$H51,0))</f>
        <v>0</v>
      </c>
      <c r="AH51" s="17" t="n">
        <f aca="false">IF($H51=0,0,ROUND($G51*V51/$H51,0))</f>
        <v>0</v>
      </c>
      <c r="AI51" s="17" t="n">
        <f aca="false">IF($H51=0,0,ROUND($G51*W51/$H51,0))</f>
        <v>0</v>
      </c>
      <c r="AJ51" s="17" t="n">
        <f aca="false">IF($H51=0,0,ROUND($G51*X51/$H51,0))</f>
        <v>0</v>
      </c>
      <c r="AK51" s="17" t="n">
        <f aca="false">IF($H51=0,0,ROUND($G51*Y51/$H51,0))</f>
        <v>0</v>
      </c>
      <c r="AL51" s="17" t="n">
        <f aca="false">SUM(Z51:AK51)</f>
        <v>0</v>
      </c>
      <c r="AM51" s="29" t="n">
        <f aca="false">$AL51-$G51</f>
        <v>0</v>
      </c>
    </row>
    <row r="52" customFormat="false" ht="15" hidden="false" customHeight="false" outlineLevel="0" collapsed="false">
      <c r="A52" s="73" t="n">
        <v>46608</v>
      </c>
      <c r="B52" s="74" t="n">
        <f aca="false">$A52+6</f>
        <v>46614</v>
      </c>
      <c r="C52" s="75" t="n">
        <f aca="false">SUMIFS('Daily Log'!$C$6:$C$376,'Daily Log'!$W$6:$W$376,$A52)</f>
        <v>0</v>
      </c>
      <c r="D52" s="75" t="n">
        <f aca="false">SUMIFS('Daily Log'!$D$6:$D$376,'Daily Log'!$W$6:$W$376,$A52)</f>
        <v>0</v>
      </c>
      <c r="E52" s="75" t="n">
        <f aca="false">SUMIFS('Daily Log'!$E$6:$E$376,'Daily Log'!$W$6:$W$376,$A52)</f>
        <v>0</v>
      </c>
      <c r="F52" s="75" t="n">
        <f aca="false">SUMIFS('Daily Log'!$F$6:$F$376,'Daily Log'!$W$6:$W$376,$A52)</f>
        <v>0</v>
      </c>
      <c r="G52" s="17" t="n">
        <f aca="false">SUMIFS('Daily Log'!$V$6:$V$376,'Daily Log'!$W$6:$W$376,$A52)</f>
        <v>0</v>
      </c>
      <c r="H52" s="75" t="n">
        <f aca="false">SUMIFS('Daily Log'!$T$6:$T$376,'Daily Log'!$W$6:$W$376,$A52)</f>
        <v>0</v>
      </c>
      <c r="I52" s="43" t="str">
        <f aca="false">IF($C52=0,"",$D52/$C52)</f>
        <v/>
      </c>
      <c r="J52" s="13" t="str">
        <f aca="false">IF($H52=0,"",$E52/$H52)</f>
        <v/>
      </c>
      <c r="K52" s="75" t="n">
        <f aca="false">SUMIFS('Daily Log'!$G$6:$G$376,'Daily Log'!$W$6:$W$376,$A52)</f>
        <v>0</v>
      </c>
      <c r="L52" s="76" t="str">
        <f aca="false">IF(OR($E52=0,$K52=0),"",$K52/$E52*1000)</f>
        <v/>
      </c>
      <c r="M52" s="19" t="str">
        <f aca="false">IF(AND($G52&gt;0,$H52=0),"pot not shared - no attendance marked",IF(AND($I52&lt;&gt;"",N($I52)&gt;RejectAlarm),"reject rate high",IF(AND($L52&lt;&gt;"",N(CementNorm)&gt;0),IF(ABS($L52/CementNorm-1)&gt;0.3,"cement use off by &gt;30% - check counts",""),"")))</f>
        <v/>
      </c>
      <c r="N52" s="15" t="n">
        <f aca="false">SUMIFS('Daily Log'!$H$6:$H$376,'Daily Log'!$W$6:$W$376,$A52)</f>
        <v>0</v>
      </c>
      <c r="O52" s="15" t="n">
        <f aca="false">SUMIFS('Daily Log'!$I$6:$I$376,'Daily Log'!$W$6:$W$376,$A52)</f>
        <v>0</v>
      </c>
      <c r="P52" s="15" t="n">
        <f aca="false">SUMIFS('Daily Log'!$J$6:$J$376,'Daily Log'!$W$6:$W$376,$A52)</f>
        <v>0</v>
      </c>
      <c r="Q52" s="15" t="n">
        <f aca="false">SUMIFS('Daily Log'!$K$6:$K$376,'Daily Log'!$W$6:$W$376,$A52)</f>
        <v>0</v>
      </c>
      <c r="R52" s="15" t="n">
        <f aca="false">SUMIFS('Daily Log'!$L$6:$L$376,'Daily Log'!$W$6:$W$376,$A52)</f>
        <v>0</v>
      </c>
      <c r="S52" s="15" t="n">
        <f aca="false">SUMIFS('Daily Log'!$M$6:$M$376,'Daily Log'!$W$6:$W$376,$A52)</f>
        <v>0</v>
      </c>
      <c r="T52" s="15" t="n">
        <f aca="false">SUMIFS('Daily Log'!$N$6:$N$376,'Daily Log'!$W$6:$W$376,$A52)</f>
        <v>0</v>
      </c>
      <c r="U52" s="15" t="n">
        <f aca="false">SUMIFS('Daily Log'!$O$6:$O$376,'Daily Log'!$W$6:$W$376,$A52)</f>
        <v>0</v>
      </c>
      <c r="V52" s="15" t="n">
        <f aca="false">SUMIFS('Daily Log'!$P$6:$P$376,'Daily Log'!$W$6:$W$376,$A52)</f>
        <v>0</v>
      </c>
      <c r="W52" s="15" t="n">
        <f aca="false">SUMIFS('Daily Log'!$Q$6:$Q$376,'Daily Log'!$W$6:$W$376,$A52)</f>
        <v>0</v>
      </c>
      <c r="X52" s="15" t="n">
        <f aca="false">SUMIFS('Daily Log'!$R$6:$R$376,'Daily Log'!$W$6:$W$376,$A52)</f>
        <v>0</v>
      </c>
      <c r="Y52" s="15" t="n">
        <f aca="false">SUMIFS('Daily Log'!$S$6:$S$376,'Daily Log'!$W$6:$W$376,$A52)</f>
        <v>0</v>
      </c>
      <c r="Z52" s="17" t="n">
        <f aca="false">IF($H52=0,0,ROUND($G52*N52/$H52,0))</f>
        <v>0</v>
      </c>
      <c r="AA52" s="17" t="n">
        <f aca="false">IF($H52=0,0,ROUND($G52*O52/$H52,0))</f>
        <v>0</v>
      </c>
      <c r="AB52" s="17" t="n">
        <f aca="false">IF($H52=0,0,ROUND($G52*P52/$H52,0))</f>
        <v>0</v>
      </c>
      <c r="AC52" s="17" t="n">
        <f aca="false">IF($H52=0,0,ROUND($G52*Q52/$H52,0))</f>
        <v>0</v>
      </c>
      <c r="AD52" s="17" t="n">
        <f aca="false">IF($H52=0,0,ROUND($G52*R52/$H52,0))</f>
        <v>0</v>
      </c>
      <c r="AE52" s="17" t="n">
        <f aca="false">IF($H52=0,0,ROUND($G52*S52/$H52,0))</f>
        <v>0</v>
      </c>
      <c r="AF52" s="17" t="n">
        <f aca="false">IF($H52=0,0,ROUND($G52*T52/$H52,0))</f>
        <v>0</v>
      </c>
      <c r="AG52" s="17" t="n">
        <f aca="false">IF($H52=0,0,ROUND($G52*U52/$H52,0))</f>
        <v>0</v>
      </c>
      <c r="AH52" s="17" t="n">
        <f aca="false">IF($H52=0,0,ROUND($G52*V52/$H52,0))</f>
        <v>0</v>
      </c>
      <c r="AI52" s="17" t="n">
        <f aca="false">IF($H52=0,0,ROUND($G52*W52/$H52,0))</f>
        <v>0</v>
      </c>
      <c r="AJ52" s="17" t="n">
        <f aca="false">IF($H52=0,0,ROUND($G52*X52/$H52,0))</f>
        <v>0</v>
      </c>
      <c r="AK52" s="17" t="n">
        <f aca="false">IF($H52=0,0,ROUND($G52*Y52/$H52,0))</f>
        <v>0</v>
      </c>
      <c r="AL52" s="17" t="n">
        <f aca="false">SUM(Z52:AK52)</f>
        <v>0</v>
      </c>
      <c r="AM52" s="29" t="n">
        <f aca="false">$AL52-$G52</f>
        <v>0</v>
      </c>
    </row>
    <row r="53" customFormat="false" ht="15" hidden="false" customHeight="false" outlineLevel="0" collapsed="false">
      <c r="A53" s="73" t="n">
        <v>46615</v>
      </c>
      <c r="B53" s="74" t="n">
        <f aca="false">$A53+6</f>
        <v>46621</v>
      </c>
      <c r="C53" s="75" t="n">
        <f aca="false">SUMIFS('Daily Log'!$C$6:$C$376,'Daily Log'!$W$6:$W$376,$A53)</f>
        <v>0</v>
      </c>
      <c r="D53" s="75" t="n">
        <f aca="false">SUMIFS('Daily Log'!$D$6:$D$376,'Daily Log'!$W$6:$W$376,$A53)</f>
        <v>0</v>
      </c>
      <c r="E53" s="75" t="n">
        <f aca="false">SUMIFS('Daily Log'!$E$6:$E$376,'Daily Log'!$W$6:$W$376,$A53)</f>
        <v>0</v>
      </c>
      <c r="F53" s="75" t="n">
        <f aca="false">SUMIFS('Daily Log'!$F$6:$F$376,'Daily Log'!$W$6:$W$376,$A53)</f>
        <v>0</v>
      </c>
      <c r="G53" s="17" t="n">
        <f aca="false">SUMIFS('Daily Log'!$V$6:$V$376,'Daily Log'!$W$6:$W$376,$A53)</f>
        <v>0</v>
      </c>
      <c r="H53" s="75" t="n">
        <f aca="false">SUMIFS('Daily Log'!$T$6:$T$376,'Daily Log'!$W$6:$W$376,$A53)</f>
        <v>0</v>
      </c>
      <c r="I53" s="43" t="str">
        <f aca="false">IF($C53=0,"",$D53/$C53)</f>
        <v/>
      </c>
      <c r="J53" s="13" t="str">
        <f aca="false">IF($H53=0,"",$E53/$H53)</f>
        <v/>
      </c>
      <c r="K53" s="75" t="n">
        <f aca="false">SUMIFS('Daily Log'!$G$6:$G$376,'Daily Log'!$W$6:$W$376,$A53)</f>
        <v>0</v>
      </c>
      <c r="L53" s="76" t="str">
        <f aca="false">IF(OR($E53=0,$K53=0),"",$K53/$E53*1000)</f>
        <v/>
      </c>
      <c r="M53" s="19" t="str">
        <f aca="false">IF(AND($G53&gt;0,$H53=0),"pot not shared - no attendance marked",IF(AND($I53&lt;&gt;"",N($I53)&gt;RejectAlarm),"reject rate high",IF(AND($L53&lt;&gt;"",N(CementNorm)&gt;0),IF(ABS($L53/CementNorm-1)&gt;0.3,"cement use off by &gt;30% - check counts",""),"")))</f>
        <v/>
      </c>
      <c r="N53" s="15" t="n">
        <f aca="false">SUMIFS('Daily Log'!$H$6:$H$376,'Daily Log'!$W$6:$W$376,$A53)</f>
        <v>0</v>
      </c>
      <c r="O53" s="15" t="n">
        <f aca="false">SUMIFS('Daily Log'!$I$6:$I$376,'Daily Log'!$W$6:$W$376,$A53)</f>
        <v>0</v>
      </c>
      <c r="P53" s="15" t="n">
        <f aca="false">SUMIFS('Daily Log'!$J$6:$J$376,'Daily Log'!$W$6:$W$376,$A53)</f>
        <v>0</v>
      </c>
      <c r="Q53" s="15" t="n">
        <f aca="false">SUMIFS('Daily Log'!$K$6:$K$376,'Daily Log'!$W$6:$W$376,$A53)</f>
        <v>0</v>
      </c>
      <c r="R53" s="15" t="n">
        <f aca="false">SUMIFS('Daily Log'!$L$6:$L$376,'Daily Log'!$W$6:$W$376,$A53)</f>
        <v>0</v>
      </c>
      <c r="S53" s="15" t="n">
        <f aca="false">SUMIFS('Daily Log'!$M$6:$M$376,'Daily Log'!$W$6:$W$376,$A53)</f>
        <v>0</v>
      </c>
      <c r="T53" s="15" t="n">
        <f aca="false">SUMIFS('Daily Log'!$N$6:$N$376,'Daily Log'!$W$6:$W$376,$A53)</f>
        <v>0</v>
      </c>
      <c r="U53" s="15" t="n">
        <f aca="false">SUMIFS('Daily Log'!$O$6:$O$376,'Daily Log'!$W$6:$W$376,$A53)</f>
        <v>0</v>
      </c>
      <c r="V53" s="15" t="n">
        <f aca="false">SUMIFS('Daily Log'!$P$6:$P$376,'Daily Log'!$W$6:$W$376,$A53)</f>
        <v>0</v>
      </c>
      <c r="W53" s="15" t="n">
        <f aca="false">SUMIFS('Daily Log'!$Q$6:$Q$376,'Daily Log'!$W$6:$W$376,$A53)</f>
        <v>0</v>
      </c>
      <c r="X53" s="15" t="n">
        <f aca="false">SUMIFS('Daily Log'!$R$6:$R$376,'Daily Log'!$W$6:$W$376,$A53)</f>
        <v>0</v>
      </c>
      <c r="Y53" s="15" t="n">
        <f aca="false">SUMIFS('Daily Log'!$S$6:$S$376,'Daily Log'!$W$6:$W$376,$A53)</f>
        <v>0</v>
      </c>
      <c r="Z53" s="17" t="n">
        <f aca="false">IF($H53=0,0,ROUND($G53*N53/$H53,0))</f>
        <v>0</v>
      </c>
      <c r="AA53" s="17" t="n">
        <f aca="false">IF($H53=0,0,ROUND($G53*O53/$H53,0))</f>
        <v>0</v>
      </c>
      <c r="AB53" s="17" t="n">
        <f aca="false">IF($H53=0,0,ROUND($G53*P53/$H53,0))</f>
        <v>0</v>
      </c>
      <c r="AC53" s="17" t="n">
        <f aca="false">IF($H53=0,0,ROUND($G53*Q53/$H53,0))</f>
        <v>0</v>
      </c>
      <c r="AD53" s="17" t="n">
        <f aca="false">IF($H53=0,0,ROUND($G53*R53/$H53,0))</f>
        <v>0</v>
      </c>
      <c r="AE53" s="17" t="n">
        <f aca="false">IF($H53=0,0,ROUND($G53*S53/$H53,0))</f>
        <v>0</v>
      </c>
      <c r="AF53" s="17" t="n">
        <f aca="false">IF($H53=0,0,ROUND($G53*T53/$H53,0))</f>
        <v>0</v>
      </c>
      <c r="AG53" s="17" t="n">
        <f aca="false">IF($H53=0,0,ROUND($G53*U53/$H53,0))</f>
        <v>0</v>
      </c>
      <c r="AH53" s="17" t="n">
        <f aca="false">IF($H53=0,0,ROUND($G53*V53/$H53,0))</f>
        <v>0</v>
      </c>
      <c r="AI53" s="17" t="n">
        <f aca="false">IF($H53=0,0,ROUND($G53*W53/$H53,0))</f>
        <v>0</v>
      </c>
      <c r="AJ53" s="17" t="n">
        <f aca="false">IF($H53=0,0,ROUND($G53*X53/$H53,0))</f>
        <v>0</v>
      </c>
      <c r="AK53" s="17" t="n">
        <f aca="false">IF($H53=0,0,ROUND($G53*Y53/$H53,0))</f>
        <v>0</v>
      </c>
      <c r="AL53" s="17" t="n">
        <f aca="false">SUM(Z53:AK53)</f>
        <v>0</v>
      </c>
      <c r="AM53" s="29" t="n">
        <f aca="false">$AL53-$G53</f>
        <v>0</v>
      </c>
    </row>
    <row r="54" customFormat="false" ht="15" hidden="false" customHeight="false" outlineLevel="0" collapsed="false">
      <c r="A54" s="73" t="n">
        <v>46622</v>
      </c>
      <c r="B54" s="74" t="n">
        <f aca="false">$A54+6</f>
        <v>46628</v>
      </c>
      <c r="C54" s="75" t="n">
        <f aca="false">SUMIFS('Daily Log'!$C$6:$C$376,'Daily Log'!$W$6:$W$376,$A54)</f>
        <v>0</v>
      </c>
      <c r="D54" s="75" t="n">
        <f aca="false">SUMIFS('Daily Log'!$D$6:$D$376,'Daily Log'!$W$6:$W$376,$A54)</f>
        <v>0</v>
      </c>
      <c r="E54" s="75" t="n">
        <f aca="false">SUMIFS('Daily Log'!$E$6:$E$376,'Daily Log'!$W$6:$W$376,$A54)</f>
        <v>0</v>
      </c>
      <c r="F54" s="75" t="n">
        <f aca="false">SUMIFS('Daily Log'!$F$6:$F$376,'Daily Log'!$W$6:$W$376,$A54)</f>
        <v>0</v>
      </c>
      <c r="G54" s="17" t="n">
        <f aca="false">SUMIFS('Daily Log'!$V$6:$V$376,'Daily Log'!$W$6:$W$376,$A54)</f>
        <v>0</v>
      </c>
      <c r="H54" s="75" t="n">
        <f aca="false">SUMIFS('Daily Log'!$T$6:$T$376,'Daily Log'!$W$6:$W$376,$A54)</f>
        <v>0</v>
      </c>
      <c r="I54" s="43" t="str">
        <f aca="false">IF($C54=0,"",$D54/$C54)</f>
        <v/>
      </c>
      <c r="J54" s="13" t="str">
        <f aca="false">IF($H54=0,"",$E54/$H54)</f>
        <v/>
      </c>
      <c r="K54" s="75" t="n">
        <f aca="false">SUMIFS('Daily Log'!$G$6:$G$376,'Daily Log'!$W$6:$W$376,$A54)</f>
        <v>0</v>
      </c>
      <c r="L54" s="76" t="str">
        <f aca="false">IF(OR($E54=0,$K54=0),"",$K54/$E54*1000)</f>
        <v/>
      </c>
      <c r="M54" s="19" t="str">
        <f aca="false">IF(AND($G54&gt;0,$H54=0),"pot not shared - no attendance marked",IF(AND($I54&lt;&gt;"",N($I54)&gt;RejectAlarm),"reject rate high",IF(AND($L54&lt;&gt;"",N(CementNorm)&gt;0),IF(ABS($L54/CementNorm-1)&gt;0.3,"cement use off by &gt;30% - check counts",""),"")))</f>
        <v/>
      </c>
      <c r="N54" s="15" t="n">
        <f aca="false">SUMIFS('Daily Log'!$H$6:$H$376,'Daily Log'!$W$6:$W$376,$A54)</f>
        <v>0</v>
      </c>
      <c r="O54" s="15" t="n">
        <f aca="false">SUMIFS('Daily Log'!$I$6:$I$376,'Daily Log'!$W$6:$W$376,$A54)</f>
        <v>0</v>
      </c>
      <c r="P54" s="15" t="n">
        <f aca="false">SUMIFS('Daily Log'!$J$6:$J$376,'Daily Log'!$W$6:$W$376,$A54)</f>
        <v>0</v>
      </c>
      <c r="Q54" s="15" t="n">
        <f aca="false">SUMIFS('Daily Log'!$K$6:$K$376,'Daily Log'!$W$6:$W$376,$A54)</f>
        <v>0</v>
      </c>
      <c r="R54" s="15" t="n">
        <f aca="false">SUMIFS('Daily Log'!$L$6:$L$376,'Daily Log'!$W$6:$W$376,$A54)</f>
        <v>0</v>
      </c>
      <c r="S54" s="15" t="n">
        <f aca="false">SUMIFS('Daily Log'!$M$6:$M$376,'Daily Log'!$W$6:$W$376,$A54)</f>
        <v>0</v>
      </c>
      <c r="T54" s="15" t="n">
        <f aca="false">SUMIFS('Daily Log'!$N$6:$N$376,'Daily Log'!$W$6:$W$376,$A54)</f>
        <v>0</v>
      </c>
      <c r="U54" s="15" t="n">
        <f aca="false">SUMIFS('Daily Log'!$O$6:$O$376,'Daily Log'!$W$6:$W$376,$A54)</f>
        <v>0</v>
      </c>
      <c r="V54" s="15" t="n">
        <f aca="false">SUMIFS('Daily Log'!$P$6:$P$376,'Daily Log'!$W$6:$W$376,$A54)</f>
        <v>0</v>
      </c>
      <c r="W54" s="15" t="n">
        <f aca="false">SUMIFS('Daily Log'!$Q$6:$Q$376,'Daily Log'!$W$6:$W$376,$A54)</f>
        <v>0</v>
      </c>
      <c r="X54" s="15" t="n">
        <f aca="false">SUMIFS('Daily Log'!$R$6:$R$376,'Daily Log'!$W$6:$W$376,$A54)</f>
        <v>0</v>
      </c>
      <c r="Y54" s="15" t="n">
        <f aca="false">SUMIFS('Daily Log'!$S$6:$S$376,'Daily Log'!$W$6:$W$376,$A54)</f>
        <v>0</v>
      </c>
      <c r="Z54" s="17" t="n">
        <f aca="false">IF($H54=0,0,ROUND($G54*N54/$H54,0))</f>
        <v>0</v>
      </c>
      <c r="AA54" s="17" t="n">
        <f aca="false">IF($H54=0,0,ROUND($G54*O54/$H54,0))</f>
        <v>0</v>
      </c>
      <c r="AB54" s="17" t="n">
        <f aca="false">IF($H54=0,0,ROUND($G54*P54/$H54,0))</f>
        <v>0</v>
      </c>
      <c r="AC54" s="17" t="n">
        <f aca="false">IF($H54=0,0,ROUND($G54*Q54/$H54,0))</f>
        <v>0</v>
      </c>
      <c r="AD54" s="17" t="n">
        <f aca="false">IF($H54=0,0,ROUND($G54*R54/$H54,0))</f>
        <v>0</v>
      </c>
      <c r="AE54" s="17" t="n">
        <f aca="false">IF($H54=0,0,ROUND($G54*S54/$H54,0))</f>
        <v>0</v>
      </c>
      <c r="AF54" s="17" t="n">
        <f aca="false">IF($H54=0,0,ROUND($G54*T54/$H54,0))</f>
        <v>0</v>
      </c>
      <c r="AG54" s="17" t="n">
        <f aca="false">IF($H54=0,0,ROUND($G54*U54/$H54,0))</f>
        <v>0</v>
      </c>
      <c r="AH54" s="17" t="n">
        <f aca="false">IF($H54=0,0,ROUND($G54*V54/$H54,0))</f>
        <v>0</v>
      </c>
      <c r="AI54" s="17" t="n">
        <f aca="false">IF($H54=0,0,ROUND($G54*W54/$H54,0))</f>
        <v>0</v>
      </c>
      <c r="AJ54" s="17" t="n">
        <f aca="false">IF($H54=0,0,ROUND($G54*X54/$H54,0))</f>
        <v>0</v>
      </c>
      <c r="AK54" s="17" t="n">
        <f aca="false">IF($H54=0,0,ROUND($G54*Y54/$H54,0))</f>
        <v>0</v>
      </c>
      <c r="AL54" s="17" t="n">
        <f aca="false">SUM(Z54:AK54)</f>
        <v>0</v>
      </c>
      <c r="AM54" s="29" t="n">
        <f aca="false">$AL54-$G54</f>
        <v>0</v>
      </c>
    </row>
    <row r="55" customFormat="false" ht="15" hidden="false" customHeight="false" outlineLevel="0" collapsed="false">
      <c r="A55" s="73" t="n">
        <v>46629</v>
      </c>
      <c r="B55" s="74" t="n">
        <f aca="false">$A55+6</f>
        <v>46635</v>
      </c>
      <c r="C55" s="75" t="n">
        <f aca="false">SUMIFS('Daily Log'!$C$6:$C$376,'Daily Log'!$W$6:$W$376,$A55)</f>
        <v>0</v>
      </c>
      <c r="D55" s="75" t="n">
        <f aca="false">SUMIFS('Daily Log'!$D$6:$D$376,'Daily Log'!$W$6:$W$376,$A55)</f>
        <v>0</v>
      </c>
      <c r="E55" s="75" t="n">
        <f aca="false">SUMIFS('Daily Log'!$E$6:$E$376,'Daily Log'!$W$6:$W$376,$A55)</f>
        <v>0</v>
      </c>
      <c r="F55" s="75" t="n">
        <f aca="false">SUMIFS('Daily Log'!$F$6:$F$376,'Daily Log'!$W$6:$W$376,$A55)</f>
        <v>0</v>
      </c>
      <c r="G55" s="17" t="n">
        <f aca="false">SUMIFS('Daily Log'!$V$6:$V$376,'Daily Log'!$W$6:$W$376,$A55)</f>
        <v>0</v>
      </c>
      <c r="H55" s="75" t="n">
        <f aca="false">SUMIFS('Daily Log'!$T$6:$T$376,'Daily Log'!$W$6:$W$376,$A55)</f>
        <v>0</v>
      </c>
      <c r="I55" s="43" t="str">
        <f aca="false">IF($C55=0,"",$D55/$C55)</f>
        <v/>
      </c>
      <c r="J55" s="13" t="str">
        <f aca="false">IF($H55=0,"",$E55/$H55)</f>
        <v/>
      </c>
      <c r="K55" s="75" t="n">
        <f aca="false">SUMIFS('Daily Log'!$G$6:$G$376,'Daily Log'!$W$6:$W$376,$A55)</f>
        <v>0</v>
      </c>
      <c r="L55" s="76" t="str">
        <f aca="false">IF(OR($E55=0,$K55=0),"",$K55/$E55*1000)</f>
        <v/>
      </c>
      <c r="M55" s="19" t="str">
        <f aca="false">IF(AND($G55&gt;0,$H55=0),"pot not shared - no attendance marked",IF(AND($I55&lt;&gt;"",N($I55)&gt;RejectAlarm),"reject rate high",IF(AND($L55&lt;&gt;"",N(CementNorm)&gt;0),IF(ABS($L55/CementNorm-1)&gt;0.3,"cement use off by &gt;30% - check counts",""),"")))</f>
        <v/>
      </c>
      <c r="N55" s="15" t="n">
        <f aca="false">SUMIFS('Daily Log'!$H$6:$H$376,'Daily Log'!$W$6:$W$376,$A55)</f>
        <v>0</v>
      </c>
      <c r="O55" s="15" t="n">
        <f aca="false">SUMIFS('Daily Log'!$I$6:$I$376,'Daily Log'!$W$6:$W$376,$A55)</f>
        <v>0</v>
      </c>
      <c r="P55" s="15" t="n">
        <f aca="false">SUMIFS('Daily Log'!$J$6:$J$376,'Daily Log'!$W$6:$W$376,$A55)</f>
        <v>0</v>
      </c>
      <c r="Q55" s="15" t="n">
        <f aca="false">SUMIFS('Daily Log'!$K$6:$K$376,'Daily Log'!$W$6:$W$376,$A55)</f>
        <v>0</v>
      </c>
      <c r="R55" s="15" t="n">
        <f aca="false">SUMIFS('Daily Log'!$L$6:$L$376,'Daily Log'!$W$6:$W$376,$A55)</f>
        <v>0</v>
      </c>
      <c r="S55" s="15" t="n">
        <f aca="false">SUMIFS('Daily Log'!$M$6:$M$376,'Daily Log'!$W$6:$W$376,$A55)</f>
        <v>0</v>
      </c>
      <c r="T55" s="15" t="n">
        <f aca="false">SUMIFS('Daily Log'!$N$6:$N$376,'Daily Log'!$W$6:$W$376,$A55)</f>
        <v>0</v>
      </c>
      <c r="U55" s="15" t="n">
        <f aca="false">SUMIFS('Daily Log'!$O$6:$O$376,'Daily Log'!$W$6:$W$376,$A55)</f>
        <v>0</v>
      </c>
      <c r="V55" s="15" t="n">
        <f aca="false">SUMIFS('Daily Log'!$P$6:$P$376,'Daily Log'!$W$6:$W$376,$A55)</f>
        <v>0</v>
      </c>
      <c r="W55" s="15" t="n">
        <f aca="false">SUMIFS('Daily Log'!$Q$6:$Q$376,'Daily Log'!$W$6:$W$376,$A55)</f>
        <v>0</v>
      </c>
      <c r="X55" s="15" t="n">
        <f aca="false">SUMIFS('Daily Log'!$R$6:$R$376,'Daily Log'!$W$6:$W$376,$A55)</f>
        <v>0</v>
      </c>
      <c r="Y55" s="15" t="n">
        <f aca="false">SUMIFS('Daily Log'!$S$6:$S$376,'Daily Log'!$W$6:$W$376,$A55)</f>
        <v>0</v>
      </c>
      <c r="Z55" s="17" t="n">
        <f aca="false">IF($H55=0,0,ROUND($G55*N55/$H55,0))</f>
        <v>0</v>
      </c>
      <c r="AA55" s="17" t="n">
        <f aca="false">IF($H55=0,0,ROUND($G55*O55/$H55,0))</f>
        <v>0</v>
      </c>
      <c r="AB55" s="17" t="n">
        <f aca="false">IF($H55=0,0,ROUND($G55*P55/$H55,0))</f>
        <v>0</v>
      </c>
      <c r="AC55" s="17" t="n">
        <f aca="false">IF($H55=0,0,ROUND($G55*Q55/$H55,0))</f>
        <v>0</v>
      </c>
      <c r="AD55" s="17" t="n">
        <f aca="false">IF($H55=0,0,ROUND($G55*R55/$H55,0))</f>
        <v>0</v>
      </c>
      <c r="AE55" s="17" t="n">
        <f aca="false">IF($H55=0,0,ROUND($G55*S55/$H55,0))</f>
        <v>0</v>
      </c>
      <c r="AF55" s="17" t="n">
        <f aca="false">IF($H55=0,0,ROUND($G55*T55/$H55,0))</f>
        <v>0</v>
      </c>
      <c r="AG55" s="17" t="n">
        <f aca="false">IF($H55=0,0,ROUND($G55*U55/$H55,0))</f>
        <v>0</v>
      </c>
      <c r="AH55" s="17" t="n">
        <f aca="false">IF($H55=0,0,ROUND($G55*V55/$H55,0))</f>
        <v>0</v>
      </c>
      <c r="AI55" s="17" t="n">
        <f aca="false">IF($H55=0,0,ROUND($G55*W55/$H55,0))</f>
        <v>0</v>
      </c>
      <c r="AJ55" s="17" t="n">
        <f aca="false">IF($H55=0,0,ROUND($G55*X55/$H55,0))</f>
        <v>0</v>
      </c>
      <c r="AK55" s="17" t="n">
        <f aca="false">IF($H55=0,0,ROUND($G55*Y55/$H55,0))</f>
        <v>0</v>
      </c>
      <c r="AL55" s="17" t="n">
        <f aca="false">SUM(Z55:AK55)</f>
        <v>0</v>
      </c>
      <c r="AM55" s="29" t="n">
        <f aca="false">$AL55-$G55</f>
        <v>0</v>
      </c>
    </row>
    <row r="56" customFormat="false" ht="15" hidden="false" customHeight="false" outlineLevel="0" collapsed="false">
      <c r="A56" s="73" t="n">
        <v>46636</v>
      </c>
      <c r="B56" s="74" t="n">
        <f aca="false">$A56+6</f>
        <v>46642</v>
      </c>
      <c r="C56" s="75" t="n">
        <f aca="false">SUMIFS('Daily Log'!$C$6:$C$376,'Daily Log'!$W$6:$W$376,$A56)</f>
        <v>0</v>
      </c>
      <c r="D56" s="75" t="n">
        <f aca="false">SUMIFS('Daily Log'!$D$6:$D$376,'Daily Log'!$W$6:$W$376,$A56)</f>
        <v>0</v>
      </c>
      <c r="E56" s="75" t="n">
        <f aca="false">SUMIFS('Daily Log'!$E$6:$E$376,'Daily Log'!$W$6:$W$376,$A56)</f>
        <v>0</v>
      </c>
      <c r="F56" s="75" t="n">
        <f aca="false">SUMIFS('Daily Log'!$F$6:$F$376,'Daily Log'!$W$6:$W$376,$A56)</f>
        <v>0</v>
      </c>
      <c r="G56" s="17" t="n">
        <f aca="false">SUMIFS('Daily Log'!$V$6:$V$376,'Daily Log'!$W$6:$W$376,$A56)</f>
        <v>0</v>
      </c>
      <c r="H56" s="75" t="n">
        <f aca="false">SUMIFS('Daily Log'!$T$6:$T$376,'Daily Log'!$W$6:$W$376,$A56)</f>
        <v>0</v>
      </c>
      <c r="I56" s="43" t="str">
        <f aca="false">IF($C56=0,"",$D56/$C56)</f>
        <v/>
      </c>
      <c r="J56" s="13" t="str">
        <f aca="false">IF($H56=0,"",$E56/$H56)</f>
        <v/>
      </c>
      <c r="K56" s="75" t="n">
        <f aca="false">SUMIFS('Daily Log'!$G$6:$G$376,'Daily Log'!$W$6:$W$376,$A56)</f>
        <v>0</v>
      </c>
      <c r="L56" s="76" t="str">
        <f aca="false">IF(OR($E56=0,$K56=0),"",$K56/$E56*1000)</f>
        <v/>
      </c>
      <c r="M56" s="19" t="str">
        <f aca="false">IF(AND($G56&gt;0,$H56=0),"pot not shared - no attendance marked",IF(AND($I56&lt;&gt;"",N($I56)&gt;RejectAlarm),"reject rate high",IF(AND($L56&lt;&gt;"",N(CementNorm)&gt;0),IF(ABS($L56/CementNorm-1)&gt;0.3,"cement use off by &gt;30% - check counts",""),"")))</f>
        <v/>
      </c>
      <c r="N56" s="15" t="n">
        <f aca="false">SUMIFS('Daily Log'!$H$6:$H$376,'Daily Log'!$W$6:$W$376,$A56)</f>
        <v>0</v>
      </c>
      <c r="O56" s="15" t="n">
        <f aca="false">SUMIFS('Daily Log'!$I$6:$I$376,'Daily Log'!$W$6:$W$376,$A56)</f>
        <v>0</v>
      </c>
      <c r="P56" s="15" t="n">
        <f aca="false">SUMIFS('Daily Log'!$J$6:$J$376,'Daily Log'!$W$6:$W$376,$A56)</f>
        <v>0</v>
      </c>
      <c r="Q56" s="15" t="n">
        <f aca="false">SUMIFS('Daily Log'!$K$6:$K$376,'Daily Log'!$W$6:$W$376,$A56)</f>
        <v>0</v>
      </c>
      <c r="R56" s="15" t="n">
        <f aca="false">SUMIFS('Daily Log'!$L$6:$L$376,'Daily Log'!$W$6:$W$376,$A56)</f>
        <v>0</v>
      </c>
      <c r="S56" s="15" t="n">
        <f aca="false">SUMIFS('Daily Log'!$M$6:$M$376,'Daily Log'!$W$6:$W$376,$A56)</f>
        <v>0</v>
      </c>
      <c r="T56" s="15" t="n">
        <f aca="false">SUMIFS('Daily Log'!$N$6:$N$376,'Daily Log'!$W$6:$W$376,$A56)</f>
        <v>0</v>
      </c>
      <c r="U56" s="15" t="n">
        <f aca="false">SUMIFS('Daily Log'!$O$6:$O$376,'Daily Log'!$W$6:$W$376,$A56)</f>
        <v>0</v>
      </c>
      <c r="V56" s="15" t="n">
        <f aca="false">SUMIFS('Daily Log'!$P$6:$P$376,'Daily Log'!$W$6:$W$376,$A56)</f>
        <v>0</v>
      </c>
      <c r="W56" s="15" t="n">
        <f aca="false">SUMIFS('Daily Log'!$Q$6:$Q$376,'Daily Log'!$W$6:$W$376,$A56)</f>
        <v>0</v>
      </c>
      <c r="X56" s="15" t="n">
        <f aca="false">SUMIFS('Daily Log'!$R$6:$R$376,'Daily Log'!$W$6:$W$376,$A56)</f>
        <v>0</v>
      </c>
      <c r="Y56" s="15" t="n">
        <f aca="false">SUMIFS('Daily Log'!$S$6:$S$376,'Daily Log'!$W$6:$W$376,$A56)</f>
        <v>0</v>
      </c>
      <c r="Z56" s="17" t="n">
        <f aca="false">IF($H56=0,0,ROUND($G56*N56/$H56,0))</f>
        <v>0</v>
      </c>
      <c r="AA56" s="17" t="n">
        <f aca="false">IF($H56=0,0,ROUND($G56*O56/$H56,0))</f>
        <v>0</v>
      </c>
      <c r="AB56" s="17" t="n">
        <f aca="false">IF($H56=0,0,ROUND($G56*P56/$H56,0))</f>
        <v>0</v>
      </c>
      <c r="AC56" s="17" t="n">
        <f aca="false">IF($H56=0,0,ROUND($G56*Q56/$H56,0))</f>
        <v>0</v>
      </c>
      <c r="AD56" s="17" t="n">
        <f aca="false">IF($H56=0,0,ROUND($G56*R56/$H56,0))</f>
        <v>0</v>
      </c>
      <c r="AE56" s="17" t="n">
        <f aca="false">IF($H56=0,0,ROUND($G56*S56/$H56,0))</f>
        <v>0</v>
      </c>
      <c r="AF56" s="17" t="n">
        <f aca="false">IF($H56=0,0,ROUND($G56*T56/$H56,0))</f>
        <v>0</v>
      </c>
      <c r="AG56" s="17" t="n">
        <f aca="false">IF($H56=0,0,ROUND($G56*U56/$H56,0))</f>
        <v>0</v>
      </c>
      <c r="AH56" s="17" t="n">
        <f aca="false">IF($H56=0,0,ROUND($G56*V56/$H56,0))</f>
        <v>0</v>
      </c>
      <c r="AI56" s="17" t="n">
        <f aca="false">IF($H56=0,0,ROUND($G56*W56/$H56,0))</f>
        <v>0</v>
      </c>
      <c r="AJ56" s="17" t="n">
        <f aca="false">IF($H56=0,0,ROUND($G56*X56/$H56,0))</f>
        <v>0</v>
      </c>
      <c r="AK56" s="17" t="n">
        <f aca="false">IF($H56=0,0,ROUND($G56*Y56/$H56,0))</f>
        <v>0</v>
      </c>
      <c r="AL56" s="17" t="n">
        <f aca="false">SUM(Z56:AK56)</f>
        <v>0</v>
      </c>
      <c r="AM56" s="29" t="n">
        <f aca="false">$AL56-$G56</f>
        <v>0</v>
      </c>
    </row>
    <row r="57" customFormat="false" ht="15" hidden="false" customHeight="false" outlineLevel="0" collapsed="false">
      <c r="A57" s="73" t="n">
        <v>46643</v>
      </c>
      <c r="B57" s="74" t="n">
        <f aca="false">$A57+6</f>
        <v>46649</v>
      </c>
      <c r="C57" s="75" t="n">
        <f aca="false">SUMIFS('Daily Log'!$C$6:$C$376,'Daily Log'!$W$6:$W$376,$A57)</f>
        <v>0</v>
      </c>
      <c r="D57" s="75" t="n">
        <f aca="false">SUMIFS('Daily Log'!$D$6:$D$376,'Daily Log'!$W$6:$W$376,$A57)</f>
        <v>0</v>
      </c>
      <c r="E57" s="75" t="n">
        <f aca="false">SUMIFS('Daily Log'!$E$6:$E$376,'Daily Log'!$W$6:$W$376,$A57)</f>
        <v>0</v>
      </c>
      <c r="F57" s="75" t="n">
        <f aca="false">SUMIFS('Daily Log'!$F$6:$F$376,'Daily Log'!$W$6:$W$376,$A57)</f>
        <v>0</v>
      </c>
      <c r="G57" s="17" t="n">
        <f aca="false">SUMIFS('Daily Log'!$V$6:$V$376,'Daily Log'!$W$6:$W$376,$A57)</f>
        <v>0</v>
      </c>
      <c r="H57" s="75" t="n">
        <f aca="false">SUMIFS('Daily Log'!$T$6:$T$376,'Daily Log'!$W$6:$W$376,$A57)</f>
        <v>0</v>
      </c>
      <c r="I57" s="43" t="str">
        <f aca="false">IF($C57=0,"",$D57/$C57)</f>
        <v/>
      </c>
      <c r="J57" s="13" t="str">
        <f aca="false">IF($H57=0,"",$E57/$H57)</f>
        <v/>
      </c>
      <c r="K57" s="75" t="n">
        <f aca="false">SUMIFS('Daily Log'!$G$6:$G$376,'Daily Log'!$W$6:$W$376,$A57)</f>
        <v>0</v>
      </c>
      <c r="L57" s="76" t="str">
        <f aca="false">IF(OR($E57=0,$K57=0),"",$K57/$E57*1000)</f>
        <v/>
      </c>
      <c r="M57" s="19" t="str">
        <f aca="false">IF(AND($G57&gt;0,$H57=0),"pot not shared - no attendance marked",IF(AND($I57&lt;&gt;"",N($I57)&gt;RejectAlarm),"reject rate high",IF(AND($L57&lt;&gt;"",N(CementNorm)&gt;0),IF(ABS($L57/CementNorm-1)&gt;0.3,"cement use off by &gt;30% - check counts",""),"")))</f>
        <v/>
      </c>
      <c r="N57" s="15" t="n">
        <f aca="false">SUMIFS('Daily Log'!$H$6:$H$376,'Daily Log'!$W$6:$W$376,$A57)</f>
        <v>0</v>
      </c>
      <c r="O57" s="15" t="n">
        <f aca="false">SUMIFS('Daily Log'!$I$6:$I$376,'Daily Log'!$W$6:$W$376,$A57)</f>
        <v>0</v>
      </c>
      <c r="P57" s="15" t="n">
        <f aca="false">SUMIFS('Daily Log'!$J$6:$J$376,'Daily Log'!$W$6:$W$376,$A57)</f>
        <v>0</v>
      </c>
      <c r="Q57" s="15" t="n">
        <f aca="false">SUMIFS('Daily Log'!$K$6:$K$376,'Daily Log'!$W$6:$W$376,$A57)</f>
        <v>0</v>
      </c>
      <c r="R57" s="15" t="n">
        <f aca="false">SUMIFS('Daily Log'!$L$6:$L$376,'Daily Log'!$W$6:$W$376,$A57)</f>
        <v>0</v>
      </c>
      <c r="S57" s="15" t="n">
        <f aca="false">SUMIFS('Daily Log'!$M$6:$M$376,'Daily Log'!$W$6:$W$376,$A57)</f>
        <v>0</v>
      </c>
      <c r="T57" s="15" t="n">
        <f aca="false">SUMIFS('Daily Log'!$N$6:$N$376,'Daily Log'!$W$6:$W$376,$A57)</f>
        <v>0</v>
      </c>
      <c r="U57" s="15" t="n">
        <f aca="false">SUMIFS('Daily Log'!$O$6:$O$376,'Daily Log'!$W$6:$W$376,$A57)</f>
        <v>0</v>
      </c>
      <c r="V57" s="15" t="n">
        <f aca="false">SUMIFS('Daily Log'!$P$6:$P$376,'Daily Log'!$W$6:$W$376,$A57)</f>
        <v>0</v>
      </c>
      <c r="W57" s="15" t="n">
        <f aca="false">SUMIFS('Daily Log'!$Q$6:$Q$376,'Daily Log'!$W$6:$W$376,$A57)</f>
        <v>0</v>
      </c>
      <c r="X57" s="15" t="n">
        <f aca="false">SUMIFS('Daily Log'!$R$6:$R$376,'Daily Log'!$W$6:$W$376,$A57)</f>
        <v>0</v>
      </c>
      <c r="Y57" s="15" t="n">
        <f aca="false">SUMIFS('Daily Log'!$S$6:$S$376,'Daily Log'!$W$6:$W$376,$A57)</f>
        <v>0</v>
      </c>
      <c r="Z57" s="17" t="n">
        <f aca="false">IF($H57=0,0,ROUND($G57*N57/$H57,0))</f>
        <v>0</v>
      </c>
      <c r="AA57" s="17" t="n">
        <f aca="false">IF($H57=0,0,ROUND($G57*O57/$H57,0))</f>
        <v>0</v>
      </c>
      <c r="AB57" s="17" t="n">
        <f aca="false">IF($H57=0,0,ROUND($G57*P57/$H57,0))</f>
        <v>0</v>
      </c>
      <c r="AC57" s="17" t="n">
        <f aca="false">IF($H57=0,0,ROUND($G57*Q57/$H57,0))</f>
        <v>0</v>
      </c>
      <c r="AD57" s="17" t="n">
        <f aca="false">IF($H57=0,0,ROUND($G57*R57/$H57,0))</f>
        <v>0</v>
      </c>
      <c r="AE57" s="17" t="n">
        <f aca="false">IF($H57=0,0,ROUND($G57*S57/$H57,0))</f>
        <v>0</v>
      </c>
      <c r="AF57" s="17" t="n">
        <f aca="false">IF($H57=0,0,ROUND($G57*T57/$H57,0))</f>
        <v>0</v>
      </c>
      <c r="AG57" s="17" t="n">
        <f aca="false">IF($H57=0,0,ROUND($G57*U57/$H57,0))</f>
        <v>0</v>
      </c>
      <c r="AH57" s="17" t="n">
        <f aca="false">IF($H57=0,0,ROUND($G57*V57/$H57,0))</f>
        <v>0</v>
      </c>
      <c r="AI57" s="17" t="n">
        <f aca="false">IF($H57=0,0,ROUND($G57*W57/$H57,0))</f>
        <v>0</v>
      </c>
      <c r="AJ57" s="17" t="n">
        <f aca="false">IF($H57=0,0,ROUND($G57*X57/$H57,0))</f>
        <v>0</v>
      </c>
      <c r="AK57" s="17" t="n">
        <f aca="false">IF($H57=0,0,ROUND($G57*Y57/$H57,0))</f>
        <v>0</v>
      </c>
      <c r="AL57" s="17" t="n">
        <f aca="false">SUM(Z57:AK57)</f>
        <v>0</v>
      </c>
      <c r="AM57" s="29" t="n">
        <f aca="false">$AL57-$G57</f>
        <v>0</v>
      </c>
    </row>
    <row r="58" customFormat="false" ht="15" hidden="false" customHeight="false" outlineLevel="0" collapsed="false">
      <c r="A58" s="73" t="n">
        <v>46650</v>
      </c>
      <c r="B58" s="74" t="n">
        <f aca="false">$A58+6</f>
        <v>46656</v>
      </c>
      <c r="C58" s="75" t="n">
        <f aca="false">SUMIFS('Daily Log'!$C$6:$C$376,'Daily Log'!$W$6:$W$376,$A58)</f>
        <v>0</v>
      </c>
      <c r="D58" s="75" t="n">
        <f aca="false">SUMIFS('Daily Log'!$D$6:$D$376,'Daily Log'!$W$6:$W$376,$A58)</f>
        <v>0</v>
      </c>
      <c r="E58" s="75" t="n">
        <f aca="false">SUMIFS('Daily Log'!$E$6:$E$376,'Daily Log'!$W$6:$W$376,$A58)</f>
        <v>0</v>
      </c>
      <c r="F58" s="75" t="n">
        <f aca="false">SUMIFS('Daily Log'!$F$6:$F$376,'Daily Log'!$W$6:$W$376,$A58)</f>
        <v>0</v>
      </c>
      <c r="G58" s="17" t="n">
        <f aca="false">SUMIFS('Daily Log'!$V$6:$V$376,'Daily Log'!$W$6:$W$376,$A58)</f>
        <v>0</v>
      </c>
      <c r="H58" s="75" t="n">
        <f aca="false">SUMIFS('Daily Log'!$T$6:$T$376,'Daily Log'!$W$6:$W$376,$A58)</f>
        <v>0</v>
      </c>
      <c r="I58" s="43" t="str">
        <f aca="false">IF($C58=0,"",$D58/$C58)</f>
        <v/>
      </c>
      <c r="J58" s="13" t="str">
        <f aca="false">IF($H58=0,"",$E58/$H58)</f>
        <v/>
      </c>
      <c r="K58" s="75" t="n">
        <f aca="false">SUMIFS('Daily Log'!$G$6:$G$376,'Daily Log'!$W$6:$W$376,$A58)</f>
        <v>0</v>
      </c>
      <c r="L58" s="76" t="str">
        <f aca="false">IF(OR($E58=0,$K58=0),"",$K58/$E58*1000)</f>
        <v/>
      </c>
      <c r="M58" s="19" t="str">
        <f aca="false">IF(AND($G58&gt;0,$H58=0),"pot not shared - no attendance marked",IF(AND($I58&lt;&gt;"",N($I58)&gt;RejectAlarm),"reject rate high",IF(AND($L58&lt;&gt;"",N(CementNorm)&gt;0),IF(ABS($L58/CementNorm-1)&gt;0.3,"cement use off by &gt;30% - check counts",""),"")))</f>
        <v/>
      </c>
      <c r="N58" s="15" t="n">
        <f aca="false">SUMIFS('Daily Log'!$H$6:$H$376,'Daily Log'!$W$6:$W$376,$A58)</f>
        <v>0</v>
      </c>
      <c r="O58" s="15" t="n">
        <f aca="false">SUMIFS('Daily Log'!$I$6:$I$376,'Daily Log'!$W$6:$W$376,$A58)</f>
        <v>0</v>
      </c>
      <c r="P58" s="15" t="n">
        <f aca="false">SUMIFS('Daily Log'!$J$6:$J$376,'Daily Log'!$W$6:$W$376,$A58)</f>
        <v>0</v>
      </c>
      <c r="Q58" s="15" t="n">
        <f aca="false">SUMIFS('Daily Log'!$K$6:$K$376,'Daily Log'!$W$6:$W$376,$A58)</f>
        <v>0</v>
      </c>
      <c r="R58" s="15" t="n">
        <f aca="false">SUMIFS('Daily Log'!$L$6:$L$376,'Daily Log'!$W$6:$W$376,$A58)</f>
        <v>0</v>
      </c>
      <c r="S58" s="15" t="n">
        <f aca="false">SUMIFS('Daily Log'!$M$6:$M$376,'Daily Log'!$W$6:$W$376,$A58)</f>
        <v>0</v>
      </c>
      <c r="T58" s="15" t="n">
        <f aca="false">SUMIFS('Daily Log'!$N$6:$N$376,'Daily Log'!$W$6:$W$376,$A58)</f>
        <v>0</v>
      </c>
      <c r="U58" s="15" t="n">
        <f aca="false">SUMIFS('Daily Log'!$O$6:$O$376,'Daily Log'!$W$6:$W$376,$A58)</f>
        <v>0</v>
      </c>
      <c r="V58" s="15" t="n">
        <f aca="false">SUMIFS('Daily Log'!$P$6:$P$376,'Daily Log'!$W$6:$W$376,$A58)</f>
        <v>0</v>
      </c>
      <c r="W58" s="15" t="n">
        <f aca="false">SUMIFS('Daily Log'!$Q$6:$Q$376,'Daily Log'!$W$6:$W$376,$A58)</f>
        <v>0</v>
      </c>
      <c r="X58" s="15" t="n">
        <f aca="false">SUMIFS('Daily Log'!$R$6:$R$376,'Daily Log'!$W$6:$W$376,$A58)</f>
        <v>0</v>
      </c>
      <c r="Y58" s="15" t="n">
        <f aca="false">SUMIFS('Daily Log'!$S$6:$S$376,'Daily Log'!$W$6:$W$376,$A58)</f>
        <v>0</v>
      </c>
      <c r="Z58" s="17" t="n">
        <f aca="false">IF($H58=0,0,ROUND($G58*N58/$H58,0))</f>
        <v>0</v>
      </c>
      <c r="AA58" s="17" t="n">
        <f aca="false">IF($H58=0,0,ROUND($G58*O58/$H58,0))</f>
        <v>0</v>
      </c>
      <c r="AB58" s="17" t="n">
        <f aca="false">IF($H58=0,0,ROUND($G58*P58/$H58,0))</f>
        <v>0</v>
      </c>
      <c r="AC58" s="17" t="n">
        <f aca="false">IF($H58=0,0,ROUND($G58*Q58/$H58,0))</f>
        <v>0</v>
      </c>
      <c r="AD58" s="17" t="n">
        <f aca="false">IF($H58=0,0,ROUND($G58*R58/$H58,0))</f>
        <v>0</v>
      </c>
      <c r="AE58" s="17" t="n">
        <f aca="false">IF($H58=0,0,ROUND($G58*S58/$H58,0))</f>
        <v>0</v>
      </c>
      <c r="AF58" s="17" t="n">
        <f aca="false">IF($H58=0,0,ROUND($G58*T58/$H58,0))</f>
        <v>0</v>
      </c>
      <c r="AG58" s="17" t="n">
        <f aca="false">IF($H58=0,0,ROUND($G58*U58/$H58,0))</f>
        <v>0</v>
      </c>
      <c r="AH58" s="17" t="n">
        <f aca="false">IF($H58=0,0,ROUND($G58*V58/$H58,0))</f>
        <v>0</v>
      </c>
      <c r="AI58" s="17" t="n">
        <f aca="false">IF($H58=0,0,ROUND($G58*W58/$H58,0))</f>
        <v>0</v>
      </c>
      <c r="AJ58" s="17" t="n">
        <f aca="false">IF($H58=0,0,ROUND($G58*X58/$H58,0))</f>
        <v>0</v>
      </c>
      <c r="AK58" s="17" t="n">
        <f aca="false">IF($H58=0,0,ROUND($G58*Y58/$H58,0))</f>
        <v>0</v>
      </c>
      <c r="AL58" s="17" t="n">
        <f aca="false">SUM(Z58:AK58)</f>
        <v>0</v>
      </c>
      <c r="AM58" s="29" t="n">
        <f aca="false">$AL58-$G58</f>
        <v>0</v>
      </c>
    </row>
  </sheetData>
  <conditionalFormatting sqref="M6:M58">
    <cfRule type="expression" priority="2" aboveAverage="0" equalAverage="0" bottom="0" percent="0" rank="0" text="" dxfId="1">
      <formula>LEN(M6)&gt;0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2026-09-23T07:56:16Z</dcterms:created>
  <dc:creator>openpyxl</dc:creator>
  <dc:description/>
  <dc:language>en-US</dc:language>
  <cp:lastModifiedBy/>
  <dcterms:modified xsi:type="dcterms:W3CDTF">2026-09-23T07:56:16Z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